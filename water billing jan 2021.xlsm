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531"/>
  <workbookPr/>
  <mc:AlternateContent xmlns:mc="http://schemas.openxmlformats.org/markup-compatibility/2006">
    <mc:Choice Requires="x15">
      <x15ac:absPath xmlns:x15ac="http://schemas.microsoft.com/office/spreadsheetml/2010/11/ac" url="C:\Users\NAOMI KOYANA\Downloads\Water_Billing_2019-2021-2022\Tableau\"/>
    </mc:Choice>
  </mc:AlternateContent>
  <xr:revisionPtr revIDLastSave="0" documentId="13_ncr:40009_{00433EB6-FEF8-49F1-842E-A569E3B18819}" xr6:coauthVersionLast="47" xr6:coauthVersionMax="47" xr10:uidLastSave="{00000000-0000-0000-0000-000000000000}"/>
  <bookViews>
    <workbookView xWindow="-120" yWindow="-120" windowWidth="20730" windowHeight="11040"/>
  </bookViews>
  <sheets>
    <sheet name="2021 January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</calcChain>
</file>

<file path=xl/sharedStrings.xml><?xml version="1.0" encoding="utf-8"?>
<sst xmlns="http://schemas.openxmlformats.org/spreadsheetml/2006/main" count="5325" uniqueCount="587">
  <si>
    <t>Amount</t>
  </si>
  <si>
    <t>Quantity</t>
  </si>
  <si>
    <t>Number of Contract Accounts</t>
  </si>
  <si>
    <t>Division</t>
  </si>
  <si>
    <t>Location</t>
  </si>
  <si>
    <t>Billing Class</t>
  </si>
  <si>
    <t>03</t>
  </si>
  <si>
    <t>WATER</t>
  </si>
  <si>
    <t>ACACIA PARK</t>
  </si>
  <si>
    <t>Other</t>
  </si>
  <si>
    <t>ADMIRALS PARK</t>
  </si>
  <si>
    <t>ADRIAANSE</t>
  </si>
  <si>
    <t>Domestic customers</t>
  </si>
  <si>
    <t>AIRPORT CITY</t>
  </si>
  <si>
    <t>Commercial customers</t>
  </si>
  <si>
    <t>Industrial customers</t>
  </si>
  <si>
    <t>AMANDA GLEN - Durbanville</t>
  </si>
  <si>
    <t>Not assigned</t>
  </si>
  <si>
    <t>AMANDELRUG</t>
  </si>
  <si>
    <t>ANCHORAGE PARK</t>
  </si>
  <si>
    <t>ANNANDALE FARM</t>
  </si>
  <si>
    <t>ASANDA</t>
  </si>
  <si>
    <t>ATHLONE</t>
  </si>
  <si>
    <t>ATLANTIS INDUSTRIAL</t>
  </si>
  <si>
    <t>Departmental(Internal charges)</t>
  </si>
  <si>
    <t>ATLAS GARDENS BUSINESS PARK</t>
  </si>
  <si>
    <t>AUDAS ESTATE</t>
  </si>
  <si>
    <t>AURORA</t>
  </si>
  <si>
    <t>AVON</t>
  </si>
  <si>
    <t>AVONDALE</t>
  </si>
  <si>
    <t>AVONWOOD</t>
  </si>
  <si>
    <t>BALVENIE</t>
  </si>
  <si>
    <t>BANTRY BAY</t>
  </si>
  <si>
    <t>BARONETCY ESTATE</t>
  </si>
  <si>
    <t>BEACON HILL</t>
  </si>
  <si>
    <t>BEACONVALE</t>
  </si>
  <si>
    <t>BEL'AIRE</t>
  </si>
  <si>
    <t>BELGRAVIA</t>
  </si>
  <si>
    <t>BELGRAVIA -BELLVILLE</t>
  </si>
  <si>
    <t>BELHAR EXT 10</t>
  </si>
  <si>
    <t>BELHAR EXT 13</t>
  </si>
  <si>
    <t>BELHAR EXT 16</t>
  </si>
  <si>
    <t>BELHAR EXT 23</t>
  </si>
  <si>
    <t>BELHAR EXT 3</t>
  </si>
  <si>
    <t>BELHAR EXT 6</t>
  </si>
  <si>
    <t>BELHAR EXT 8</t>
  </si>
  <si>
    <t>BELLAIR</t>
  </si>
  <si>
    <t>BELLVILLE CBD</t>
  </si>
  <si>
    <t>BELLVILLE SOUTH</t>
  </si>
  <si>
    <t>BELLVILLE SOUTH INDUSTRIA</t>
  </si>
  <si>
    <t>BELMONT PARK</t>
  </si>
  <si>
    <t>BELRAIL</t>
  </si>
  <si>
    <t>BELTHORN ESTATE</t>
  </si>
  <si>
    <t>BERGVLIET</t>
  </si>
  <si>
    <t>BIG BAY</t>
  </si>
  <si>
    <t>BISHOP LAVIS</t>
  </si>
  <si>
    <t>BISHOPSCOURT</t>
  </si>
  <si>
    <t>BLAAUWBERGSTRAND</t>
  </si>
  <si>
    <t>BLACKHEATH INDUSTRIA</t>
  </si>
  <si>
    <t>BLOEMHOF</t>
  </si>
  <si>
    <t>BLUE DOWNS CBD</t>
  </si>
  <si>
    <t>BO OAKDALE</t>
  </si>
  <si>
    <t>BONGANI</t>
  </si>
  <si>
    <t>BONNIE BRAE</t>
  </si>
  <si>
    <t>BONTEHEUWEL</t>
  </si>
  <si>
    <t>BOQUINAR INDUSTRIAL AREA</t>
  </si>
  <si>
    <t>BOSONIA</t>
  </si>
  <si>
    <t>BOSTON</t>
  </si>
  <si>
    <t>BOTHASIG</t>
  </si>
  <si>
    <t>BOTTELARY SMALLHOLDINGS 2</t>
  </si>
  <si>
    <t>BRACKENFELL CENTRAL</t>
  </si>
  <si>
    <t>BRACKENFELL COMMON</t>
  </si>
  <si>
    <t>BRACKENFELL INDUSTRIA</t>
  </si>
  <si>
    <t>BRACKENFELL SOUTH</t>
  </si>
  <si>
    <t>BRANTWOOD</t>
  </si>
  <si>
    <t>BRENTWOOD PARK - BLUE DOWNS</t>
  </si>
  <si>
    <t>BRIDGEBANK</t>
  </si>
  <si>
    <t>BRIDGETOWN</t>
  </si>
  <si>
    <t>BRIDGEWATER</t>
  </si>
  <si>
    <t>BRIZA</t>
  </si>
  <si>
    <t>BROADLANDS</t>
  </si>
  <si>
    <t>BROADLANDS VILLAGE</t>
  </si>
  <si>
    <t>BROOKLYN</t>
  </si>
  <si>
    <t>BUH-REIN ESTATE</t>
  </si>
  <si>
    <t>BURGUNDY</t>
  </si>
  <si>
    <t>BURGUNDY ESTATE</t>
  </si>
  <si>
    <t>Blaauwberg</t>
  </si>
  <si>
    <t>CAMELOT</t>
  </si>
  <si>
    <t>CAMPS BAY / BAKOVEN</t>
  </si>
  <si>
    <t>CAPE FARMS - DISTRICT B</t>
  </si>
  <si>
    <t>CAPE FARMS - DISTRICT C</t>
  </si>
  <si>
    <t>CAPE FARMS - DISTRICT H</t>
  </si>
  <si>
    <t>CAPE GATE</t>
  </si>
  <si>
    <t>CAPE TOWN</t>
  </si>
  <si>
    <t>CAPE TOWN AIRPORT</t>
  </si>
  <si>
    <t>CAPE TOWN CITY CENTRE</t>
  </si>
  <si>
    <t>CAPRI</t>
  </si>
  <si>
    <t>CENTURY CITY</t>
  </si>
  <si>
    <t>CHRIS NISSEN PARK</t>
  </si>
  <si>
    <t>CHRISMAR</t>
  </si>
  <si>
    <t>CHURCHILL ESTATE</t>
  </si>
  <si>
    <t>CLARA ANNA FONTEIN</t>
  </si>
  <si>
    <t>CLAREMONT</t>
  </si>
  <si>
    <t>CLARKES ESTATE</t>
  </si>
  <si>
    <t>CLIFTON</t>
  </si>
  <si>
    <t>CLOVELLY</t>
  </si>
  <si>
    <t>COLORADO PARK</t>
  </si>
  <si>
    <t>CONNAUGHT</t>
  </si>
  <si>
    <t>CONSTANTIA</t>
  </si>
  <si>
    <t>CPUT</t>
  </si>
  <si>
    <t>CRAVENBY</t>
  </si>
  <si>
    <t>CRAWFORD</t>
  </si>
  <si>
    <t>CROSSROADS</t>
  </si>
  <si>
    <t>CROYDON</t>
  </si>
  <si>
    <t>CROYDON OLIVE ESTATE</t>
  </si>
  <si>
    <t>CROYDON VINEYARD ESTATE</t>
  </si>
  <si>
    <t>D'URBANVALE</t>
  </si>
  <si>
    <t>DE KUILEN</t>
  </si>
  <si>
    <t>DE LA HAYE</t>
  </si>
  <si>
    <t>DE OUDE SPRUIT</t>
  </si>
  <si>
    <t>DE TIJGER</t>
  </si>
  <si>
    <t>DE VELDE</t>
  </si>
  <si>
    <t>DE WIJNLANDEN ESTATE</t>
  </si>
  <si>
    <t>DEEPFREEZE</t>
  </si>
  <si>
    <t>DELFT 1 &amp; 2</t>
  </si>
  <si>
    <t>DELFT 3</t>
  </si>
  <si>
    <t>DELFT 4</t>
  </si>
  <si>
    <t>DELFT 5</t>
  </si>
  <si>
    <t>DELFT 6</t>
  </si>
  <si>
    <t>DELFT 7</t>
  </si>
  <si>
    <t>DELFT 8</t>
  </si>
  <si>
    <t>DELFT 9</t>
  </si>
  <si>
    <t>DELFT SOUTH</t>
  </si>
  <si>
    <t>DELRO VILLAGE</t>
  </si>
  <si>
    <t>DENNEGEUR</t>
  </si>
  <si>
    <t>DEO GRACIA</t>
  </si>
  <si>
    <t>DES HAMPDEN</t>
  </si>
  <si>
    <t>DIE WINGERD</t>
  </si>
  <si>
    <t>DIEPRIVER</t>
  </si>
  <si>
    <t>DOOR DE KRAAL</t>
  </si>
  <si>
    <t>DOOR DE KRAAL FARM</t>
  </si>
  <si>
    <t>DRIFTSANDS</t>
  </si>
  <si>
    <t>DUNOON</t>
  </si>
  <si>
    <t>DURBANVILLE</t>
  </si>
  <si>
    <t>DURBANVILLE MEADOWS</t>
  </si>
  <si>
    <t>DURMONTE</t>
  </si>
  <si>
    <t>EAGLE PARK</t>
  </si>
  <si>
    <t>EASTRIDGE</t>
  </si>
  <si>
    <t>EDGEMEAD</t>
  </si>
  <si>
    <t>EENSGEVONDEN</t>
  </si>
  <si>
    <t>EERSTERIVIER</t>
  </si>
  <si>
    <t>EERSTERIVIER INDUSTRIA</t>
  </si>
  <si>
    <t>EERSTERIVIER SOUTH</t>
  </si>
  <si>
    <t>EIKENBOSCH KUILS RIVER</t>
  </si>
  <si>
    <t>EIKENDAL</t>
  </si>
  <si>
    <t>EKUPHUMULENI</t>
  </si>
  <si>
    <t>ELECTRIC CITY</t>
  </si>
  <si>
    <t>ELFINDALE</t>
  </si>
  <si>
    <t>ELIM</t>
  </si>
  <si>
    <t>ELNOR</t>
  </si>
  <si>
    <t>ELSIES RIVER</t>
  </si>
  <si>
    <t>ELSIES RIVER INDUSTRIA</t>
  </si>
  <si>
    <t>ENKANINI INFORMAL SETTLEMENT</t>
  </si>
  <si>
    <t>EPPING FOREST</t>
  </si>
  <si>
    <t>EPPING INDUSTRIA 1</t>
  </si>
  <si>
    <t>EPPING INDUSTRIA 2</t>
  </si>
  <si>
    <t>EUREKA ESTATE</t>
  </si>
  <si>
    <t>EVERITE INDUSTRIA</t>
  </si>
  <si>
    <t>EVERSDAL - Bellville</t>
  </si>
  <si>
    <t>EVERSDAL - Durbanville</t>
  </si>
  <si>
    <t>EVERSDAL HEIGHTS</t>
  </si>
  <si>
    <t>EYETHU</t>
  </si>
  <si>
    <t>Eastern</t>
  </si>
  <si>
    <t>FAIRDALE</t>
  </si>
  <si>
    <t>FAIRFIELD ESTATE</t>
  </si>
  <si>
    <t>FAIRVIEW GOLF ESTATE</t>
  </si>
  <si>
    <t>FALSE BAY COASTAL PARK</t>
  </si>
  <si>
    <t>FAURE</t>
  </si>
  <si>
    <t>FERNWOOD</t>
  </si>
  <si>
    <t>FIRGROVE</t>
  </si>
  <si>
    <t>FIRGROVE RURAL</t>
  </si>
  <si>
    <t>FIRLANDS</t>
  </si>
  <si>
    <t>FISANTEKRAAL</t>
  </si>
  <si>
    <t>FISANTEKRAAL INDUSTRIAL</t>
  </si>
  <si>
    <t>FISH HOEK</t>
  </si>
  <si>
    <t>FLORIDA</t>
  </si>
  <si>
    <t>FORESHORE</t>
  </si>
  <si>
    <t>FOREST HEIGHTS</t>
  </si>
  <si>
    <t>FOREST VILLAGE</t>
  </si>
  <si>
    <t>FOUNTAIN VILLAGE</t>
  </si>
  <si>
    <t>FRAAIGELEGEN</t>
  </si>
  <si>
    <t>FRESNAYE</t>
  </si>
  <si>
    <t>False Bay</t>
  </si>
  <si>
    <t>GANTS PARK</t>
  </si>
  <si>
    <t>GARDEN VILLAGE</t>
  </si>
  <si>
    <t>GARDENS</t>
  </si>
  <si>
    <t>GATESVILLE</t>
  </si>
  <si>
    <t>GAYLEE</t>
  </si>
  <si>
    <t>GEORGE PARK</t>
  </si>
  <si>
    <t>GERSHAM</t>
  </si>
  <si>
    <t>GLENCAIRN</t>
  </si>
  <si>
    <t>GLENHAVEN</t>
  </si>
  <si>
    <t>GLENLILY</t>
  </si>
  <si>
    <t>GOLDEN ACRE</t>
  </si>
  <si>
    <t>GOLDEN HILL EXT 1</t>
  </si>
  <si>
    <t>GOODRAIL</t>
  </si>
  <si>
    <t>GOODWOOD  EXT 1</t>
  </si>
  <si>
    <t>GOODWOOD ESTATE</t>
  </si>
  <si>
    <t>GORDONS BAY</t>
  </si>
  <si>
    <t>GORDONS BAY EXT 12</t>
  </si>
  <si>
    <t>GORDONS BAY VILLAGE</t>
  </si>
  <si>
    <t>GORDONS STRAND ESTATE</t>
  </si>
  <si>
    <t>GRAANENDAL</t>
  </si>
  <si>
    <t>GRASSY PARK</t>
  </si>
  <si>
    <t>GREEN POINT</t>
  </si>
  <si>
    <t>GREENFIELDS</t>
  </si>
  <si>
    <t>GREENLANDS</t>
  </si>
  <si>
    <t>GREENVILLE GARDEN CITY</t>
  </si>
  <si>
    <t>GREENWAYS</t>
  </si>
  <si>
    <t>GROENVALLEI</t>
  </si>
  <si>
    <t>GUGULETU</t>
  </si>
  <si>
    <t>HAASENDAL</t>
  </si>
  <si>
    <t>HAGLEY</t>
  </si>
  <si>
    <t>HANOVER PARK</t>
  </si>
  <si>
    <t>HAPPY VALLEY</t>
  </si>
  <si>
    <t>HARARE</t>
  </si>
  <si>
    <t>HARBOUR ISLAND</t>
  </si>
  <si>
    <t>HARDEKRAALTJIE</t>
  </si>
  <si>
    <t>HARMONY VILLAGE</t>
  </si>
  <si>
    <t>HATTON</t>
  </si>
  <si>
    <t>HAZENDAL</t>
  </si>
  <si>
    <t>HEARTLAND BEACH ROAD PRECINCT</t>
  </si>
  <si>
    <t>HEARTLAND HISTORIC PRECINCT</t>
  </si>
  <si>
    <t>HEATHFIELD</t>
  </si>
  <si>
    <t>HEEMSTEDE</t>
  </si>
  <si>
    <t>HEIDEVELD</t>
  </si>
  <si>
    <t>HELDERBERG ESTATE</t>
  </si>
  <si>
    <t>HELDERBERG PARK</t>
  </si>
  <si>
    <t>HELDERBERG VILLAGE</t>
  </si>
  <si>
    <t>HELDERRANT</t>
  </si>
  <si>
    <t>HELDERVUE</t>
  </si>
  <si>
    <t>HELENA HEIGHTS</t>
  </si>
  <si>
    <t>HERITAGE PARK</t>
  </si>
  <si>
    <t>HIGHBURY</t>
  </si>
  <si>
    <t>HIGHBURY PARK</t>
  </si>
  <si>
    <t>HIGHLANDS VILLAGE</t>
  </si>
  <si>
    <t>HILLCREST HEIGHTS</t>
  </si>
  <si>
    <t>HINDLE PARK</t>
  </si>
  <si>
    <t>HOOGSTEDE</t>
  </si>
  <si>
    <t>HOUT BAY</t>
  </si>
  <si>
    <t>HYDE PARK</t>
  </si>
  <si>
    <t>IKWEZI PARK</t>
  </si>
  <si>
    <t>ILITHA PARK</t>
  </si>
  <si>
    <t>JACARANDAS</t>
  </si>
  <si>
    <t>JACOBSDAL SMALLHOLDINGS</t>
  </si>
  <si>
    <t>JACQUES HILL</t>
  </si>
  <si>
    <t>JOE SLOVO PARK</t>
  </si>
  <si>
    <t>JONKERS HOOGTE</t>
  </si>
  <si>
    <t>JOOSTENBERGVLAKTE SMALLHOLDINGS</t>
  </si>
  <si>
    <t>KAAPSIG</t>
  </si>
  <si>
    <t>KALK BAY</t>
  </si>
  <si>
    <t>KATAMUDA</t>
  </si>
  <si>
    <t>KELDERHOF</t>
  </si>
  <si>
    <t>KEMPENVILLE</t>
  </si>
  <si>
    <t>KENILWORTH</t>
  </si>
  <si>
    <t>KENRIDGE - Bellville</t>
  </si>
  <si>
    <t>KENRIDGE - Durbanville</t>
  </si>
  <si>
    <t>KENSINGTON</t>
  </si>
  <si>
    <t>KEWTOWN</t>
  </si>
  <si>
    <t>KHAYA</t>
  </si>
  <si>
    <t>KILLARNEY GARDENS</t>
  </si>
  <si>
    <t>KINGSTON</t>
  </si>
  <si>
    <t>KIRSTENHOF</t>
  </si>
  <si>
    <t>KLEINBEGIN</t>
  </si>
  <si>
    <t>KLEINBRON</t>
  </si>
  <si>
    <t>KLEINVLEI TOWN</t>
  </si>
  <si>
    <t>KLIPDAM</t>
  </si>
  <si>
    <t>KLIPKOP</t>
  </si>
  <si>
    <t>KOMMETJIE</t>
  </si>
  <si>
    <t>KRAAIFONTEIN</t>
  </si>
  <si>
    <t>KRAAIFONTEIN INDUSTRIA</t>
  </si>
  <si>
    <t>KUILSRIVIER INDUSTRIA</t>
  </si>
  <si>
    <t>KUILSRIVIER SOUTH SMALLHOLDINGS</t>
  </si>
  <si>
    <t>LA CONCORDE</t>
  </si>
  <si>
    <t>LA MONTAGNE</t>
  </si>
  <si>
    <t>LA ROCHELLE</t>
  </si>
  <si>
    <t>LA SANDRA</t>
  </si>
  <si>
    <t>LAKESIDE</t>
  </si>
  <si>
    <t>LAND EN ZEEZICHT</t>
  </si>
  <si>
    <t>LANGA</t>
  </si>
  <si>
    <t>LANGEBERG HOOGTE</t>
  </si>
  <si>
    <t>LANGEBERG RIDGE</t>
  </si>
  <si>
    <t>LANGEBERG VILLAGE</t>
  </si>
  <si>
    <t>LANSDOWNE</t>
  </si>
  <si>
    <t>LAVENDER HILL</t>
  </si>
  <si>
    <t>LEIDEN</t>
  </si>
  <si>
    <t>LENTEGEUR</t>
  </si>
  <si>
    <t>LEONSDALE</t>
  </si>
  <si>
    <t>LILLYDALE</t>
  </si>
  <si>
    <t>LLANDUDNO</t>
  </si>
  <si>
    <t>LOEVENSTEIN</t>
  </si>
  <si>
    <t>LOTUS RIVER</t>
  </si>
  <si>
    <t>LOUCHARMANTE</t>
  </si>
  <si>
    <t>LOUMAR</t>
  </si>
  <si>
    <t>LOURENSIA PARK</t>
  </si>
  <si>
    <t>LWANDLE</t>
  </si>
  <si>
    <t>MABILLE PARK</t>
  </si>
  <si>
    <t>MACASSAR</t>
  </si>
  <si>
    <t>MACASSAR VILLAGE</t>
  </si>
  <si>
    <t>MAITLAND</t>
  </si>
  <si>
    <t>MAITLAND GARDEN VILLAGE</t>
  </si>
  <si>
    <t>MALIBU VILLAGE</t>
  </si>
  <si>
    <t>MALL INTERCHANGE</t>
  </si>
  <si>
    <t>MALL MOTOR CITY</t>
  </si>
  <si>
    <t>MALL TRIANGLE</t>
  </si>
  <si>
    <t>MAMRE</t>
  </si>
  <si>
    <t>MANDELA PARK</t>
  </si>
  <si>
    <t>MANENBERG</t>
  </si>
  <si>
    <t>MANSFIELD INDUSTRIA</t>
  </si>
  <si>
    <t>MARCONI BEAM</t>
  </si>
  <si>
    <t>MARINDA PARK</t>
  </si>
  <si>
    <t>MARTINVILLE</t>
  </si>
  <si>
    <t>MATROOSFONTEIN</t>
  </si>
  <si>
    <t>MEADOWRIDGE</t>
  </si>
  <si>
    <t>MELKBOSCH STRAND</t>
  </si>
  <si>
    <t>METRO</t>
  </si>
  <si>
    <t>MFULENI</t>
  </si>
  <si>
    <t>MIKPUNT</t>
  </si>
  <si>
    <t>MILNERTON</t>
  </si>
  <si>
    <t>MILNERTON RIDGE</t>
  </si>
  <si>
    <t>MISSION GROUNDS</t>
  </si>
  <si>
    <t>MISTY CLIFFS</t>
  </si>
  <si>
    <t>MITCHELLS PLAIN CBD</t>
  </si>
  <si>
    <t>MONTAGUE GARDENS</t>
  </si>
  <si>
    <t>MONTANA</t>
  </si>
  <si>
    <t>MONTE VISTA</t>
  </si>
  <si>
    <t>MORGAN INDUSTRIA</t>
  </si>
  <si>
    <t>MORGANS VILLAGE</t>
  </si>
  <si>
    <t>MORGENSTER</t>
  </si>
  <si>
    <t>MORGENSTER HEIGHTS</t>
  </si>
  <si>
    <t>MORNINGSIDE</t>
  </si>
  <si>
    <t>MORNINGSTAR</t>
  </si>
  <si>
    <t>MOUILLE POINT</t>
  </si>
  <si>
    <t>MOUNTAINSIDE</t>
  </si>
  <si>
    <t>MOUNTAINSIDE ESTATE</t>
  </si>
  <si>
    <t>MOUNTVIEW</t>
  </si>
  <si>
    <t>MOWBRAY</t>
  </si>
  <si>
    <t>MUIZENBERG</t>
  </si>
  <si>
    <t>MXOLISI PHETANI</t>
  </si>
  <si>
    <t>Mitchells Plain/Khayelitsha</t>
  </si>
  <si>
    <t>N1-STAD</t>
  </si>
  <si>
    <t>NEW WOODLANDS</t>
  </si>
  <si>
    <t>NEWFIELDS</t>
  </si>
  <si>
    <t>NEWLANDS</t>
  </si>
  <si>
    <t>NOMZAMO</t>
  </si>
  <si>
    <t>NONQUBELA</t>
  </si>
  <si>
    <t>NOOITGEDACHT</t>
  </si>
  <si>
    <t>NOORDHOEK</t>
  </si>
  <si>
    <t>NORMANDIE ESTATE</t>
  </si>
  <si>
    <t>NUTWOOD</t>
  </si>
  <si>
    <t>NYANGA</t>
  </si>
  <si>
    <t>Northern</t>
  </si>
  <si>
    <t>O'KENNEDYVILLE</t>
  </si>
  <si>
    <t>OAKDALE</t>
  </si>
  <si>
    <t>OAKDENE</t>
  </si>
  <si>
    <t>OAKGLEN</t>
  </si>
  <si>
    <t>OBSERVATORY</t>
  </si>
  <si>
    <t>OCEAN VIEW</t>
  </si>
  <si>
    <t>OKAVANGO PARK</t>
  </si>
  <si>
    <t>OLIVE GROVE</t>
  </si>
  <si>
    <t>ONVERWACHT</t>
  </si>
  <si>
    <t>ONVERWACHT VILLAGE</t>
  </si>
  <si>
    <t>OOSTERZEE-BELLVILLE</t>
  </si>
  <si>
    <t>ORANJEZICHT</t>
  </si>
  <si>
    <t>OTTERY</t>
  </si>
  <si>
    <t>OUDE WESTHOF</t>
  </si>
  <si>
    <t>PAARDE VLEI</t>
  </si>
  <si>
    <t>PAARDEN EILAND</t>
  </si>
  <si>
    <t>PAARL FARMS</t>
  </si>
  <si>
    <t>PAREL VALLEI</t>
  </si>
  <si>
    <t>PARELVALLEI KLEINHOEWES</t>
  </si>
  <si>
    <t>PARKLANDS</t>
  </si>
  <si>
    <t>PARKWOOD</t>
  </si>
  <si>
    <t>PAROW</t>
  </si>
  <si>
    <t>PAROW EAST</t>
  </si>
  <si>
    <t>PAROW GOLF COURSE</t>
  </si>
  <si>
    <t>PAROW INDUSTRIA</t>
  </si>
  <si>
    <t>PAROW NORTH</t>
  </si>
  <si>
    <t>PAROW VALLEY</t>
  </si>
  <si>
    <t>PEACOCK CLOSE</t>
  </si>
  <si>
    <t>PEARL RISE</t>
  </si>
  <si>
    <t>PEERLESS PARK EAST</t>
  </si>
  <si>
    <t>PEERLESS PARK NORTH</t>
  </si>
  <si>
    <t>PEERLESS PARK WEST</t>
  </si>
  <si>
    <t>PELIKAN HEIGHTS</t>
  </si>
  <si>
    <t>PELIKAN PARK</t>
  </si>
  <si>
    <t>PELLA</t>
  </si>
  <si>
    <t>PENHILL</t>
  </si>
  <si>
    <t>PENLYN ESTATE</t>
  </si>
  <si>
    <t>PHILIPPI</t>
  </si>
  <si>
    <t>PHOENIX</t>
  </si>
  <si>
    <t>PINATI</t>
  </si>
  <si>
    <t>PINEHURST</t>
  </si>
  <si>
    <t>PINELANDS</t>
  </si>
  <si>
    <t>PLATTEKLOOF 1</t>
  </si>
  <si>
    <t>PLATTEKLOOF 2</t>
  </si>
  <si>
    <t>PLATTEKLOOF 3</t>
  </si>
  <si>
    <t>PLUMSTEAD</t>
  </si>
  <si>
    <t>PORTLAND</t>
  </si>
  <si>
    <t>PROTEA HEIGHTS</t>
  </si>
  <si>
    <t>PROTEA PARK</t>
  </si>
  <si>
    <t>PROTEAVALLEY</t>
  </si>
  <si>
    <t>RACING PARK</t>
  </si>
  <si>
    <t>RAVENSMEAD</t>
  </si>
  <si>
    <t>RETREAT</t>
  </si>
  <si>
    <t>RICHMOND</t>
  </si>
  <si>
    <t>RICHMOND ESTATE</t>
  </si>
  <si>
    <t>RICHMOND PARK</t>
  </si>
  <si>
    <t>RICHWOOD</t>
  </si>
  <si>
    <t>RIDGEWORTH</t>
  </si>
  <si>
    <t>RIVERGATE</t>
  </si>
  <si>
    <t>RIVERTON ELSIES RIVER</t>
  </si>
  <si>
    <t>ROBINVALE</t>
  </si>
  <si>
    <t>ROCKLANDS</t>
  </si>
  <si>
    <t>ROME GLEN</t>
  </si>
  <si>
    <t>RONDEBOSCH</t>
  </si>
  <si>
    <t>RONDEBOSCH EAST</t>
  </si>
  <si>
    <t>RONDEVLEI PARK</t>
  </si>
  <si>
    <t>ROOSENDAL</t>
  </si>
  <si>
    <t>ROSEBANK</t>
  </si>
  <si>
    <t>ROSEDALE</t>
  </si>
  <si>
    <t>ROSENDAL</t>
  </si>
  <si>
    <t>ROSENPARK</t>
  </si>
  <si>
    <t>ROUNDHAY</t>
  </si>
  <si>
    <t>ROYAL ASCOT</t>
  </si>
  <si>
    <t>RUGBY</t>
  </si>
  <si>
    <t>RUITERSHOOGTE</t>
  </si>
  <si>
    <t>RUWARI</t>
  </si>
  <si>
    <t>RUYTERWACHT</t>
  </si>
  <si>
    <t>RYLANDS</t>
  </si>
  <si>
    <t>SACK'S CIRCLE INDUSTRIA</t>
  </si>
  <si>
    <t>SALT RIVER</t>
  </si>
  <si>
    <t>SANDDRIFT</t>
  </si>
  <si>
    <t>SANDOWN</t>
  </si>
  <si>
    <t>SAREPTA</t>
  </si>
  <si>
    <t>SAXENBURG PARK 1</t>
  </si>
  <si>
    <t>SAXENBURG PARK 2</t>
  </si>
  <si>
    <t>SAXON INDUSTRIAL</t>
  </si>
  <si>
    <t>SAXONSEA</t>
  </si>
  <si>
    <t>SCARBOROUGH</t>
  </si>
  <si>
    <t>SCHOONGEZICHT</t>
  </si>
  <si>
    <t>SCHOTSCHEKLOOF</t>
  </si>
  <si>
    <t>SCOTTSDENE</t>
  </si>
  <si>
    <t>SEA POINT</t>
  </si>
  <si>
    <t>SEAWINDS</t>
  </si>
  <si>
    <t>SELBORNE</t>
  </si>
  <si>
    <t>SERCOR PARK</t>
  </si>
  <si>
    <t>SHERWOOD</t>
  </si>
  <si>
    <t>SHIRLEY PARK</t>
  </si>
  <si>
    <t>SIGNAL HILL / LIONS HEAD</t>
  </si>
  <si>
    <t>SILVEROAKS</t>
  </si>
  <si>
    <t>SILVERSANDS</t>
  </si>
  <si>
    <t>SILVERTOWN</t>
  </si>
  <si>
    <t>SILWERBOOMKLOOF</t>
  </si>
  <si>
    <t>SIMON'S TOWN</t>
  </si>
  <si>
    <t>SIR LOWRYS PASS</t>
  </si>
  <si>
    <t>SIRROCCO'S</t>
  </si>
  <si>
    <t>SITARI COUNTRY ESTATE</t>
  </si>
  <si>
    <t>SMARTIE TOWN</t>
  </si>
  <si>
    <t>SOMERSET RIDGE</t>
  </si>
  <si>
    <t>SOMERSET WEST</t>
  </si>
  <si>
    <t>SOMERSET WEST BUSINESS PARK</t>
  </si>
  <si>
    <t>SOMERSET WEST NATURE RESERVE</t>
  </si>
  <si>
    <t>SONEIKE I</t>
  </si>
  <si>
    <t>SONEIKE II</t>
  </si>
  <si>
    <t>SONKRING</t>
  </si>
  <si>
    <t>SONNEKUIL</t>
  </si>
  <si>
    <t>SONSTRAAL HEIGHTS</t>
  </si>
  <si>
    <t>SOUTHFIELD</t>
  </si>
  <si>
    <t>SOUTHFORK</t>
  </si>
  <si>
    <t>SPRINGBOKPARK</t>
  </si>
  <si>
    <t>SPRINGFIELD</t>
  </si>
  <si>
    <t>ST DUMAS</t>
  </si>
  <si>
    <t>ST JAMES</t>
  </si>
  <si>
    <t>ST MICHAELS</t>
  </si>
  <si>
    <t>STEENBERG</t>
  </si>
  <si>
    <t>STEENBRAS VIEW</t>
  </si>
  <si>
    <t>STELLENBOSCH FARMS</t>
  </si>
  <si>
    <t>STELLENBOSCH FARMS (BLUE DOWNS)</t>
  </si>
  <si>
    <t>STELLENBOSCH FARMS (KUILSRIVIER)</t>
  </si>
  <si>
    <t>STELLENDALE</t>
  </si>
  <si>
    <t>STELLENRIDGE</t>
  </si>
  <si>
    <t>STELLENRYK</t>
  </si>
  <si>
    <t>STIKLAND HOSPITAAL</t>
  </si>
  <si>
    <t>STIKLAND INDUSTRIA</t>
  </si>
  <si>
    <t>STRAND</t>
  </si>
  <si>
    <t>STRAND INDUSTRIA</t>
  </si>
  <si>
    <t>STRANDFONTEIN</t>
  </si>
  <si>
    <t>STUART'S HILL</t>
  </si>
  <si>
    <t>SUMMER GREENS</t>
  </si>
  <si>
    <t>SUNBIRD PARK</t>
  </si>
  <si>
    <t>SUNNINGDALE</t>
  </si>
  <si>
    <t>SUNNYDALE</t>
  </si>
  <si>
    <t>SUNRIDGE</t>
  </si>
  <si>
    <t>SUNSET BEACH</t>
  </si>
  <si>
    <t>SUNVALLEY</t>
  </si>
  <si>
    <t>SURREY</t>
  </si>
  <si>
    <t>Southern</t>
  </si>
  <si>
    <t>TABLE VIEW</t>
  </si>
  <si>
    <t>TAFELSIG</t>
  </si>
  <si>
    <t>TAMBOERSKLOOF</t>
  </si>
  <si>
    <t>TEMPERANCE TOWN</t>
  </si>
  <si>
    <t>THE CONIFERS</t>
  </si>
  <si>
    <t>THE HAGUE</t>
  </si>
  <si>
    <t>THE RANGE</t>
  </si>
  <si>
    <t>THE STABLES</t>
  </si>
  <si>
    <t>THORNTON</t>
  </si>
  <si>
    <t>THREE ANCHOR BAY</t>
  </si>
  <si>
    <t>TIJGERHOF</t>
  </si>
  <si>
    <t>TOKAI</t>
  </si>
  <si>
    <t>TOWNSEND ESTATE</t>
  </si>
  <si>
    <t>TRANSNET MARSHALLING YARD</t>
  </si>
  <si>
    <t>TRIANGLE FARM</t>
  </si>
  <si>
    <t>TUSCANY GLEN</t>
  </si>
  <si>
    <t>TYGERBERG HOSPITAL</t>
  </si>
  <si>
    <t>TYGERVALLEY</t>
  </si>
  <si>
    <t>TYGERVALLEY WATERFRONT</t>
  </si>
  <si>
    <t>Table Bay</t>
  </si>
  <si>
    <t>Tygerberg</t>
  </si>
  <si>
    <t>UITSIG</t>
  </si>
  <si>
    <t>UITZICHT</t>
  </si>
  <si>
    <t>UMRHABULO TRIANGLE</t>
  </si>
  <si>
    <t>UWC</t>
  </si>
  <si>
    <t>VAN DER STEL</t>
  </si>
  <si>
    <t>VAN RIEBEECKSHOF</t>
  </si>
  <si>
    <t>VANGUARD</t>
  </si>
  <si>
    <t>VASCO ESTATE</t>
  </si>
  <si>
    <t>VERGESIG</t>
  </si>
  <si>
    <t>VICTORIA MXENGE</t>
  </si>
  <si>
    <t>VIERLANDEN</t>
  </si>
  <si>
    <t>VIKING VILLAGE</t>
  </si>
  <si>
    <t>VOELVLEI</t>
  </si>
  <si>
    <t>VOGELVLEI</t>
  </si>
  <si>
    <t>VREDEHOEK</t>
  </si>
  <si>
    <t>VREDEKLOOF</t>
  </si>
  <si>
    <t>VREDEKLOOF EAST</t>
  </si>
  <si>
    <t>VREDELUST BELLVILLE</t>
  </si>
  <si>
    <t>VREDENBERG</t>
  </si>
  <si>
    <t>VRYGROND</t>
  </si>
  <si>
    <t>VYGEBOOM</t>
  </si>
  <si>
    <t>WALLACEDENE</t>
  </si>
  <si>
    <t>WELCOME</t>
  </si>
  <si>
    <t>WELGEDACHT</t>
  </si>
  <si>
    <t>WELGELEGEN</t>
  </si>
  <si>
    <t>WELGEMOED</t>
  </si>
  <si>
    <t>WELGEVONDEN</t>
  </si>
  <si>
    <t>WELTEVREDEN VALLEY</t>
  </si>
  <si>
    <t>WESBANK</t>
  </si>
  <si>
    <t>WEST BEACH</t>
  </si>
  <si>
    <t>WEST RIDING</t>
  </si>
  <si>
    <t>WESTGATE</t>
  </si>
  <si>
    <t>WESTLAKE</t>
  </si>
  <si>
    <t>WESTRIDGE</t>
  </si>
  <si>
    <t>WETTON</t>
  </si>
  <si>
    <t>WIMBLEDON ESTATE</t>
  </si>
  <si>
    <t>WINDERMERE</t>
  </si>
  <si>
    <t>WINDSOR ESTATE</t>
  </si>
  <si>
    <t>WINDSOR PARK ESTATE</t>
  </si>
  <si>
    <t>WINSLOW</t>
  </si>
  <si>
    <t>WITSAND</t>
  </si>
  <si>
    <t>WOODLANDS</t>
  </si>
  <si>
    <t>WOODSTOCK</t>
  </si>
  <si>
    <t>WORLD'S VIEW</t>
  </si>
  <si>
    <t>WP PARK</t>
  </si>
  <si>
    <t>WP SHOWGROUNDS</t>
  </si>
  <si>
    <t>WYNBERG</t>
  </si>
  <si>
    <t>WYNLAND INDUSTRIAL PARK</t>
  </si>
  <si>
    <t>ZEEKOEIVLEI</t>
  </si>
  <si>
    <t>ZEVENDAL</t>
  </si>
  <si>
    <t>ZEVENWACHT MALL</t>
  </si>
  <si>
    <t>ZEVENWACHT RETIREMENT VILLAGE</t>
  </si>
  <si>
    <t>ZONNEBLOEM</t>
  </si>
  <si>
    <t>ZOO PARK</t>
  </si>
  <si>
    <t>#</t>
  </si>
  <si>
    <t>Date</t>
  </si>
  <si>
    <t>Division Number</t>
  </si>
  <si>
    <t>Quantity (KL)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</si>
</sst>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8" formatCode="#,##0.000;\-#,##0.000;#,##0.000;@"/>
    <numFmt numFmtId="169" formatCode="#,##0.000&quot; KL&quot;;\-#,##0.000&quot; KL&quot;;#,##0.000&quot; KL&quot;;@"/>
    <numFmt numFmtId="171" formatCode="#,##0.000&quot; L&quot;;\-#,##0.000&quot; L&quot;;#,##0.000&quot; L&quot;;@"/>
    <numFmt numFmtId="172" formatCode="&quot;*&quot;;&quot;*&quot;;&quot;*&quot;;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AEAEAE"/>
      </left>
      <right style="medium">
        <color rgb="FFAEAEAE"/>
      </right>
      <top style="medium">
        <color rgb="FFAEAEAE"/>
      </top>
      <bottom style="medium">
        <color rgb="FFAEAEAE"/>
      </bottom>
      <diagonal/>
    </border>
  </borders>
  <cellStyleXfs count="42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49" fontId="7" fillId="3" borderId="10" xfId="25" applyNumberFormat="1" applyBorder="1" applyAlignment="1">
      <alignment horizontal="left" vertical="center" wrapText="1"/>
    </xf>
    <xf numFmtId="169" fontId="7" fillId="3" borderId="10" xfId="25" applyNumberFormat="1" applyBorder="1" applyAlignment="1">
      <alignment horizontal="right" vertical="center" wrapText="1"/>
    </xf>
    <xf numFmtId="168" fontId="7" fillId="3" borderId="10" xfId="25" applyNumberFormat="1" applyBorder="1" applyAlignment="1">
      <alignment horizontal="right" vertical="center" wrapText="1"/>
    </xf>
    <xf numFmtId="171" fontId="7" fillId="3" borderId="10" xfId="25" applyNumberFormat="1" applyBorder="1" applyAlignment="1">
      <alignment horizontal="right" vertical="center" wrapText="1"/>
    </xf>
    <xf numFmtId="172" fontId="7" fillId="3" borderId="10" xfId="25" applyNumberFormat="1" applyBorder="1" applyAlignment="1">
      <alignment horizontal="right"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">
    <dxf>
      <numFmt numFmtId="19" formatCode="yyyy/mm/dd"/>
    </dxf>
    <dxf>
      <numFmt numFmtId="172" formatCode="&quot;*&quot;;&quot;*&quot;;&quot;*&quot;;"/>
      <alignment horizontal="right" vertical="center" textRotation="0" wrapText="1" indent="0" justifyLastLine="0" shrinkToFit="0" readingOrder="0"/>
      <border diagonalUp="0" diagonalDown="0">
        <left style="medium">
          <color rgb="FFAEAEAE"/>
        </left>
        <right style="medium">
          <color rgb="FFAEAEAE"/>
        </right>
        <top style="medium">
          <color rgb="FFAEAEAE"/>
        </top>
        <bottom style="medium">
          <color rgb="FFAEAEAE"/>
        </bottom>
        <vertical/>
        <horizontal/>
      </border>
    </dxf>
    <dxf>
      <border outline="0">
        <right style="medium">
          <color rgb="FFAEAEAE"/>
        </righ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6C4C4"/>
      <rgbColor rgb="00FFFFFF"/>
      <rgbColor rgb="00E9EEF4"/>
      <rgbColor rgb="00FFF843"/>
      <rgbColor rgb="00000000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I1330" totalsRowShown="0" tableBorderDxfId="2">
  <autoFilter ref="A1:I1330"/>
  <tableColumns count="9">
    <tableColumn id="1" name="Date" dataDxfId="0" dataCellStyle="Normal"/>
    <tableColumn id="2" name="Division Number" dataCellStyle="Normal"/>
    <tableColumn id="3" name="Division" dataCellStyle="Normal"/>
    <tableColumn id="4" name="Location" dataCellStyle="Normal"/>
    <tableColumn id="5" name="Billing Class" dataCellStyle="Normal"/>
    <tableColumn id="6" name="Amount" dataCellStyle="Normal"/>
    <tableColumn id="7" name="Quantity" dataDxfId="1" dataCellStyle="Bad"/>
    <tableColumn id="8" name="Quantity (KL)" dataCellStyle="Normal">
      <calculatedColumnFormula>IF(ISNUMBER(SEARCH("Domestic customer", E2)),G2/1000,G2)</calculatedColumnFormula>
    </tableColumn>
    <tableColumn id="9" name="Number of Contract Accounts" dataCellStyle="Norma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30"/>
  <sheetViews>
    <sheetView tabSelected="1" topLeftCell="A67" workbookViewId="0">
      <selection activeCell="J79" sqref="J79"/>
    </sheetView>
  </sheetViews>
  <sheetFormatPr defaultRowHeight="15" x14ac:dyDescent="0.25"/>
  <cols>
    <col min="1" max="1" width="16" style="1" customWidth="1"/>
    <col min="2" max="2" width="18" customWidth="1"/>
    <col min="3" max="3" width="10.28515625" customWidth="1"/>
    <col min="4" max="4" width="24.28515625" customWidth="1"/>
    <col min="5" max="5" width="15" customWidth="1"/>
    <col min="6" max="6" width="15.5703125" customWidth="1"/>
    <col min="7" max="7" width="21.42578125" customWidth="1"/>
    <col min="8" max="8" width="25.28515625" customWidth="1"/>
    <col min="9" max="9" width="29" customWidth="1"/>
  </cols>
  <sheetData>
    <row r="1" spans="1:9" ht="15.75" thickBot="1" x14ac:dyDescent="0.3">
      <c r="A1" s="1" t="s">
        <v>584</v>
      </c>
      <c r="B1" t="s">
        <v>585</v>
      </c>
      <c r="C1" t="s">
        <v>3</v>
      </c>
      <c r="D1" t="s">
        <v>4</v>
      </c>
      <c r="E1" t="s">
        <v>5</v>
      </c>
      <c r="F1" t="s">
        <v>0</v>
      </c>
      <c r="G1" s="2" t="s">
        <v>1</v>
      </c>
      <c r="H1" t="s">
        <v>586</v>
      </c>
      <c r="I1" t="s">
        <v>2</v>
      </c>
    </row>
    <row r="2" spans="1:9" ht="15.75" thickBot="1" x14ac:dyDescent="0.3">
      <c r="A2" s="1">
        <v>44197</v>
      </c>
      <c r="B2" t="s">
        <v>6</v>
      </c>
      <c r="C2" t="s">
        <v>7</v>
      </c>
      <c r="D2" t="s">
        <v>8</v>
      </c>
      <c r="E2" t="s">
        <v>9</v>
      </c>
      <c r="F2">
        <v>288113.8</v>
      </c>
      <c r="G2" s="3">
        <v>10340</v>
      </c>
      <c r="H2">
        <f>IF(ISNUMBER(SEARCH("Domestic customer", E2)),G2/1000,G2)</f>
        <v>10340</v>
      </c>
      <c r="I2">
        <v>1</v>
      </c>
    </row>
    <row r="3" spans="1:9" ht="15.75" thickBot="1" x14ac:dyDescent="0.3">
      <c r="A3" s="1">
        <v>44197</v>
      </c>
      <c r="B3" t="s">
        <v>6</v>
      </c>
      <c r="C3" t="s">
        <v>7</v>
      </c>
      <c r="D3" t="s">
        <v>10</v>
      </c>
      <c r="E3" t="s">
        <v>9</v>
      </c>
      <c r="F3">
        <v>81.569999999999993</v>
      </c>
      <c r="G3" s="4">
        <v>0</v>
      </c>
      <c r="H3">
        <f t="shared" ref="H3:H66" si="0">IF(ISNUMBER(SEARCH("Domestic customer", E3)),G3/1000,G3)</f>
        <v>0</v>
      </c>
      <c r="I3">
        <v>1</v>
      </c>
    </row>
    <row r="4" spans="1:9" ht="15.75" thickBot="1" x14ac:dyDescent="0.3">
      <c r="A4" s="1">
        <v>44197</v>
      </c>
      <c r="B4" t="s">
        <v>6</v>
      </c>
      <c r="C4" t="s">
        <v>7</v>
      </c>
      <c r="D4" t="s">
        <v>11</v>
      </c>
      <c r="E4" t="s">
        <v>12</v>
      </c>
      <c r="F4">
        <v>197.02</v>
      </c>
      <c r="G4" s="5">
        <v>44000</v>
      </c>
      <c r="H4">
        <f t="shared" si="0"/>
        <v>44</v>
      </c>
      <c r="I4">
        <v>2</v>
      </c>
    </row>
    <row r="5" spans="1:9" ht="15.75" thickBot="1" x14ac:dyDescent="0.3">
      <c r="A5" s="1">
        <v>44197</v>
      </c>
      <c r="B5" t="s">
        <v>6</v>
      </c>
      <c r="C5" t="s">
        <v>7</v>
      </c>
      <c r="D5" t="s">
        <v>11</v>
      </c>
      <c r="E5" t="s">
        <v>9</v>
      </c>
      <c r="F5">
        <v>1197.43</v>
      </c>
      <c r="G5" s="3">
        <v>36</v>
      </c>
      <c r="H5">
        <f t="shared" si="0"/>
        <v>36</v>
      </c>
      <c r="I5">
        <v>1</v>
      </c>
    </row>
    <row r="6" spans="1:9" ht="15.75" thickBot="1" x14ac:dyDescent="0.3">
      <c r="A6" s="1">
        <v>44197</v>
      </c>
      <c r="B6" t="s">
        <v>6</v>
      </c>
      <c r="C6" t="s">
        <v>7</v>
      </c>
      <c r="D6" t="s">
        <v>13</v>
      </c>
      <c r="E6" t="s">
        <v>14</v>
      </c>
      <c r="F6">
        <v>62834.39</v>
      </c>
      <c r="G6" s="3">
        <v>1621</v>
      </c>
      <c r="H6">
        <f t="shared" si="0"/>
        <v>1621</v>
      </c>
      <c r="I6">
        <v>6</v>
      </c>
    </row>
    <row r="7" spans="1:9" ht="15.75" thickBot="1" x14ac:dyDescent="0.3">
      <c r="A7" s="1">
        <v>44197</v>
      </c>
      <c r="B7" t="s">
        <v>6</v>
      </c>
      <c r="C7" t="s">
        <v>7</v>
      </c>
      <c r="D7" t="s">
        <v>13</v>
      </c>
      <c r="E7" t="s">
        <v>15</v>
      </c>
      <c r="F7">
        <v>47678.239999999998</v>
      </c>
      <c r="G7" s="3">
        <v>1020</v>
      </c>
      <c r="H7">
        <f t="shared" si="0"/>
        <v>1020</v>
      </c>
      <c r="I7">
        <v>7</v>
      </c>
    </row>
    <row r="8" spans="1:9" ht="15.75" thickBot="1" x14ac:dyDescent="0.3">
      <c r="A8" s="1">
        <v>44197</v>
      </c>
      <c r="B8" t="s">
        <v>6</v>
      </c>
      <c r="C8" t="s">
        <v>7</v>
      </c>
      <c r="D8" t="s">
        <v>13</v>
      </c>
      <c r="E8" t="s">
        <v>9</v>
      </c>
      <c r="F8">
        <v>9386.32</v>
      </c>
      <c r="G8" s="3">
        <v>105</v>
      </c>
      <c r="H8">
        <f t="shared" si="0"/>
        <v>105</v>
      </c>
      <c r="I8">
        <v>12</v>
      </c>
    </row>
    <row r="9" spans="1:9" ht="15.75" thickBot="1" x14ac:dyDescent="0.3">
      <c r="A9" s="1">
        <v>44197</v>
      </c>
      <c r="B9" t="s">
        <v>6</v>
      </c>
      <c r="C9" t="s">
        <v>7</v>
      </c>
      <c r="D9" t="s">
        <v>16</v>
      </c>
      <c r="E9" t="s">
        <v>17</v>
      </c>
      <c r="F9">
        <v>400</v>
      </c>
      <c r="G9" s="5">
        <v>0</v>
      </c>
      <c r="H9">
        <f t="shared" si="0"/>
        <v>0</v>
      </c>
      <c r="I9">
        <v>1</v>
      </c>
    </row>
    <row r="10" spans="1:9" ht="15.75" thickBot="1" x14ac:dyDescent="0.3">
      <c r="A10" s="1">
        <v>44197</v>
      </c>
      <c r="B10" t="s">
        <v>6</v>
      </c>
      <c r="C10" t="s">
        <v>7</v>
      </c>
      <c r="D10" t="s">
        <v>18</v>
      </c>
      <c r="E10" t="s">
        <v>12</v>
      </c>
      <c r="F10">
        <v>175.54</v>
      </c>
      <c r="G10" s="5">
        <v>7388.85</v>
      </c>
      <c r="H10">
        <f t="shared" si="0"/>
        <v>7.3888500000000006</v>
      </c>
      <c r="I10">
        <v>1</v>
      </c>
    </row>
    <row r="11" spans="1:9" ht="15.75" thickBot="1" x14ac:dyDescent="0.3">
      <c r="A11" s="1">
        <v>44197</v>
      </c>
      <c r="B11" t="s">
        <v>6</v>
      </c>
      <c r="C11" t="s">
        <v>7</v>
      </c>
      <c r="D11" t="s">
        <v>19</v>
      </c>
      <c r="E11" t="s">
        <v>12</v>
      </c>
      <c r="F11">
        <v>163.13999999999999</v>
      </c>
      <c r="G11" s="4">
        <v>0</v>
      </c>
      <c r="H11">
        <f t="shared" si="0"/>
        <v>0</v>
      </c>
      <c r="I11">
        <v>2</v>
      </c>
    </row>
    <row r="12" spans="1:9" ht="15.75" thickBot="1" x14ac:dyDescent="0.3">
      <c r="A12" s="1">
        <v>44197</v>
      </c>
      <c r="B12" t="s">
        <v>6</v>
      </c>
      <c r="C12" t="s">
        <v>7</v>
      </c>
      <c r="D12" t="s">
        <v>20</v>
      </c>
      <c r="E12" t="s">
        <v>14</v>
      </c>
      <c r="F12">
        <v>1793.43</v>
      </c>
      <c r="G12" s="3">
        <v>62</v>
      </c>
      <c r="H12">
        <f t="shared" si="0"/>
        <v>62</v>
      </c>
      <c r="I12">
        <v>1</v>
      </c>
    </row>
    <row r="13" spans="1:9" ht="15.75" thickBot="1" x14ac:dyDescent="0.3">
      <c r="A13" s="1">
        <v>44197</v>
      </c>
      <c r="B13" t="s">
        <v>6</v>
      </c>
      <c r="C13" t="s">
        <v>7</v>
      </c>
      <c r="D13" t="s">
        <v>21</v>
      </c>
      <c r="E13" t="s">
        <v>14</v>
      </c>
      <c r="F13">
        <v>301.88</v>
      </c>
      <c r="G13" s="3">
        <v>9</v>
      </c>
      <c r="H13">
        <f t="shared" si="0"/>
        <v>9</v>
      </c>
      <c r="I13">
        <v>1</v>
      </c>
    </row>
    <row r="14" spans="1:9" ht="15.75" thickBot="1" x14ac:dyDescent="0.3">
      <c r="A14" s="1">
        <v>44197</v>
      </c>
      <c r="B14" t="s">
        <v>6</v>
      </c>
      <c r="C14" t="s">
        <v>7</v>
      </c>
      <c r="D14" t="s">
        <v>21</v>
      </c>
      <c r="E14" t="s">
        <v>12</v>
      </c>
      <c r="F14">
        <v>0</v>
      </c>
      <c r="G14" s="5">
        <v>23000</v>
      </c>
      <c r="H14">
        <f t="shared" si="0"/>
        <v>23</v>
      </c>
      <c r="I14">
        <v>2</v>
      </c>
    </row>
    <row r="15" spans="1:9" ht="15.75" thickBot="1" x14ac:dyDescent="0.3">
      <c r="A15" s="1">
        <v>44197</v>
      </c>
      <c r="B15" t="s">
        <v>6</v>
      </c>
      <c r="C15" t="s">
        <v>7</v>
      </c>
      <c r="D15" t="s">
        <v>22</v>
      </c>
      <c r="E15" t="s">
        <v>14</v>
      </c>
      <c r="F15">
        <v>3256.72</v>
      </c>
      <c r="G15" s="3">
        <v>46</v>
      </c>
      <c r="H15">
        <f t="shared" si="0"/>
        <v>46</v>
      </c>
      <c r="I15">
        <v>1</v>
      </c>
    </row>
    <row r="16" spans="1:9" ht="15.75" thickBot="1" x14ac:dyDescent="0.3">
      <c r="A16" s="1">
        <v>44197</v>
      </c>
      <c r="B16" t="s">
        <v>6</v>
      </c>
      <c r="C16" t="s">
        <v>7</v>
      </c>
      <c r="D16" t="s">
        <v>22</v>
      </c>
      <c r="E16" t="s">
        <v>12</v>
      </c>
      <c r="F16">
        <v>19007.759999999998</v>
      </c>
      <c r="G16" s="6">
        <v>622038.05799999996</v>
      </c>
      <c r="H16">
        <f t="shared" si="0"/>
        <v>622.03805799999998</v>
      </c>
      <c r="I16">
        <v>27</v>
      </c>
    </row>
    <row r="17" spans="1:9" ht="15.75" thickBot="1" x14ac:dyDescent="0.3">
      <c r="A17" s="1">
        <v>44197</v>
      </c>
      <c r="B17" t="s">
        <v>6</v>
      </c>
      <c r="C17" t="s">
        <v>7</v>
      </c>
      <c r="D17" t="s">
        <v>22</v>
      </c>
      <c r="E17" t="s">
        <v>9</v>
      </c>
      <c r="F17">
        <v>2394.59</v>
      </c>
      <c r="G17" s="6">
        <v>23074</v>
      </c>
      <c r="H17">
        <f t="shared" si="0"/>
        <v>23074</v>
      </c>
      <c r="I17">
        <v>5</v>
      </c>
    </row>
    <row r="18" spans="1:9" ht="15.75" thickBot="1" x14ac:dyDescent="0.3">
      <c r="A18" s="1">
        <v>44197</v>
      </c>
      <c r="B18" t="s">
        <v>6</v>
      </c>
      <c r="C18" t="s">
        <v>7</v>
      </c>
      <c r="D18" t="s">
        <v>23</v>
      </c>
      <c r="E18" t="s">
        <v>14</v>
      </c>
      <c r="F18">
        <v>3756.72</v>
      </c>
      <c r="G18" s="3">
        <v>46</v>
      </c>
      <c r="H18">
        <f t="shared" si="0"/>
        <v>46</v>
      </c>
      <c r="I18">
        <v>1</v>
      </c>
    </row>
    <row r="19" spans="1:9" ht="15.75" thickBot="1" x14ac:dyDescent="0.3">
      <c r="A19" s="1">
        <v>44197</v>
      </c>
      <c r="B19" t="s">
        <v>6</v>
      </c>
      <c r="C19" t="s">
        <v>7</v>
      </c>
      <c r="D19" t="s">
        <v>23</v>
      </c>
      <c r="E19" t="s">
        <v>24</v>
      </c>
      <c r="F19">
        <v>9868.9599999999991</v>
      </c>
      <c r="G19" s="3">
        <v>155</v>
      </c>
      <c r="H19">
        <f t="shared" si="0"/>
        <v>155</v>
      </c>
      <c r="I19">
        <v>1</v>
      </c>
    </row>
    <row r="20" spans="1:9" ht="15.75" thickBot="1" x14ac:dyDescent="0.3">
      <c r="A20" s="1">
        <v>44197</v>
      </c>
      <c r="B20" t="s">
        <v>6</v>
      </c>
      <c r="C20" t="s">
        <v>7</v>
      </c>
      <c r="D20" t="s">
        <v>23</v>
      </c>
      <c r="E20" t="s">
        <v>15</v>
      </c>
      <c r="F20">
        <v>93259.1</v>
      </c>
      <c r="G20" s="3">
        <v>2072</v>
      </c>
      <c r="H20">
        <f t="shared" si="0"/>
        <v>2072</v>
      </c>
      <c r="I20">
        <v>11</v>
      </c>
    </row>
    <row r="21" spans="1:9" ht="15.75" thickBot="1" x14ac:dyDescent="0.3">
      <c r="A21" s="1">
        <v>44197</v>
      </c>
      <c r="B21" t="s">
        <v>6</v>
      </c>
      <c r="C21" t="s">
        <v>7</v>
      </c>
      <c r="D21" t="s">
        <v>23</v>
      </c>
      <c r="E21" t="s">
        <v>9</v>
      </c>
      <c r="F21">
        <v>4136.42</v>
      </c>
      <c r="G21" s="3">
        <v>29</v>
      </c>
      <c r="H21">
        <f t="shared" si="0"/>
        <v>29</v>
      </c>
      <c r="I21">
        <v>3</v>
      </c>
    </row>
    <row r="22" spans="1:9" ht="15.75" thickBot="1" x14ac:dyDescent="0.3">
      <c r="A22" s="1">
        <v>44197</v>
      </c>
      <c r="B22" t="s">
        <v>6</v>
      </c>
      <c r="C22" t="s">
        <v>7</v>
      </c>
      <c r="D22" t="s">
        <v>23</v>
      </c>
      <c r="E22" t="s">
        <v>17</v>
      </c>
      <c r="F22">
        <v>11645.4</v>
      </c>
      <c r="G22" s="3">
        <v>352</v>
      </c>
      <c r="H22">
        <f t="shared" si="0"/>
        <v>352</v>
      </c>
      <c r="I22">
        <v>2</v>
      </c>
    </row>
    <row r="23" spans="1:9" ht="15.75" thickBot="1" x14ac:dyDescent="0.3">
      <c r="A23" s="1">
        <v>44197</v>
      </c>
      <c r="B23" t="s">
        <v>6</v>
      </c>
      <c r="C23" t="s">
        <v>7</v>
      </c>
      <c r="D23" t="s">
        <v>25</v>
      </c>
      <c r="E23" t="s">
        <v>15</v>
      </c>
      <c r="F23">
        <v>10656.15</v>
      </c>
      <c r="G23" s="3">
        <v>184</v>
      </c>
      <c r="H23">
        <f t="shared" si="0"/>
        <v>184</v>
      </c>
      <c r="I23">
        <v>1</v>
      </c>
    </row>
    <row r="24" spans="1:9" ht="15.75" thickBot="1" x14ac:dyDescent="0.3">
      <c r="A24" s="1">
        <v>44197</v>
      </c>
      <c r="B24" t="s">
        <v>6</v>
      </c>
      <c r="C24" t="s">
        <v>7</v>
      </c>
      <c r="D24" t="s">
        <v>25</v>
      </c>
      <c r="E24" t="s">
        <v>9</v>
      </c>
      <c r="F24">
        <v>326.27999999999997</v>
      </c>
      <c r="G24" s="4">
        <v>0</v>
      </c>
      <c r="H24">
        <f t="shared" si="0"/>
        <v>0</v>
      </c>
      <c r="I24">
        <v>4</v>
      </c>
    </row>
    <row r="25" spans="1:9" ht="15.75" thickBot="1" x14ac:dyDescent="0.3">
      <c r="A25" s="1">
        <v>44197</v>
      </c>
      <c r="B25" t="s">
        <v>6</v>
      </c>
      <c r="C25" t="s">
        <v>7</v>
      </c>
      <c r="D25" t="s">
        <v>26</v>
      </c>
      <c r="E25" t="s">
        <v>14</v>
      </c>
      <c r="F25">
        <v>209.28</v>
      </c>
      <c r="G25" s="3">
        <v>4</v>
      </c>
      <c r="H25">
        <f t="shared" si="0"/>
        <v>4</v>
      </c>
      <c r="I25">
        <v>1</v>
      </c>
    </row>
    <row r="26" spans="1:9" ht="15.75" thickBot="1" x14ac:dyDescent="0.3">
      <c r="A26" s="1">
        <v>44197</v>
      </c>
      <c r="B26" t="s">
        <v>6</v>
      </c>
      <c r="C26" t="s">
        <v>7</v>
      </c>
      <c r="D26" t="s">
        <v>26</v>
      </c>
      <c r="E26" t="s">
        <v>12</v>
      </c>
      <c r="F26">
        <v>601.26</v>
      </c>
      <c r="G26" s="5">
        <v>13498.085999999999</v>
      </c>
      <c r="H26">
        <f t="shared" si="0"/>
        <v>13.498085999999999</v>
      </c>
      <c r="I26">
        <v>1</v>
      </c>
    </row>
    <row r="27" spans="1:9" ht="15.75" thickBot="1" x14ac:dyDescent="0.3">
      <c r="A27" s="1">
        <v>44197</v>
      </c>
      <c r="B27" t="s">
        <v>6</v>
      </c>
      <c r="C27" t="s">
        <v>7</v>
      </c>
      <c r="D27" t="s">
        <v>27</v>
      </c>
      <c r="E27" t="s">
        <v>12</v>
      </c>
      <c r="F27">
        <v>801.98</v>
      </c>
      <c r="G27" s="5">
        <v>26000</v>
      </c>
      <c r="H27">
        <f t="shared" si="0"/>
        <v>26</v>
      </c>
      <c r="I27">
        <v>3</v>
      </c>
    </row>
    <row r="28" spans="1:9" ht="15.75" thickBot="1" x14ac:dyDescent="0.3">
      <c r="A28" s="1">
        <v>44197</v>
      </c>
      <c r="B28" t="s">
        <v>6</v>
      </c>
      <c r="C28" t="s">
        <v>7</v>
      </c>
      <c r="D28" t="s">
        <v>28</v>
      </c>
      <c r="E28" t="s">
        <v>24</v>
      </c>
      <c r="F28">
        <v>31232.18</v>
      </c>
      <c r="G28" s="5">
        <v>404798.04200000002</v>
      </c>
      <c r="H28">
        <f t="shared" si="0"/>
        <v>404798.04200000002</v>
      </c>
      <c r="I28">
        <v>6</v>
      </c>
    </row>
    <row r="29" spans="1:9" ht="15.75" thickBot="1" x14ac:dyDescent="0.3">
      <c r="A29" s="1">
        <v>44197</v>
      </c>
      <c r="B29" t="s">
        <v>6</v>
      </c>
      <c r="C29" t="s">
        <v>7</v>
      </c>
      <c r="D29" t="s">
        <v>28</v>
      </c>
      <c r="E29" t="s">
        <v>12</v>
      </c>
      <c r="F29">
        <v>112</v>
      </c>
      <c r="G29" s="5">
        <v>0</v>
      </c>
      <c r="H29">
        <f t="shared" si="0"/>
        <v>0</v>
      </c>
      <c r="I29">
        <v>1</v>
      </c>
    </row>
    <row r="30" spans="1:9" ht="15.75" thickBot="1" x14ac:dyDescent="0.3">
      <c r="A30" s="1">
        <v>44197</v>
      </c>
      <c r="B30" t="s">
        <v>6</v>
      </c>
      <c r="C30" t="s">
        <v>7</v>
      </c>
      <c r="D30" t="s">
        <v>28</v>
      </c>
      <c r="E30" t="s">
        <v>9</v>
      </c>
      <c r="F30">
        <v>552.94000000000005</v>
      </c>
      <c r="G30" s="3">
        <v>63</v>
      </c>
      <c r="H30">
        <f t="shared" si="0"/>
        <v>63</v>
      </c>
      <c r="I30">
        <v>1</v>
      </c>
    </row>
    <row r="31" spans="1:9" ht="15.75" thickBot="1" x14ac:dyDescent="0.3">
      <c r="A31" s="1">
        <v>44197</v>
      </c>
      <c r="B31" t="s">
        <v>6</v>
      </c>
      <c r="C31" t="s">
        <v>7</v>
      </c>
      <c r="D31" t="s">
        <v>29</v>
      </c>
      <c r="E31" t="s">
        <v>14</v>
      </c>
      <c r="F31">
        <v>77197.990000000005</v>
      </c>
      <c r="G31" s="3">
        <v>2723</v>
      </c>
      <c r="H31">
        <f t="shared" si="0"/>
        <v>2723</v>
      </c>
      <c r="I31">
        <v>3</v>
      </c>
    </row>
    <row r="32" spans="1:9" ht="15.75" thickBot="1" x14ac:dyDescent="0.3">
      <c r="A32" s="1">
        <v>44197</v>
      </c>
      <c r="B32" t="s">
        <v>6</v>
      </c>
      <c r="C32" t="s">
        <v>7</v>
      </c>
      <c r="D32" t="s">
        <v>29</v>
      </c>
      <c r="E32" t="s">
        <v>24</v>
      </c>
      <c r="F32">
        <v>3681.48</v>
      </c>
      <c r="G32" s="3">
        <v>89</v>
      </c>
      <c r="H32">
        <f t="shared" si="0"/>
        <v>89</v>
      </c>
      <c r="I32">
        <v>1</v>
      </c>
    </row>
    <row r="33" spans="1:9" ht="15.75" thickBot="1" x14ac:dyDescent="0.3">
      <c r="A33" s="1">
        <v>44197</v>
      </c>
      <c r="B33" t="s">
        <v>6</v>
      </c>
      <c r="C33" t="s">
        <v>7</v>
      </c>
      <c r="D33" t="s">
        <v>29</v>
      </c>
      <c r="E33" t="s">
        <v>12</v>
      </c>
      <c r="F33">
        <v>763.42</v>
      </c>
      <c r="G33" s="5">
        <v>37000</v>
      </c>
      <c r="H33">
        <f t="shared" si="0"/>
        <v>37</v>
      </c>
      <c r="I33">
        <v>4</v>
      </c>
    </row>
    <row r="34" spans="1:9" ht="15.75" thickBot="1" x14ac:dyDescent="0.3">
      <c r="A34" s="1">
        <v>44197</v>
      </c>
      <c r="B34" t="s">
        <v>6</v>
      </c>
      <c r="C34" t="s">
        <v>7</v>
      </c>
      <c r="D34" t="s">
        <v>29</v>
      </c>
      <c r="E34" t="s">
        <v>9</v>
      </c>
      <c r="F34">
        <v>81.569999999999993</v>
      </c>
      <c r="G34" s="4">
        <v>0</v>
      </c>
      <c r="H34">
        <f t="shared" si="0"/>
        <v>0</v>
      </c>
      <c r="I34">
        <v>1</v>
      </c>
    </row>
    <row r="35" spans="1:9" ht="15.75" thickBot="1" x14ac:dyDescent="0.3">
      <c r="A35" s="1">
        <v>44197</v>
      </c>
      <c r="B35" t="s">
        <v>6</v>
      </c>
      <c r="C35" t="s">
        <v>7</v>
      </c>
      <c r="D35" t="s">
        <v>30</v>
      </c>
      <c r="E35" t="s">
        <v>24</v>
      </c>
      <c r="F35">
        <v>7434.6</v>
      </c>
      <c r="G35" s="3">
        <v>155</v>
      </c>
      <c r="H35">
        <f t="shared" si="0"/>
        <v>155</v>
      </c>
      <c r="I35">
        <v>1</v>
      </c>
    </row>
    <row r="36" spans="1:9" ht="15.75" thickBot="1" x14ac:dyDescent="0.3">
      <c r="A36" s="1">
        <v>44197</v>
      </c>
      <c r="B36" t="s">
        <v>6</v>
      </c>
      <c r="C36" t="s">
        <v>7</v>
      </c>
      <c r="D36" t="s">
        <v>30</v>
      </c>
      <c r="E36" t="s">
        <v>12</v>
      </c>
      <c r="F36">
        <v>2182.29</v>
      </c>
      <c r="G36" s="5">
        <v>78062</v>
      </c>
      <c r="H36">
        <f t="shared" si="0"/>
        <v>78.061999999999998</v>
      </c>
      <c r="I36">
        <v>3</v>
      </c>
    </row>
    <row r="37" spans="1:9" ht="15.75" thickBot="1" x14ac:dyDescent="0.3">
      <c r="A37" s="1">
        <v>44197</v>
      </c>
      <c r="B37" t="s">
        <v>6</v>
      </c>
      <c r="C37" t="s">
        <v>7</v>
      </c>
      <c r="D37" t="s">
        <v>30</v>
      </c>
      <c r="E37" t="s">
        <v>9</v>
      </c>
      <c r="F37">
        <v>24428.080000000002</v>
      </c>
      <c r="G37" s="3">
        <v>594</v>
      </c>
      <c r="H37">
        <f t="shared" si="0"/>
        <v>594</v>
      </c>
      <c r="I37">
        <v>2</v>
      </c>
    </row>
    <row r="38" spans="1:9" ht="15.75" thickBot="1" x14ac:dyDescent="0.3">
      <c r="A38" s="1">
        <v>44197</v>
      </c>
      <c r="B38" t="s">
        <v>6</v>
      </c>
      <c r="C38" t="s">
        <v>7</v>
      </c>
      <c r="D38" t="s">
        <v>31</v>
      </c>
      <c r="E38" t="s">
        <v>24</v>
      </c>
      <c r="F38">
        <v>110436.12</v>
      </c>
      <c r="G38" s="5">
        <v>1849095.425</v>
      </c>
      <c r="H38">
        <f t="shared" si="0"/>
        <v>1849095.425</v>
      </c>
      <c r="I38">
        <v>51</v>
      </c>
    </row>
    <row r="39" spans="1:9" ht="15.75" thickBot="1" x14ac:dyDescent="0.3">
      <c r="A39" s="1">
        <v>44197</v>
      </c>
      <c r="B39" t="s">
        <v>6</v>
      </c>
      <c r="C39" t="s">
        <v>7</v>
      </c>
      <c r="D39" t="s">
        <v>31</v>
      </c>
      <c r="E39" t="s">
        <v>12</v>
      </c>
      <c r="F39">
        <v>948.14</v>
      </c>
      <c r="G39" s="5">
        <v>27000</v>
      </c>
      <c r="H39">
        <f t="shared" si="0"/>
        <v>27</v>
      </c>
      <c r="I39">
        <v>3</v>
      </c>
    </row>
    <row r="40" spans="1:9" ht="15.75" thickBot="1" x14ac:dyDescent="0.3">
      <c r="A40" s="1">
        <v>44197</v>
      </c>
      <c r="B40" t="s">
        <v>6</v>
      </c>
      <c r="C40" t="s">
        <v>7</v>
      </c>
      <c r="D40" t="s">
        <v>31</v>
      </c>
      <c r="E40" t="s">
        <v>9</v>
      </c>
      <c r="F40">
        <v>1432.12</v>
      </c>
      <c r="G40" s="3">
        <v>41</v>
      </c>
      <c r="H40">
        <f t="shared" si="0"/>
        <v>41</v>
      </c>
      <c r="I40">
        <v>1</v>
      </c>
    </row>
    <row r="41" spans="1:9" ht="15.75" thickBot="1" x14ac:dyDescent="0.3">
      <c r="A41" s="1">
        <v>44197</v>
      </c>
      <c r="B41" t="s">
        <v>6</v>
      </c>
      <c r="C41" t="s">
        <v>7</v>
      </c>
      <c r="D41" t="s">
        <v>32</v>
      </c>
      <c r="E41" t="s">
        <v>14</v>
      </c>
      <c r="F41">
        <v>20716.7</v>
      </c>
      <c r="G41" s="3">
        <v>729</v>
      </c>
      <c r="H41">
        <f t="shared" si="0"/>
        <v>729</v>
      </c>
      <c r="I41">
        <v>2</v>
      </c>
    </row>
    <row r="42" spans="1:9" ht="15.75" thickBot="1" x14ac:dyDescent="0.3">
      <c r="A42" s="1">
        <v>44197</v>
      </c>
      <c r="B42" t="s">
        <v>6</v>
      </c>
      <c r="C42" t="s">
        <v>7</v>
      </c>
      <c r="D42" t="s">
        <v>32</v>
      </c>
      <c r="E42" t="s">
        <v>12</v>
      </c>
      <c r="F42">
        <v>18538.02</v>
      </c>
      <c r="G42" s="5">
        <v>336162.5</v>
      </c>
      <c r="H42">
        <f t="shared" si="0"/>
        <v>336.16250000000002</v>
      </c>
      <c r="I42">
        <v>5</v>
      </c>
    </row>
    <row r="43" spans="1:9" ht="15.75" thickBot="1" x14ac:dyDescent="0.3">
      <c r="A43" s="1">
        <v>44197</v>
      </c>
      <c r="B43" t="s">
        <v>6</v>
      </c>
      <c r="C43" t="s">
        <v>7</v>
      </c>
      <c r="D43" t="s">
        <v>33</v>
      </c>
      <c r="E43" t="s">
        <v>14</v>
      </c>
      <c r="F43">
        <v>183.32</v>
      </c>
      <c r="G43" s="3">
        <v>1</v>
      </c>
      <c r="H43">
        <f t="shared" si="0"/>
        <v>1</v>
      </c>
      <c r="I43">
        <v>1</v>
      </c>
    </row>
    <row r="44" spans="1:9" ht="15.75" thickBot="1" x14ac:dyDescent="0.3">
      <c r="A44" s="1">
        <v>44197</v>
      </c>
      <c r="B44" t="s">
        <v>6</v>
      </c>
      <c r="C44" t="s">
        <v>7</v>
      </c>
      <c r="D44" t="s">
        <v>33</v>
      </c>
      <c r="E44" t="s">
        <v>12</v>
      </c>
      <c r="F44">
        <v>57474.52</v>
      </c>
      <c r="G44" s="5">
        <v>2183376.423</v>
      </c>
      <c r="H44">
        <f t="shared" si="0"/>
        <v>2183.3764230000002</v>
      </c>
      <c r="I44">
        <v>32</v>
      </c>
    </row>
    <row r="45" spans="1:9" ht="15.75" thickBot="1" x14ac:dyDescent="0.3">
      <c r="A45" s="1">
        <v>44197</v>
      </c>
      <c r="B45" t="s">
        <v>6</v>
      </c>
      <c r="C45" t="s">
        <v>7</v>
      </c>
      <c r="D45" t="s">
        <v>33</v>
      </c>
      <c r="E45" t="s">
        <v>9</v>
      </c>
      <c r="F45">
        <v>10975.46</v>
      </c>
      <c r="G45" s="6">
        <v>212577.60800000001</v>
      </c>
      <c r="H45">
        <f t="shared" si="0"/>
        <v>212577.60800000001</v>
      </c>
      <c r="I45">
        <v>51</v>
      </c>
    </row>
    <row r="46" spans="1:9" ht="15.75" thickBot="1" x14ac:dyDescent="0.3">
      <c r="A46" s="1">
        <v>44197</v>
      </c>
      <c r="B46" t="s">
        <v>6</v>
      </c>
      <c r="C46" t="s">
        <v>7</v>
      </c>
      <c r="D46" t="s">
        <v>34</v>
      </c>
      <c r="E46" t="s">
        <v>12</v>
      </c>
      <c r="F46">
        <v>453.72</v>
      </c>
      <c r="G46" s="5">
        <v>14000</v>
      </c>
      <c r="H46">
        <f t="shared" si="0"/>
        <v>14</v>
      </c>
      <c r="I46">
        <v>1</v>
      </c>
    </row>
    <row r="47" spans="1:9" ht="15.75" thickBot="1" x14ac:dyDescent="0.3">
      <c r="A47" s="1">
        <v>44197</v>
      </c>
      <c r="B47" t="s">
        <v>6</v>
      </c>
      <c r="C47" t="s">
        <v>7</v>
      </c>
      <c r="D47" t="s">
        <v>35</v>
      </c>
      <c r="E47" t="s">
        <v>14</v>
      </c>
      <c r="F47">
        <v>2821.66</v>
      </c>
      <c r="G47" s="3">
        <v>86</v>
      </c>
      <c r="H47">
        <f t="shared" si="0"/>
        <v>86</v>
      </c>
      <c r="I47">
        <v>4</v>
      </c>
    </row>
    <row r="48" spans="1:9" ht="15.75" thickBot="1" x14ac:dyDescent="0.3">
      <c r="A48" s="1">
        <v>44197</v>
      </c>
      <c r="B48" t="s">
        <v>6</v>
      </c>
      <c r="C48" t="s">
        <v>7</v>
      </c>
      <c r="D48" t="s">
        <v>35</v>
      </c>
      <c r="E48" t="s">
        <v>24</v>
      </c>
      <c r="F48">
        <v>18238.05</v>
      </c>
      <c r="G48" s="3">
        <v>645</v>
      </c>
      <c r="H48">
        <f t="shared" si="0"/>
        <v>645</v>
      </c>
      <c r="I48">
        <v>1</v>
      </c>
    </row>
    <row r="49" spans="1:9" ht="15.75" thickBot="1" x14ac:dyDescent="0.3">
      <c r="A49" s="1">
        <v>44197</v>
      </c>
      <c r="B49" t="s">
        <v>6</v>
      </c>
      <c r="C49" t="s">
        <v>7</v>
      </c>
      <c r="D49" t="s">
        <v>35</v>
      </c>
      <c r="E49" t="s">
        <v>9</v>
      </c>
      <c r="F49">
        <v>893.25</v>
      </c>
      <c r="G49" s="3">
        <v>24</v>
      </c>
      <c r="H49">
        <f t="shared" si="0"/>
        <v>24</v>
      </c>
      <c r="I49">
        <v>2</v>
      </c>
    </row>
    <row r="50" spans="1:9" ht="15.75" thickBot="1" x14ac:dyDescent="0.3">
      <c r="A50" s="1">
        <v>44197</v>
      </c>
      <c r="B50" t="s">
        <v>6</v>
      </c>
      <c r="C50" t="s">
        <v>7</v>
      </c>
      <c r="D50" t="s">
        <v>36</v>
      </c>
      <c r="E50" t="s">
        <v>12</v>
      </c>
      <c r="F50">
        <v>2439.64</v>
      </c>
      <c r="G50" s="5">
        <v>80000</v>
      </c>
      <c r="H50">
        <f t="shared" si="0"/>
        <v>80</v>
      </c>
      <c r="I50">
        <v>5</v>
      </c>
    </row>
    <row r="51" spans="1:9" ht="15.75" thickBot="1" x14ac:dyDescent="0.3">
      <c r="A51" s="1">
        <v>44197</v>
      </c>
      <c r="B51" t="s">
        <v>6</v>
      </c>
      <c r="C51" t="s">
        <v>7</v>
      </c>
      <c r="D51" t="s">
        <v>37</v>
      </c>
      <c r="E51" t="s">
        <v>12</v>
      </c>
      <c r="F51">
        <v>2882.25</v>
      </c>
      <c r="G51" s="6">
        <v>80022.816999999995</v>
      </c>
      <c r="H51">
        <f t="shared" si="0"/>
        <v>80.022816999999989</v>
      </c>
      <c r="I51">
        <v>8</v>
      </c>
    </row>
    <row r="52" spans="1:9" ht="15.75" thickBot="1" x14ac:dyDescent="0.3">
      <c r="A52" s="1">
        <v>44197</v>
      </c>
      <c r="B52" t="s">
        <v>6</v>
      </c>
      <c r="C52" t="s">
        <v>7</v>
      </c>
      <c r="D52" t="s">
        <v>37</v>
      </c>
      <c r="E52" t="s">
        <v>9</v>
      </c>
      <c r="F52">
        <v>377.61</v>
      </c>
      <c r="G52" s="5">
        <v>11668</v>
      </c>
      <c r="H52">
        <f t="shared" si="0"/>
        <v>11668</v>
      </c>
      <c r="I52">
        <v>2</v>
      </c>
    </row>
    <row r="53" spans="1:9" ht="15.75" thickBot="1" x14ac:dyDescent="0.3">
      <c r="A53" s="1">
        <v>44197</v>
      </c>
      <c r="B53" t="s">
        <v>6</v>
      </c>
      <c r="C53" t="s">
        <v>7</v>
      </c>
      <c r="D53" t="s">
        <v>38</v>
      </c>
      <c r="E53" t="s">
        <v>14</v>
      </c>
      <c r="F53">
        <v>10034.959999999999</v>
      </c>
      <c r="G53" s="3">
        <v>228</v>
      </c>
      <c r="H53">
        <f t="shared" si="0"/>
        <v>228</v>
      </c>
      <c r="I53">
        <v>3</v>
      </c>
    </row>
    <row r="54" spans="1:9" ht="15.75" thickBot="1" x14ac:dyDescent="0.3">
      <c r="A54" s="1">
        <v>44197</v>
      </c>
      <c r="B54" t="s">
        <v>6</v>
      </c>
      <c r="C54" t="s">
        <v>7</v>
      </c>
      <c r="D54" t="s">
        <v>38</v>
      </c>
      <c r="E54" t="s">
        <v>24</v>
      </c>
      <c r="F54">
        <v>625</v>
      </c>
      <c r="G54" s="3">
        <v>0</v>
      </c>
      <c r="H54">
        <f t="shared" si="0"/>
        <v>0</v>
      </c>
      <c r="I54">
        <v>1</v>
      </c>
    </row>
    <row r="55" spans="1:9" ht="15.75" thickBot="1" x14ac:dyDescent="0.3">
      <c r="A55" s="1">
        <v>44197</v>
      </c>
      <c r="B55" t="s">
        <v>6</v>
      </c>
      <c r="C55" t="s">
        <v>7</v>
      </c>
      <c r="D55" t="s">
        <v>38</v>
      </c>
      <c r="E55" t="s">
        <v>12</v>
      </c>
      <c r="F55">
        <v>546.47</v>
      </c>
      <c r="G55" s="5">
        <v>19000</v>
      </c>
      <c r="H55">
        <f t="shared" si="0"/>
        <v>19</v>
      </c>
      <c r="I55">
        <v>2</v>
      </c>
    </row>
    <row r="56" spans="1:9" ht="15.75" thickBot="1" x14ac:dyDescent="0.3">
      <c r="A56" s="1">
        <v>44197</v>
      </c>
      <c r="B56" t="s">
        <v>6</v>
      </c>
      <c r="C56" t="s">
        <v>7</v>
      </c>
      <c r="D56" t="s">
        <v>38</v>
      </c>
      <c r="E56" t="s">
        <v>9</v>
      </c>
      <c r="F56">
        <v>5810.85</v>
      </c>
      <c r="G56" s="3">
        <v>204</v>
      </c>
      <c r="H56">
        <f t="shared" si="0"/>
        <v>204</v>
      </c>
      <c r="I56">
        <v>2</v>
      </c>
    </row>
    <row r="57" spans="1:9" ht="15.75" thickBot="1" x14ac:dyDescent="0.3">
      <c r="A57" s="1">
        <v>44197</v>
      </c>
      <c r="B57" t="s">
        <v>6</v>
      </c>
      <c r="C57" t="s">
        <v>7</v>
      </c>
      <c r="D57" t="s">
        <v>38</v>
      </c>
      <c r="E57" t="s">
        <v>17</v>
      </c>
      <c r="F57">
        <v>2407.9499999999998</v>
      </c>
      <c r="G57" s="5">
        <v>117253.787</v>
      </c>
      <c r="H57">
        <f t="shared" si="0"/>
        <v>117253.787</v>
      </c>
      <c r="I57">
        <v>1</v>
      </c>
    </row>
    <row r="58" spans="1:9" ht="15.75" thickBot="1" x14ac:dyDescent="0.3">
      <c r="A58" s="1">
        <v>44197</v>
      </c>
      <c r="B58" t="s">
        <v>6</v>
      </c>
      <c r="C58" t="s">
        <v>7</v>
      </c>
      <c r="D58" t="s">
        <v>39</v>
      </c>
      <c r="E58" t="s">
        <v>12</v>
      </c>
      <c r="F58">
        <v>56</v>
      </c>
      <c r="G58" s="5">
        <v>0</v>
      </c>
      <c r="H58">
        <f t="shared" si="0"/>
        <v>0</v>
      </c>
      <c r="I58">
        <v>1</v>
      </c>
    </row>
    <row r="59" spans="1:9" ht="15.75" thickBot="1" x14ac:dyDescent="0.3">
      <c r="A59" s="1">
        <v>44197</v>
      </c>
      <c r="B59" t="s">
        <v>6</v>
      </c>
      <c r="C59" t="s">
        <v>7</v>
      </c>
      <c r="D59" t="s">
        <v>40</v>
      </c>
      <c r="E59" t="s">
        <v>9</v>
      </c>
      <c r="F59">
        <v>1886.44</v>
      </c>
      <c r="G59" s="3">
        <v>67</v>
      </c>
      <c r="H59">
        <f t="shared" si="0"/>
        <v>67</v>
      </c>
      <c r="I59">
        <v>1</v>
      </c>
    </row>
    <row r="60" spans="1:9" ht="15.75" thickBot="1" x14ac:dyDescent="0.3">
      <c r="A60" s="1">
        <v>44197</v>
      </c>
      <c r="B60" t="s">
        <v>6</v>
      </c>
      <c r="C60" t="s">
        <v>7</v>
      </c>
      <c r="D60" t="s">
        <v>41</v>
      </c>
      <c r="E60" t="s">
        <v>9</v>
      </c>
      <c r="F60">
        <v>81.569999999999993</v>
      </c>
      <c r="G60" s="4">
        <v>0</v>
      </c>
      <c r="H60">
        <f t="shared" si="0"/>
        <v>0</v>
      </c>
      <c r="I60">
        <v>1</v>
      </c>
    </row>
    <row r="61" spans="1:9" ht="15.75" thickBot="1" x14ac:dyDescent="0.3">
      <c r="A61" s="1">
        <v>44197</v>
      </c>
      <c r="B61" t="s">
        <v>6</v>
      </c>
      <c r="C61" t="s">
        <v>7</v>
      </c>
      <c r="D61" t="s">
        <v>42</v>
      </c>
      <c r="E61" t="s">
        <v>24</v>
      </c>
      <c r="F61">
        <v>22190.720000000001</v>
      </c>
      <c r="G61" s="6">
        <v>100714.06299999999</v>
      </c>
      <c r="H61">
        <f t="shared" si="0"/>
        <v>100714.06299999999</v>
      </c>
      <c r="I61">
        <v>158</v>
      </c>
    </row>
    <row r="62" spans="1:9" ht="15.75" thickBot="1" x14ac:dyDescent="0.3">
      <c r="A62" s="1">
        <v>44197</v>
      </c>
      <c r="B62" t="s">
        <v>6</v>
      </c>
      <c r="C62" t="s">
        <v>7</v>
      </c>
      <c r="D62" t="s">
        <v>43</v>
      </c>
      <c r="E62" t="s">
        <v>24</v>
      </c>
      <c r="F62">
        <v>4488.47</v>
      </c>
      <c r="G62" s="3">
        <v>144</v>
      </c>
      <c r="H62">
        <f t="shared" si="0"/>
        <v>144</v>
      </c>
      <c r="I62">
        <v>2</v>
      </c>
    </row>
    <row r="63" spans="1:9" ht="15.75" thickBot="1" x14ac:dyDescent="0.3">
      <c r="A63" s="1">
        <v>44197</v>
      </c>
      <c r="B63" t="s">
        <v>6</v>
      </c>
      <c r="C63" t="s">
        <v>7</v>
      </c>
      <c r="D63" t="s">
        <v>44</v>
      </c>
      <c r="E63" t="s">
        <v>24</v>
      </c>
      <c r="F63">
        <v>8173.55</v>
      </c>
      <c r="G63" s="3">
        <v>93</v>
      </c>
      <c r="H63">
        <f t="shared" si="0"/>
        <v>93</v>
      </c>
      <c r="I63">
        <v>1</v>
      </c>
    </row>
    <row r="64" spans="1:9" ht="15.75" thickBot="1" x14ac:dyDescent="0.3">
      <c r="A64" s="1">
        <v>44197</v>
      </c>
      <c r="B64" t="s">
        <v>6</v>
      </c>
      <c r="C64" t="s">
        <v>7</v>
      </c>
      <c r="D64" t="s">
        <v>44</v>
      </c>
      <c r="E64" t="s">
        <v>12</v>
      </c>
      <c r="F64">
        <v>268.73</v>
      </c>
      <c r="G64" s="5">
        <v>10000</v>
      </c>
      <c r="H64">
        <f t="shared" si="0"/>
        <v>10</v>
      </c>
      <c r="I64">
        <v>1</v>
      </c>
    </row>
    <row r="65" spans="1:9" ht="15.75" thickBot="1" x14ac:dyDescent="0.3">
      <c r="A65" s="1">
        <v>44197</v>
      </c>
      <c r="B65" t="s">
        <v>6</v>
      </c>
      <c r="C65" t="s">
        <v>7</v>
      </c>
      <c r="D65" t="s">
        <v>44</v>
      </c>
      <c r="E65" t="s">
        <v>9</v>
      </c>
      <c r="F65">
        <v>81.569999999999993</v>
      </c>
      <c r="G65" s="4">
        <v>0</v>
      </c>
      <c r="H65">
        <f t="shared" si="0"/>
        <v>0</v>
      </c>
      <c r="I65">
        <v>1</v>
      </c>
    </row>
    <row r="66" spans="1:9" ht="15.75" thickBot="1" x14ac:dyDescent="0.3">
      <c r="A66" s="1">
        <v>44197</v>
      </c>
      <c r="B66" t="s">
        <v>6</v>
      </c>
      <c r="C66" t="s">
        <v>7</v>
      </c>
      <c r="D66" t="s">
        <v>45</v>
      </c>
      <c r="E66" t="s">
        <v>14</v>
      </c>
      <c r="F66">
        <v>23069.040000000001</v>
      </c>
      <c r="G66" s="3">
        <v>547</v>
      </c>
      <c r="H66">
        <f t="shared" si="0"/>
        <v>547</v>
      </c>
      <c r="I66">
        <v>2</v>
      </c>
    </row>
    <row r="67" spans="1:9" ht="15.75" thickBot="1" x14ac:dyDescent="0.3">
      <c r="A67" s="1">
        <v>44197</v>
      </c>
      <c r="B67" t="s">
        <v>6</v>
      </c>
      <c r="C67" t="s">
        <v>7</v>
      </c>
      <c r="D67" t="s">
        <v>45</v>
      </c>
      <c r="E67" t="s">
        <v>24</v>
      </c>
      <c r="F67">
        <v>5691.77</v>
      </c>
      <c r="G67" s="3">
        <v>185</v>
      </c>
      <c r="H67">
        <f t="shared" ref="H67:H130" si="1">IF(ISNUMBER(SEARCH("Domestic customer", E67)),G67/1000,G67)</f>
        <v>185</v>
      </c>
      <c r="I67">
        <v>1</v>
      </c>
    </row>
    <row r="68" spans="1:9" ht="15.75" thickBot="1" x14ac:dyDescent="0.3">
      <c r="A68" s="1">
        <v>44197</v>
      </c>
      <c r="B68" t="s">
        <v>6</v>
      </c>
      <c r="C68" t="s">
        <v>7</v>
      </c>
      <c r="D68" t="s">
        <v>46</v>
      </c>
      <c r="E68" t="s">
        <v>9</v>
      </c>
      <c r="F68">
        <v>210.64</v>
      </c>
      <c r="G68" s="3">
        <v>2</v>
      </c>
      <c r="H68">
        <f t="shared" si="1"/>
        <v>2</v>
      </c>
      <c r="I68">
        <v>1</v>
      </c>
    </row>
    <row r="69" spans="1:9" ht="15.75" thickBot="1" x14ac:dyDescent="0.3">
      <c r="A69" s="1">
        <v>44197</v>
      </c>
      <c r="B69" t="s">
        <v>6</v>
      </c>
      <c r="C69" t="s">
        <v>7</v>
      </c>
      <c r="D69" t="s">
        <v>47</v>
      </c>
      <c r="E69" t="s">
        <v>14</v>
      </c>
      <c r="F69">
        <v>46890.06</v>
      </c>
      <c r="G69" s="3">
        <v>1281</v>
      </c>
      <c r="H69">
        <f t="shared" si="1"/>
        <v>1281</v>
      </c>
      <c r="I69">
        <v>9</v>
      </c>
    </row>
    <row r="70" spans="1:9" ht="15.75" thickBot="1" x14ac:dyDescent="0.3">
      <c r="A70" s="1">
        <v>44197</v>
      </c>
      <c r="B70" t="s">
        <v>6</v>
      </c>
      <c r="C70" t="s">
        <v>7</v>
      </c>
      <c r="D70" t="s">
        <v>47</v>
      </c>
      <c r="E70" t="s">
        <v>24</v>
      </c>
      <c r="F70">
        <v>24229.56</v>
      </c>
      <c r="G70" s="3">
        <v>533</v>
      </c>
      <c r="H70">
        <f t="shared" si="1"/>
        <v>533</v>
      </c>
      <c r="I70">
        <v>13</v>
      </c>
    </row>
    <row r="71" spans="1:9" ht="15.75" thickBot="1" x14ac:dyDescent="0.3">
      <c r="A71" s="1">
        <v>44197</v>
      </c>
      <c r="B71" t="s">
        <v>6</v>
      </c>
      <c r="C71" t="s">
        <v>7</v>
      </c>
      <c r="D71" t="s">
        <v>47</v>
      </c>
      <c r="E71" t="s">
        <v>9</v>
      </c>
      <c r="F71">
        <v>244.71</v>
      </c>
      <c r="G71" s="4">
        <v>0</v>
      </c>
      <c r="H71">
        <f t="shared" si="1"/>
        <v>0</v>
      </c>
      <c r="I71">
        <v>3</v>
      </c>
    </row>
    <row r="72" spans="1:9" ht="15.75" thickBot="1" x14ac:dyDescent="0.3">
      <c r="A72" s="1">
        <v>44197</v>
      </c>
      <c r="B72" t="s">
        <v>6</v>
      </c>
      <c r="C72" t="s">
        <v>7</v>
      </c>
      <c r="D72" t="s">
        <v>48</v>
      </c>
      <c r="E72" t="s">
        <v>14</v>
      </c>
      <c r="F72">
        <v>2074.0700000000002</v>
      </c>
      <c r="G72" s="3">
        <v>59</v>
      </c>
      <c r="H72">
        <f t="shared" si="1"/>
        <v>59</v>
      </c>
      <c r="I72">
        <v>3</v>
      </c>
    </row>
    <row r="73" spans="1:9" ht="15.75" thickBot="1" x14ac:dyDescent="0.3">
      <c r="A73" s="1">
        <v>44197</v>
      </c>
      <c r="B73" t="s">
        <v>6</v>
      </c>
      <c r="C73" t="s">
        <v>7</v>
      </c>
      <c r="D73" t="s">
        <v>48</v>
      </c>
      <c r="E73" t="s">
        <v>12</v>
      </c>
      <c r="F73">
        <v>22443.77</v>
      </c>
      <c r="G73" s="5">
        <v>756662.34400000004</v>
      </c>
      <c r="H73">
        <f t="shared" si="1"/>
        <v>756.66234400000008</v>
      </c>
      <c r="I73">
        <v>75</v>
      </c>
    </row>
    <row r="74" spans="1:9" ht="15.75" thickBot="1" x14ac:dyDescent="0.3">
      <c r="A74" s="1">
        <v>44197</v>
      </c>
      <c r="B74" t="s">
        <v>6</v>
      </c>
      <c r="C74" t="s">
        <v>7</v>
      </c>
      <c r="D74" t="s">
        <v>48</v>
      </c>
      <c r="E74" t="s">
        <v>9</v>
      </c>
      <c r="F74">
        <v>2343.66</v>
      </c>
      <c r="G74" s="5">
        <v>102444.2</v>
      </c>
      <c r="H74">
        <f t="shared" si="1"/>
        <v>102444.2</v>
      </c>
      <c r="I74">
        <v>5</v>
      </c>
    </row>
    <row r="75" spans="1:9" ht="15.75" thickBot="1" x14ac:dyDescent="0.3">
      <c r="A75" s="1">
        <v>44197</v>
      </c>
      <c r="B75" t="s">
        <v>6</v>
      </c>
      <c r="C75" t="s">
        <v>7</v>
      </c>
      <c r="D75" t="s">
        <v>48</v>
      </c>
      <c r="E75" t="s">
        <v>17</v>
      </c>
      <c r="F75">
        <v>189.46</v>
      </c>
      <c r="G75" s="5">
        <v>6000</v>
      </c>
      <c r="H75">
        <f t="shared" si="1"/>
        <v>6000</v>
      </c>
      <c r="I75">
        <v>1</v>
      </c>
    </row>
    <row r="76" spans="1:9" ht="15.75" thickBot="1" x14ac:dyDescent="0.3">
      <c r="A76" s="1">
        <v>44197</v>
      </c>
      <c r="B76" t="s">
        <v>6</v>
      </c>
      <c r="C76" t="s">
        <v>7</v>
      </c>
      <c r="D76" t="s">
        <v>49</v>
      </c>
      <c r="E76" t="s">
        <v>14</v>
      </c>
      <c r="F76">
        <v>29414.53</v>
      </c>
      <c r="G76" s="3">
        <v>502</v>
      </c>
      <c r="H76">
        <f t="shared" si="1"/>
        <v>502</v>
      </c>
      <c r="I76">
        <v>1</v>
      </c>
    </row>
    <row r="77" spans="1:9" ht="15.75" thickBot="1" x14ac:dyDescent="0.3">
      <c r="A77" s="1">
        <v>44197</v>
      </c>
      <c r="B77" t="s">
        <v>6</v>
      </c>
      <c r="C77" t="s">
        <v>7</v>
      </c>
      <c r="D77" t="s">
        <v>49</v>
      </c>
      <c r="E77" t="s">
        <v>9</v>
      </c>
      <c r="F77">
        <v>1396.68</v>
      </c>
      <c r="G77" s="3">
        <v>74</v>
      </c>
      <c r="H77">
        <f t="shared" si="1"/>
        <v>74</v>
      </c>
      <c r="I77">
        <v>1</v>
      </c>
    </row>
    <row r="78" spans="1:9" ht="15.75" thickBot="1" x14ac:dyDescent="0.3">
      <c r="A78" s="1">
        <v>44197</v>
      </c>
      <c r="B78" t="s">
        <v>6</v>
      </c>
      <c r="C78" t="s">
        <v>7</v>
      </c>
      <c r="D78" t="s">
        <v>50</v>
      </c>
      <c r="E78" t="s">
        <v>14</v>
      </c>
      <c r="F78">
        <v>4587.3</v>
      </c>
      <c r="G78" s="3">
        <v>143</v>
      </c>
      <c r="H78">
        <f t="shared" si="1"/>
        <v>143</v>
      </c>
      <c r="I78">
        <v>2</v>
      </c>
    </row>
    <row r="79" spans="1:9" ht="15.75" thickBot="1" x14ac:dyDescent="0.3">
      <c r="A79" s="1">
        <v>44197</v>
      </c>
      <c r="B79" t="s">
        <v>6</v>
      </c>
      <c r="C79" t="s">
        <v>7</v>
      </c>
      <c r="D79" t="s">
        <v>50</v>
      </c>
      <c r="E79" t="s">
        <v>24</v>
      </c>
      <c r="F79">
        <v>16784.830000000002</v>
      </c>
      <c r="G79" s="3">
        <v>570</v>
      </c>
      <c r="H79">
        <f t="shared" si="1"/>
        <v>570</v>
      </c>
      <c r="I79">
        <v>2</v>
      </c>
    </row>
    <row r="80" spans="1:9" ht="15.75" thickBot="1" x14ac:dyDescent="0.3">
      <c r="A80" s="1">
        <v>44197</v>
      </c>
      <c r="B80" t="s">
        <v>6</v>
      </c>
      <c r="C80" t="s">
        <v>7</v>
      </c>
      <c r="D80" t="s">
        <v>50</v>
      </c>
      <c r="E80" t="s">
        <v>12</v>
      </c>
      <c r="F80">
        <v>11567.33</v>
      </c>
      <c r="G80" s="5">
        <v>445000</v>
      </c>
      <c r="H80">
        <f t="shared" si="1"/>
        <v>445</v>
      </c>
      <c r="I80">
        <v>5</v>
      </c>
    </row>
    <row r="81" spans="1:9" ht="15.75" thickBot="1" x14ac:dyDescent="0.3">
      <c r="A81" s="1">
        <v>44197</v>
      </c>
      <c r="B81" t="s">
        <v>6</v>
      </c>
      <c r="C81" t="s">
        <v>7</v>
      </c>
      <c r="D81" t="s">
        <v>50</v>
      </c>
      <c r="E81" t="s">
        <v>9</v>
      </c>
      <c r="F81">
        <v>305.74</v>
      </c>
      <c r="G81" s="6">
        <v>2006</v>
      </c>
      <c r="H81">
        <f t="shared" si="1"/>
        <v>2006</v>
      </c>
      <c r="I81">
        <v>2</v>
      </c>
    </row>
    <row r="82" spans="1:9" ht="15.75" thickBot="1" x14ac:dyDescent="0.3">
      <c r="A82" s="1">
        <v>44197</v>
      </c>
      <c r="B82" t="s">
        <v>6</v>
      </c>
      <c r="C82" t="s">
        <v>7</v>
      </c>
      <c r="D82" t="s">
        <v>51</v>
      </c>
      <c r="E82" t="s">
        <v>12</v>
      </c>
      <c r="F82">
        <v>1810.99</v>
      </c>
      <c r="G82" s="5">
        <v>50000</v>
      </c>
      <c r="H82">
        <f t="shared" si="1"/>
        <v>50</v>
      </c>
      <c r="I82">
        <v>1</v>
      </c>
    </row>
    <row r="83" spans="1:9" ht="15.75" thickBot="1" x14ac:dyDescent="0.3">
      <c r="A83" s="1">
        <v>44197</v>
      </c>
      <c r="B83" t="s">
        <v>6</v>
      </c>
      <c r="C83" t="s">
        <v>7</v>
      </c>
      <c r="D83" t="s">
        <v>52</v>
      </c>
      <c r="E83" t="s">
        <v>12</v>
      </c>
      <c r="F83">
        <v>1568.02</v>
      </c>
      <c r="G83" s="5">
        <v>49000</v>
      </c>
      <c r="H83">
        <f t="shared" si="1"/>
        <v>49</v>
      </c>
      <c r="I83">
        <v>3</v>
      </c>
    </row>
    <row r="84" spans="1:9" ht="15.75" thickBot="1" x14ac:dyDescent="0.3">
      <c r="A84" s="1">
        <v>44197</v>
      </c>
      <c r="B84" t="s">
        <v>6</v>
      </c>
      <c r="C84" t="s">
        <v>7</v>
      </c>
      <c r="D84" t="s">
        <v>52</v>
      </c>
      <c r="E84" t="s">
        <v>9</v>
      </c>
      <c r="F84">
        <v>163.13999999999999</v>
      </c>
      <c r="G84" s="4">
        <v>0</v>
      </c>
      <c r="H84">
        <f t="shared" si="1"/>
        <v>0</v>
      </c>
      <c r="I84">
        <v>2</v>
      </c>
    </row>
    <row r="85" spans="1:9" ht="15.75" thickBot="1" x14ac:dyDescent="0.3">
      <c r="A85" s="1">
        <v>44197</v>
      </c>
      <c r="B85" t="s">
        <v>6</v>
      </c>
      <c r="C85" t="s">
        <v>7</v>
      </c>
      <c r="D85" t="s">
        <v>53</v>
      </c>
      <c r="E85" t="s">
        <v>14</v>
      </c>
      <c r="F85">
        <v>2411.88</v>
      </c>
      <c r="G85" s="3">
        <v>59</v>
      </c>
      <c r="H85">
        <f t="shared" si="1"/>
        <v>59</v>
      </c>
      <c r="I85">
        <v>1</v>
      </c>
    </row>
    <row r="86" spans="1:9" ht="15.75" thickBot="1" x14ac:dyDescent="0.3">
      <c r="A86" s="1">
        <v>44197</v>
      </c>
      <c r="B86" t="s">
        <v>6</v>
      </c>
      <c r="C86" t="s">
        <v>7</v>
      </c>
      <c r="D86" t="s">
        <v>53</v>
      </c>
      <c r="E86" t="s">
        <v>12</v>
      </c>
      <c r="F86">
        <v>346320.31</v>
      </c>
      <c r="G86" s="5">
        <v>548762.63600000006</v>
      </c>
      <c r="H86">
        <f t="shared" si="1"/>
        <v>548.76263600000004</v>
      </c>
      <c r="I86">
        <v>13</v>
      </c>
    </row>
    <row r="87" spans="1:9" ht="15.75" thickBot="1" x14ac:dyDescent="0.3">
      <c r="A87" s="1">
        <v>44197</v>
      </c>
      <c r="B87" t="s">
        <v>6</v>
      </c>
      <c r="C87" t="s">
        <v>7</v>
      </c>
      <c r="D87" t="s">
        <v>53</v>
      </c>
      <c r="E87" t="s">
        <v>9</v>
      </c>
      <c r="F87">
        <v>36242.93</v>
      </c>
      <c r="G87" s="5">
        <v>1352000</v>
      </c>
      <c r="H87">
        <f t="shared" si="1"/>
        <v>1352000</v>
      </c>
      <c r="I87">
        <v>23</v>
      </c>
    </row>
    <row r="88" spans="1:9" ht="15.75" thickBot="1" x14ac:dyDescent="0.3">
      <c r="A88" s="1">
        <v>44197</v>
      </c>
      <c r="B88" t="s">
        <v>6</v>
      </c>
      <c r="C88" t="s">
        <v>7</v>
      </c>
      <c r="D88" t="s">
        <v>53</v>
      </c>
      <c r="E88" t="s">
        <v>17</v>
      </c>
      <c r="F88">
        <v>306.33</v>
      </c>
      <c r="G88" s="5">
        <v>7000</v>
      </c>
      <c r="H88">
        <f t="shared" si="1"/>
        <v>7000</v>
      </c>
      <c r="I88">
        <v>1</v>
      </c>
    </row>
    <row r="89" spans="1:9" ht="15.75" thickBot="1" x14ac:dyDescent="0.3">
      <c r="A89" s="1">
        <v>44197</v>
      </c>
      <c r="B89" t="s">
        <v>6</v>
      </c>
      <c r="C89" t="s">
        <v>7</v>
      </c>
      <c r="D89" t="s">
        <v>54</v>
      </c>
      <c r="E89" t="s">
        <v>14</v>
      </c>
      <c r="F89">
        <v>2610.84</v>
      </c>
      <c r="G89" s="3">
        <v>37</v>
      </c>
      <c r="H89">
        <f t="shared" si="1"/>
        <v>37</v>
      </c>
      <c r="I89">
        <v>1</v>
      </c>
    </row>
    <row r="90" spans="1:9" ht="15.75" thickBot="1" x14ac:dyDescent="0.3">
      <c r="A90" s="1">
        <v>44197</v>
      </c>
      <c r="B90" t="s">
        <v>6</v>
      </c>
      <c r="C90" t="s">
        <v>7</v>
      </c>
      <c r="D90" t="s">
        <v>54</v>
      </c>
      <c r="E90" t="s">
        <v>12</v>
      </c>
      <c r="F90">
        <v>911.32</v>
      </c>
      <c r="G90" s="5">
        <v>17281.823</v>
      </c>
      <c r="H90">
        <f t="shared" si="1"/>
        <v>17.281822999999999</v>
      </c>
      <c r="I90">
        <v>5</v>
      </c>
    </row>
    <row r="91" spans="1:9" ht="15.75" thickBot="1" x14ac:dyDescent="0.3">
      <c r="A91" s="1">
        <v>44197</v>
      </c>
      <c r="B91" t="s">
        <v>6</v>
      </c>
      <c r="C91" t="s">
        <v>7</v>
      </c>
      <c r="D91" t="s">
        <v>54</v>
      </c>
      <c r="E91" t="s">
        <v>9</v>
      </c>
      <c r="F91">
        <v>356</v>
      </c>
      <c r="G91" s="3">
        <v>0</v>
      </c>
      <c r="H91">
        <f t="shared" si="1"/>
        <v>0</v>
      </c>
      <c r="I91">
        <v>2</v>
      </c>
    </row>
    <row r="92" spans="1:9" ht="15.75" thickBot="1" x14ac:dyDescent="0.3">
      <c r="A92" s="1">
        <v>44197</v>
      </c>
      <c r="B92" t="s">
        <v>6</v>
      </c>
      <c r="C92" t="s">
        <v>7</v>
      </c>
      <c r="D92" t="s">
        <v>55</v>
      </c>
      <c r="E92" t="s">
        <v>12</v>
      </c>
      <c r="F92">
        <v>0</v>
      </c>
      <c r="G92" s="5">
        <v>12000</v>
      </c>
      <c r="H92">
        <f t="shared" si="1"/>
        <v>12</v>
      </c>
      <c r="I92">
        <v>1</v>
      </c>
    </row>
    <row r="93" spans="1:9" ht="15.75" thickBot="1" x14ac:dyDescent="0.3">
      <c r="A93" s="1">
        <v>44197</v>
      </c>
      <c r="B93" t="s">
        <v>6</v>
      </c>
      <c r="C93" t="s">
        <v>7</v>
      </c>
      <c r="D93" t="s">
        <v>56</v>
      </c>
      <c r="E93" t="s">
        <v>12</v>
      </c>
      <c r="F93">
        <v>4348.12</v>
      </c>
      <c r="G93" s="5">
        <v>91000</v>
      </c>
      <c r="H93">
        <f t="shared" si="1"/>
        <v>91</v>
      </c>
      <c r="I93">
        <v>9</v>
      </c>
    </row>
    <row r="94" spans="1:9" ht="15.75" thickBot="1" x14ac:dyDescent="0.3">
      <c r="A94" s="1">
        <v>44197</v>
      </c>
      <c r="B94" t="s">
        <v>6</v>
      </c>
      <c r="C94" t="s">
        <v>7</v>
      </c>
      <c r="D94" t="s">
        <v>56</v>
      </c>
      <c r="E94" t="s">
        <v>9</v>
      </c>
      <c r="F94">
        <v>326.27999999999997</v>
      </c>
      <c r="G94" s="4">
        <v>0</v>
      </c>
      <c r="H94">
        <f t="shared" si="1"/>
        <v>0</v>
      </c>
      <c r="I94">
        <v>4</v>
      </c>
    </row>
    <row r="95" spans="1:9" ht="15.75" thickBot="1" x14ac:dyDescent="0.3">
      <c r="A95" s="1">
        <v>44197</v>
      </c>
      <c r="B95" t="s">
        <v>6</v>
      </c>
      <c r="C95" t="s">
        <v>7</v>
      </c>
      <c r="D95" t="s">
        <v>56</v>
      </c>
      <c r="E95" t="s">
        <v>17</v>
      </c>
      <c r="F95">
        <v>185.82</v>
      </c>
      <c r="G95" s="5">
        <v>2000</v>
      </c>
      <c r="H95">
        <f t="shared" si="1"/>
        <v>2000</v>
      </c>
      <c r="I95">
        <v>1</v>
      </c>
    </row>
    <row r="96" spans="1:9" ht="15.75" thickBot="1" x14ac:dyDescent="0.3">
      <c r="A96" s="1">
        <v>44197</v>
      </c>
      <c r="B96" t="s">
        <v>6</v>
      </c>
      <c r="C96" t="s">
        <v>7</v>
      </c>
      <c r="D96" t="s">
        <v>57</v>
      </c>
      <c r="E96" t="s">
        <v>14</v>
      </c>
      <c r="F96">
        <v>11462.52</v>
      </c>
      <c r="G96" s="3">
        <v>361</v>
      </c>
      <c r="H96">
        <f t="shared" si="1"/>
        <v>361</v>
      </c>
      <c r="I96">
        <v>1</v>
      </c>
    </row>
    <row r="97" spans="1:9" ht="15.75" thickBot="1" x14ac:dyDescent="0.3">
      <c r="A97" s="1">
        <v>44197</v>
      </c>
      <c r="B97" t="s">
        <v>6</v>
      </c>
      <c r="C97" t="s">
        <v>7</v>
      </c>
      <c r="D97" t="s">
        <v>57</v>
      </c>
      <c r="E97" t="s">
        <v>12</v>
      </c>
      <c r="F97">
        <v>1774.77</v>
      </c>
      <c r="G97" s="5">
        <v>31000</v>
      </c>
      <c r="H97">
        <f t="shared" si="1"/>
        <v>31</v>
      </c>
      <c r="I97">
        <v>7</v>
      </c>
    </row>
    <row r="98" spans="1:9" ht="15.75" thickBot="1" x14ac:dyDescent="0.3">
      <c r="A98" s="1">
        <v>44197</v>
      </c>
      <c r="B98" t="s">
        <v>6</v>
      </c>
      <c r="C98" t="s">
        <v>7</v>
      </c>
      <c r="D98" t="s">
        <v>57</v>
      </c>
      <c r="E98" t="s">
        <v>17</v>
      </c>
      <c r="F98">
        <v>56</v>
      </c>
      <c r="G98" s="5">
        <v>0</v>
      </c>
      <c r="H98">
        <f t="shared" si="1"/>
        <v>0</v>
      </c>
      <c r="I98">
        <v>1</v>
      </c>
    </row>
    <row r="99" spans="1:9" ht="15.75" thickBot="1" x14ac:dyDescent="0.3">
      <c r="A99" s="1">
        <v>44197</v>
      </c>
      <c r="B99" t="s">
        <v>6</v>
      </c>
      <c r="C99" t="s">
        <v>7</v>
      </c>
      <c r="D99" t="s">
        <v>58</v>
      </c>
      <c r="E99" t="s">
        <v>14</v>
      </c>
      <c r="F99">
        <v>3688.68</v>
      </c>
      <c r="G99" s="3">
        <v>106</v>
      </c>
      <c r="H99">
        <f t="shared" si="1"/>
        <v>106</v>
      </c>
      <c r="I99">
        <v>1</v>
      </c>
    </row>
    <row r="100" spans="1:9" ht="15.75" thickBot="1" x14ac:dyDescent="0.3">
      <c r="A100" s="1">
        <v>44197</v>
      </c>
      <c r="B100" t="s">
        <v>6</v>
      </c>
      <c r="C100" t="s">
        <v>7</v>
      </c>
      <c r="D100" t="s">
        <v>58</v>
      </c>
      <c r="E100" t="s">
        <v>24</v>
      </c>
      <c r="F100">
        <v>0</v>
      </c>
      <c r="G100" s="3">
        <v>0</v>
      </c>
      <c r="H100">
        <f t="shared" si="1"/>
        <v>0</v>
      </c>
      <c r="I100">
        <v>1</v>
      </c>
    </row>
    <row r="101" spans="1:9" ht="15.75" thickBot="1" x14ac:dyDescent="0.3">
      <c r="A101" s="1">
        <v>44197</v>
      </c>
      <c r="B101" t="s">
        <v>6</v>
      </c>
      <c r="C101" t="s">
        <v>7</v>
      </c>
      <c r="D101" t="s">
        <v>58</v>
      </c>
      <c r="E101" t="s">
        <v>12</v>
      </c>
      <c r="F101">
        <v>2933.27</v>
      </c>
      <c r="G101" s="6">
        <v>3356.752</v>
      </c>
      <c r="H101">
        <f t="shared" si="1"/>
        <v>3.3567519999999997</v>
      </c>
      <c r="I101">
        <v>2</v>
      </c>
    </row>
    <row r="102" spans="1:9" ht="15.75" thickBot="1" x14ac:dyDescent="0.3">
      <c r="A102" s="1">
        <v>44197</v>
      </c>
      <c r="B102" t="s">
        <v>6</v>
      </c>
      <c r="C102" t="s">
        <v>7</v>
      </c>
      <c r="D102" t="s">
        <v>58</v>
      </c>
      <c r="E102" t="s">
        <v>15</v>
      </c>
      <c r="F102">
        <v>10221.75</v>
      </c>
      <c r="G102" s="3">
        <v>138</v>
      </c>
      <c r="H102">
        <f t="shared" si="1"/>
        <v>138</v>
      </c>
      <c r="I102">
        <v>11</v>
      </c>
    </row>
    <row r="103" spans="1:9" ht="15.75" thickBot="1" x14ac:dyDescent="0.3">
      <c r="A103" s="1">
        <v>44197</v>
      </c>
      <c r="B103" t="s">
        <v>6</v>
      </c>
      <c r="C103" t="s">
        <v>7</v>
      </c>
      <c r="D103" t="s">
        <v>58</v>
      </c>
      <c r="E103" t="s">
        <v>9</v>
      </c>
      <c r="F103">
        <v>6508.98</v>
      </c>
      <c r="G103" s="3">
        <v>107</v>
      </c>
      <c r="H103">
        <f t="shared" si="1"/>
        <v>107</v>
      </c>
      <c r="I103">
        <v>15</v>
      </c>
    </row>
    <row r="104" spans="1:9" ht="15.75" thickBot="1" x14ac:dyDescent="0.3">
      <c r="A104" s="1">
        <v>44197</v>
      </c>
      <c r="B104" t="s">
        <v>6</v>
      </c>
      <c r="C104" t="s">
        <v>7</v>
      </c>
      <c r="D104" t="s">
        <v>59</v>
      </c>
      <c r="E104" t="s">
        <v>14</v>
      </c>
      <c r="F104">
        <v>875.67</v>
      </c>
      <c r="G104" s="3">
        <v>26</v>
      </c>
      <c r="H104">
        <f t="shared" si="1"/>
        <v>26</v>
      </c>
      <c r="I104">
        <v>1</v>
      </c>
    </row>
    <row r="105" spans="1:9" ht="15.75" thickBot="1" x14ac:dyDescent="0.3">
      <c r="A105" s="1">
        <v>44197</v>
      </c>
      <c r="B105" t="s">
        <v>6</v>
      </c>
      <c r="C105" t="s">
        <v>7</v>
      </c>
      <c r="D105" t="s">
        <v>59</v>
      </c>
      <c r="E105" t="s">
        <v>24</v>
      </c>
      <c r="F105">
        <v>50753.5</v>
      </c>
      <c r="G105" s="3">
        <v>1652</v>
      </c>
      <c r="H105">
        <f t="shared" si="1"/>
        <v>1652</v>
      </c>
      <c r="I105">
        <v>1</v>
      </c>
    </row>
    <row r="106" spans="1:9" ht="15.75" thickBot="1" x14ac:dyDescent="0.3">
      <c r="A106" s="1">
        <v>44197</v>
      </c>
      <c r="B106" t="s">
        <v>6</v>
      </c>
      <c r="C106" t="s">
        <v>7</v>
      </c>
      <c r="D106" t="s">
        <v>59</v>
      </c>
      <c r="E106" t="s">
        <v>12</v>
      </c>
      <c r="F106">
        <v>590.4</v>
      </c>
      <c r="G106" s="5">
        <v>21000</v>
      </c>
      <c r="H106">
        <f t="shared" si="1"/>
        <v>21</v>
      </c>
      <c r="I106">
        <v>1</v>
      </c>
    </row>
    <row r="107" spans="1:9" ht="15.75" thickBot="1" x14ac:dyDescent="0.3">
      <c r="A107" s="1">
        <v>44197</v>
      </c>
      <c r="B107" t="s">
        <v>6</v>
      </c>
      <c r="C107" t="s">
        <v>7</v>
      </c>
      <c r="D107" t="s">
        <v>60</v>
      </c>
      <c r="E107" t="s">
        <v>14</v>
      </c>
      <c r="F107">
        <v>11641.24</v>
      </c>
      <c r="G107" s="3">
        <v>7</v>
      </c>
      <c r="H107">
        <f t="shared" si="1"/>
        <v>7</v>
      </c>
      <c r="I107">
        <v>2</v>
      </c>
    </row>
    <row r="108" spans="1:9" ht="15.75" thickBot="1" x14ac:dyDescent="0.3">
      <c r="A108" s="1">
        <v>44197</v>
      </c>
      <c r="B108" t="s">
        <v>6</v>
      </c>
      <c r="C108" t="s">
        <v>7</v>
      </c>
      <c r="D108" t="s">
        <v>60</v>
      </c>
      <c r="E108" t="s">
        <v>12</v>
      </c>
      <c r="F108">
        <v>69538.36</v>
      </c>
      <c r="G108" s="5">
        <v>1944719.5</v>
      </c>
      <c r="H108">
        <f t="shared" si="1"/>
        <v>1944.7194999999999</v>
      </c>
      <c r="I108">
        <v>73</v>
      </c>
    </row>
    <row r="109" spans="1:9" ht="15.75" thickBot="1" x14ac:dyDescent="0.3">
      <c r="A109" s="1">
        <v>44197</v>
      </c>
      <c r="B109" t="s">
        <v>6</v>
      </c>
      <c r="C109" t="s">
        <v>7</v>
      </c>
      <c r="D109" t="s">
        <v>60</v>
      </c>
      <c r="E109" t="s">
        <v>9</v>
      </c>
      <c r="F109">
        <v>11473.95</v>
      </c>
      <c r="G109" s="5">
        <v>367000</v>
      </c>
      <c r="H109">
        <f t="shared" si="1"/>
        <v>367000</v>
      </c>
      <c r="I109">
        <v>4</v>
      </c>
    </row>
    <row r="110" spans="1:9" ht="15.75" thickBot="1" x14ac:dyDescent="0.3">
      <c r="A110" s="1">
        <v>44197</v>
      </c>
      <c r="B110" t="s">
        <v>6</v>
      </c>
      <c r="C110" t="s">
        <v>7</v>
      </c>
      <c r="D110" t="s">
        <v>60</v>
      </c>
      <c r="E110" t="s">
        <v>17</v>
      </c>
      <c r="F110">
        <v>163.13999999999999</v>
      </c>
      <c r="G110" s="4">
        <v>0</v>
      </c>
      <c r="H110">
        <f t="shared" si="1"/>
        <v>0</v>
      </c>
      <c r="I110">
        <v>2</v>
      </c>
    </row>
    <row r="111" spans="1:9" ht="15.75" thickBot="1" x14ac:dyDescent="0.3">
      <c r="A111" s="1">
        <v>44197</v>
      </c>
      <c r="B111" t="s">
        <v>6</v>
      </c>
      <c r="C111" t="s">
        <v>7</v>
      </c>
      <c r="D111" t="s">
        <v>61</v>
      </c>
      <c r="E111" t="s">
        <v>12</v>
      </c>
      <c r="F111">
        <v>5149.63</v>
      </c>
      <c r="G111" s="6">
        <v>6091.6610000000001</v>
      </c>
      <c r="H111">
        <f t="shared" si="1"/>
        <v>6.0916610000000002</v>
      </c>
      <c r="I111">
        <v>2</v>
      </c>
    </row>
    <row r="112" spans="1:9" ht="15.75" thickBot="1" x14ac:dyDescent="0.3">
      <c r="A112" s="1">
        <v>44197</v>
      </c>
      <c r="B112" t="s">
        <v>6</v>
      </c>
      <c r="C112" t="s">
        <v>7</v>
      </c>
      <c r="D112" t="s">
        <v>62</v>
      </c>
      <c r="E112" t="s">
        <v>14</v>
      </c>
      <c r="F112">
        <v>3220.4</v>
      </c>
      <c r="G112" s="3">
        <v>95</v>
      </c>
      <c r="H112">
        <f t="shared" si="1"/>
        <v>95</v>
      </c>
      <c r="I112">
        <v>1</v>
      </c>
    </row>
    <row r="113" spans="1:9" ht="15.75" thickBot="1" x14ac:dyDescent="0.3">
      <c r="A113" s="1">
        <v>44197</v>
      </c>
      <c r="B113" t="s">
        <v>6</v>
      </c>
      <c r="C113" t="s">
        <v>7</v>
      </c>
      <c r="D113" t="s">
        <v>63</v>
      </c>
      <c r="E113" t="s">
        <v>12</v>
      </c>
      <c r="F113">
        <v>3794.57</v>
      </c>
      <c r="G113" s="5">
        <v>34000</v>
      </c>
      <c r="H113">
        <f t="shared" si="1"/>
        <v>34</v>
      </c>
      <c r="I113">
        <v>4</v>
      </c>
    </row>
    <row r="114" spans="1:9" ht="15.75" thickBot="1" x14ac:dyDescent="0.3">
      <c r="A114" s="1">
        <v>44197</v>
      </c>
      <c r="B114" t="s">
        <v>6</v>
      </c>
      <c r="C114" t="s">
        <v>7</v>
      </c>
      <c r="D114" t="s">
        <v>63</v>
      </c>
      <c r="E114" t="s">
        <v>9</v>
      </c>
      <c r="F114">
        <v>81.569999999999993</v>
      </c>
      <c r="G114" s="4">
        <v>0</v>
      </c>
      <c r="H114">
        <f t="shared" si="1"/>
        <v>0</v>
      </c>
      <c r="I114">
        <v>1</v>
      </c>
    </row>
    <row r="115" spans="1:9" ht="15.75" thickBot="1" x14ac:dyDescent="0.3">
      <c r="A115" s="1">
        <v>44197</v>
      </c>
      <c r="B115" t="s">
        <v>6</v>
      </c>
      <c r="C115" t="s">
        <v>7</v>
      </c>
      <c r="D115" t="s">
        <v>64</v>
      </c>
      <c r="E115" t="s">
        <v>14</v>
      </c>
      <c r="F115">
        <v>6221.79</v>
      </c>
      <c r="G115" s="3">
        <v>194</v>
      </c>
      <c r="H115">
        <f t="shared" si="1"/>
        <v>194</v>
      </c>
      <c r="I115">
        <v>9</v>
      </c>
    </row>
    <row r="116" spans="1:9" ht="15.75" thickBot="1" x14ac:dyDescent="0.3">
      <c r="A116" s="1">
        <v>44197</v>
      </c>
      <c r="B116" t="s">
        <v>6</v>
      </c>
      <c r="C116" t="s">
        <v>7</v>
      </c>
      <c r="D116" t="s">
        <v>64</v>
      </c>
      <c r="E116" t="s">
        <v>24</v>
      </c>
      <c r="F116">
        <v>3168.27</v>
      </c>
      <c r="G116" s="3">
        <v>94</v>
      </c>
      <c r="H116">
        <f t="shared" si="1"/>
        <v>94</v>
      </c>
      <c r="I116">
        <v>7</v>
      </c>
    </row>
    <row r="117" spans="1:9" ht="15.75" thickBot="1" x14ac:dyDescent="0.3">
      <c r="A117" s="1">
        <v>44197</v>
      </c>
      <c r="B117" t="s">
        <v>6</v>
      </c>
      <c r="C117" t="s">
        <v>7</v>
      </c>
      <c r="D117" t="s">
        <v>64</v>
      </c>
      <c r="E117" t="s">
        <v>12</v>
      </c>
      <c r="F117">
        <v>1127.03</v>
      </c>
      <c r="G117" s="6">
        <v>68347.426000000007</v>
      </c>
      <c r="H117">
        <f t="shared" si="1"/>
        <v>68.347426000000013</v>
      </c>
      <c r="I117">
        <v>8</v>
      </c>
    </row>
    <row r="118" spans="1:9" ht="15.75" thickBot="1" x14ac:dyDescent="0.3">
      <c r="A118" s="1">
        <v>44197</v>
      </c>
      <c r="B118" t="s">
        <v>6</v>
      </c>
      <c r="C118" t="s">
        <v>7</v>
      </c>
      <c r="D118" t="s">
        <v>64</v>
      </c>
      <c r="E118" t="s">
        <v>9</v>
      </c>
      <c r="F118">
        <v>117.48</v>
      </c>
      <c r="G118" s="6">
        <v>22002.25</v>
      </c>
      <c r="H118">
        <f t="shared" si="1"/>
        <v>22002.25</v>
      </c>
      <c r="I118">
        <v>2</v>
      </c>
    </row>
    <row r="119" spans="1:9" ht="15.75" thickBot="1" x14ac:dyDescent="0.3">
      <c r="A119" s="1">
        <v>44197</v>
      </c>
      <c r="B119" t="s">
        <v>6</v>
      </c>
      <c r="C119" t="s">
        <v>7</v>
      </c>
      <c r="D119" t="s">
        <v>65</v>
      </c>
      <c r="E119" t="s">
        <v>14</v>
      </c>
      <c r="F119">
        <v>60517.47</v>
      </c>
      <c r="G119" s="3">
        <v>1681</v>
      </c>
      <c r="H119">
        <f t="shared" si="1"/>
        <v>1681</v>
      </c>
      <c r="I119">
        <v>8</v>
      </c>
    </row>
    <row r="120" spans="1:9" ht="15.75" thickBot="1" x14ac:dyDescent="0.3">
      <c r="A120" s="1">
        <v>44197</v>
      </c>
      <c r="B120" t="s">
        <v>6</v>
      </c>
      <c r="C120" t="s">
        <v>7</v>
      </c>
      <c r="D120" t="s">
        <v>65</v>
      </c>
      <c r="E120" t="s">
        <v>9</v>
      </c>
      <c r="F120">
        <v>2966.37</v>
      </c>
      <c r="G120" s="3">
        <v>97</v>
      </c>
      <c r="H120">
        <f t="shared" si="1"/>
        <v>97</v>
      </c>
      <c r="I120">
        <v>1</v>
      </c>
    </row>
    <row r="121" spans="1:9" ht="15.75" thickBot="1" x14ac:dyDescent="0.3">
      <c r="A121" s="1">
        <v>44197</v>
      </c>
      <c r="B121" t="s">
        <v>6</v>
      </c>
      <c r="C121" t="s">
        <v>7</v>
      </c>
      <c r="D121" t="s">
        <v>66</v>
      </c>
      <c r="E121" t="s">
        <v>12</v>
      </c>
      <c r="F121">
        <v>1222.96</v>
      </c>
      <c r="G121" s="5">
        <v>25000</v>
      </c>
      <c r="H121">
        <f t="shared" si="1"/>
        <v>25</v>
      </c>
      <c r="I121">
        <v>1</v>
      </c>
    </row>
    <row r="122" spans="1:9" ht="15.75" thickBot="1" x14ac:dyDescent="0.3">
      <c r="A122" s="1">
        <v>44197</v>
      </c>
      <c r="B122" t="s">
        <v>6</v>
      </c>
      <c r="C122" t="s">
        <v>7</v>
      </c>
      <c r="D122" t="s">
        <v>67</v>
      </c>
      <c r="E122" t="s">
        <v>14</v>
      </c>
      <c r="F122">
        <v>15884.13</v>
      </c>
      <c r="G122" s="3">
        <v>304</v>
      </c>
      <c r="H122">
        <f t="shared" si="1"/>
        <v>304</v>
      </c>
      <c r="I122">
        <v>4</v>
      </c>
    </row>
    <row r="123" spans="1:9" ht="15.75" thickBot="1" x14ac:dyDescent="0.3">
      <c r="A123" s="1">
        <v>44197</v>
      </c>
      <c r="B123" t="s">
        <v>6</v>
      </c>
      <c r="C123" t="s">
        <v>7</v>
      </c>
      <c r="D123" t="s">
        <v>67</v>
      </c>
      <c r="E123" t="s">
        <v>12</v>
      </c>
      <c r="F123">
        <v>7892.9</v>
      </c>
      <c r="G123" s="6">
        <v>153061.867</v>
      </c>
      <c r="H123">
        <f t="shared" si="1"/>
        <v>153.06186700000001</v>
      </c>
      <c r="I123">
        <v>13</v>
      </c>
    </row>
    <row r="124" spans="1:9" ht="15.75" thickBot="1" x14ac:dyDescent="0.3">
      <c r="A124" s="1">
        <v>44197</v>
      </c>
      <c r="B124" t="s">
        <v>6</v>
      </c>
      <c r="C124" t="s">
        <v>7</v>
      </c>
      <c r="D124" t="s">
        <v>67</v>
      </c>
      <c r="E124" t="s">
        <v>9</v>
      </c>
      <c r="F124">
        <v>728.86</v>
      </c>
      <c r="G124" s="5">
        <v>21216.5</v>
      </c>
      <c r="H124">
        <f t="shared" si="1"/>
        <v>21216.5</v>
      </c>
      <c r="I124">
        <v>3</v>
      </c>
    </row>
    <row r="125" spans="1:9" ht="15.75" thickBot="1" x14ac:dyDescent="0.3">
      <c r="A125" s="1">
        <v>44197</v>
      </c>
      <c r="B125" t="s">
        <v>6</v>
      </c>
      <c r="C125" t="s">
        <v>7</v>
      </c>
      <c r="D125" t="s">
        <v>67</v>
      </c>
      <c r="E125" t="s">
        <v>17</v>
      </c>
      <c r="F125">
        <v>785.72</v>
      </c>
      <c r="G125" s="3">
        <v>21</v>
      </c>
      <c r="H125">
        <f t="shared" si="1"/>
        <v>21</v>
      </c>
      <c r="I125">
        <v>1</v>
      </c>
    </row>
    <row r="126" spans="1:9" ht="15.75" thickBot="1" x14ac:dyDescent="0.3">
      <c r="A126" s="1">
        <v>44197</v>
      </c>
      <c r="B126" t="s">
        <v>6</v>
      </c>
      <c r="C126" t="s">
        <v>7</v>
      </c>
      <c r="D126" t="s">
        <v>68</v>
      </c>
      <c r="E126" t="s">
        <v>12</v>
      </c>
      <c r="F126">
        <v>203.52</v>
      </c>
      <c r="G126" s="5">
        <v>9000</v>
      </c>
      <c r="H126">
        <f t="shared" si="1"/>
        <v>9</v>
      </c>
      <c r="I126">
        <v>1</v>
      </c>
    </row>
    <row r="127" spans="1:9" ht="15.75" thickBot="1" x14ac:dyDescent="0.3">
      <c r="A127" s="1">
        <v>44197</v>
      </c>
      <c r="B127" t="s">
        <v>6</v>
      </c>
      <c r="C127" t="s">
        <v>7</v>
      </c>
      <c r="D127" t="s">
        <v>68</v>
      </c>
      <c r="E127" t="s">
        <v>9</v>
      </c>
      <c r="F127">
        <v>286.67</v>
      </c>
      <c r="G127" s="5">
        <v>7000</v>
      </c>
      <c r="H127">
        <f t="shared" si="1"/>
        <v>7000</v>
      </c>
      <c r="I127">
        <v>2</v>
      </c>
    </row>
    <row r="128" spans="1:9" ht="15.75" thickBot="1" x14ac:dyDescent="0.3">
      <c r="A128" s="1">
        <v>44197</v>
      </c>
      <c r="B128" t="s">
        <v>6</v>
      </c>
      <c r="C128" t="s">
        <v>7</v>
      </c>
      <c r="D128" t="s">
        <v>69</v>
      </c>
      <c r="E128" t="s">
        <v>14</v>
      </c>
      <c r="F128">
        <v>3757.31</v>
      </c>
      <c r="G128" s="3">
        <v>37</v>
      </c>
      <c r="H128">
        <f t="shared" si="1"/>
        <v>37</v>
      </c>
      <c r="I128">
        <v>2</v>
      </c>
    </row>
    <row r="129" spans="1:9" ht="15.75" thickBot="1" x14ac:dyDescent="0.3">
      <c r="A129" s="1">
        <v>44197</v>
      </c>
      <c r="B129" t="s">
        <v>6</v>
      </c>
      <c r="C129" t="s">
        <v>7</v>
      </c>
      <c r="D129" t="s">
        <v>69</v>
      </c>
      <c r="E129" t="s">
        <v>12</v>
      </c>
      <c r="F129">
        <v>38322.83</v>
      </c>
      <c r="G129" s="5">
        <v>1959997.058</v>
      </c>
      <c r="H129">
        <f t="shared" si="1"/>
        <v>1959.9970579999999</v>
      </c>
      <c r="I129">
        <v>2</v>
      </c>
    </row>
    <row r="130" spans="1:9" ht="15.75" thickBot="1" x14ac:dyDescent="0.3">
      <c r="A130" s="1">
        <v>44197</v>
      </c>
      <c r="B130" t="s">
        <v>6</v>
      </c>
      <c r="C130" t="s">
        <v>7</v>
      </c>
      <c r="D130" t="s">
        <v>69</v>
      </c>
      <c r="E130" t="s">
        <v>9</v>
      </c>
      <c r="F130">
        <v>68408.570000000007</v>
      </c>
      <c r="G130" s="3">
        <v>2103</v>
      </c>
      <c r="H130">
        <f t="shared" si="1"/>
        <v>2103</v>
      </c>
      <c r="I130">
        <v>74</v>
      </c>
    </row>
    <row r="131" spans="1:9" ht="15.75" thickBot="1" x14ac:dyDescent="0.3">
      <c r="A131" s="1">
        <v>44197</v>
      </c>
      <c r="B131" t="s">
        <v>6</v>
      </c>
      <c r="C131" t="s">
        <v>7</v>
      </c>
      <c r="D131" t="s">
        <v>70</v>
      </c>
      <c r="E131" t="s">
        <v>15</v>
      </c>
      <c r="F131">
        <v>739</v>
      </c>
      <c r="G131" s="3">
        <v>25</v>
      </c>
      <c r="H131">
        <f t="shared" ref="H131:H194" si="2">IF(ISNUMBER(SEARCH("Domestic customer", E131)),G131/1000,G131)</f>
        <v>25</v>
      </c>
      <c r="I131">
        <v>1</v>
      </c>
    </row>
    <row r="132" spans="1:9" ht="15.75" thickBot="1" x14ac:dyDescent="0.3">
      <c r="A132" s="1">
        <v>44197</v>
      </c>
      <c r="B132" t="s">
        <v>6</v>
      </c>
      <c r="C132" t="s">
        <v>7</v>
      </c>
      <c r="D132" t="s">
        <v>71</v>
      </c>
      <c r="E132" t="s">
        <v>9</v>
      </c>
      <c r="F132">
        <v>81.569999999999993</v>
      </c>
      <c r="G132" s="4">
        <v>0</v>
      </c>
      <c r="H132">
        <f t="shared" si="2"/>
        <v>0</v>
      </c>
      <c r="I132">
        <v>1</v>
      </c>
    </row>
    <row r="133" spans="1:9" ht="15.75" thickBot="1" x14ac:dyDescent="0.3">
      <c r="A133" s="1">
        <v>44197</v>
      </c>
      <c r="B133" t="s">
        <v>6</v>
      </c>
      <c r="C133" t="s">
        <v>7</v>
      </c>
      <c r="D133" t="s">
        <v>72</v>
      </c>
      <c r="E133" t="s">
        <v>15</v>
      </c>
      <c r="F133">
        <v>30065.85</v>
      </c>
      <c r="G133" s="3">
        <v>1025</v>
      </c>
      <c r="H133">
        <f t="shared" si="2"/>
        <v>1025</v>
      </c>
      <c r="I133">
        <v>2</v>
      </c>
    </row>
    <row r="134" spans="1:9" ht="15.75" thickBot="1" x14ac:dyDescent="0.3">
      <c r="A134" s="1">
        <v>44197</v>
      </c>
      <c r="B134" t="s">
        <v>6</v>
      </c>
      <c r="C134" t="s">
        <v>7</v>
      </c>
      <c r="D134" t="s">
        <v>72</v>
      </c>
      <c r="E134" t="s">
        <v>9</v>
      </c>
      <c r="F134">
        <v>81.569999999999993</v>
      </c>
      <c r="G134" s="4">
        <v>0</v>
      </c>
      <c r="H134">
        <f t="shared" si="2"/>
        <v>0</v>
      </c>
      <c r="I134">
        <v>1</v>
      </c>
    </row>
    <row r="135" spans="1:9" ht="15.75" thickBot="1" x14ac:dyDescent="0.3">
      <c r="A135" s="1">
        <v>44197</v>
      </c>
      <c r="B135" t="s">
        <v>6</v>
      </c>
      <c r="C135" t="s">
        <v>7</v>
      </c>
      <c r="D135" t="s">
        <v>73</v>
      </c>
      <c r="E135" t="s">
        <v>14</v>
      </c>
      <c r="F135">
        <v>2255.6799999999998</v>
      </c>
      <c r="G135" s="3">
        <v>24</v>
      </c>
      <c r="H135">
        <f t="shared" si="2"/>
        <v>24</v>
      </c>
      <c r="I135">
        <v>1</v>
      </c>
    </row>
    <row r="136" spans="1:9" ht="15.75" thickBot="1" x14ac:dyDescent="0.3">
      <c r="A136" s="1">
        <v>44197</v>
      </c>
      <c r="B136" t="s">
        <v>6</v>
      </c>
      <c r="C136" t="s">
        <v>7</v>
      </c>
      <c r="D136" t="s">
        <v>73</v>
      </c>
      <c r="E136" t="s">
        <v>24</v>
      </c>
      <c r="F136">
        <v>81.569999999999993</v>
      </c>
      <c r="G136" s="4">
        <v>0</v>
      </c>
      <c r="H136">
        <f t="shared" si="2"/>
        <v>0</v>
      </c>
      <c r="I136">
        <v>1</v>
      </c>
    </row>
    <row r="137" spans="1:9" ht="15.75" thickBot="1" x14ac:dyDescent="0.3">
      <c r="A137" s="1">
        <v>44197</v>
      </c>
      <c r="B137" t="s">
        <v>6</v>
      </c>
      <c r="C137" t="s">
        <v>7</v>
      </c>
      <c r="D137" t="s">
        <v>73</v>
      </c>
      <c r="E137" t="s">
        <v>12</v>
      </c>
      <c r="F137">
        <v>183831.66</v>
      </c>
      <c r="G137" s="5">
        <v>6333330.0970000001</v>
      </c>
      <c r="H137">
        <f t="shared" si="2"/>
        <v>6333.330097</v>
      </c>
      <c r="I137">
        <v>51</v>
      </c>
    </row>
    <row r="138" spans="1:9" ht="15.75" thickBot="1" x14ac:dyDescent="0.3">
      <c r="A138" s="1">
        <v>44197</v>
      </c>
      <c r="B138" t="s">
        <v>6</v>
      </c>
      <c r="C138" t="s">
        <v>7</v>
      </c>
      <c r="D138" t="s">
        <v>73</v>
      </c>
      <c r="E138" t="s">
        <v>15</v>
      </c>
      <c r="F138">
        <v>13138</v>
      </c>
      <c r="G138" s="3">
        <v>275</v>
      </c>
      <c r="H138">
        <f t="shared" si="2"/>
        <v>275</v>
      </c>
      <c r="I138">
        <v>1</v>
      </c>
    </row>
    <row r="139" spans="1:9" ht="15.75" thickBot="1" x14ac:dyDescent="0.3">
      <c r="A139" s="1">
        <v>44197</v>
      </c>
      <c r="B139" t="s">
        <v>6</v>
      </c>
      <c r="C139" t="s">
        <v>7</v>
      </c>
      <c r="D139" t="s">
        <v>73</v>
      </c>
      <c r="E139" t="s">
        <v>9</v>
      </c>
      <c r="F139">
        <v>25982.31</v>
      </c>
      <c r="G139" s="5">
        <v>1017000</v>
      </c>
      <c r="H139">
        <f t="shared" si="2"/>
        <v>1017000</v>
      </c>
      <c r="I139">
        <v>60</v>
      </c>
    </row>
    <row r="140" spans="1:9" ht="15.75" thickBot="1" x14ac:dyDescent="0.3">
      <c r="A140" s="1">
        <v>44197</v>
      </c>
      <c r="B140" t="s">
        <v>6</v>
      </c>
      <c r="C140" t="s">
        <v>7</v>
      </c>
      <c r="D140" t="s">
        <v>73</v>
      </c>
      <c r="E140" t="s">
        <v>17</v>
      </c>
      <c r="F140">
        <v>56</v>
      </c>
      <c r="G140" s="3">
        <v>0</v>
      </c>
      <c r="H140">
        <f t="shared" si="2"/>
        <v>0</v>
      </c>
      <c r="I140">
        <v>1</v>
      </c>
    </row>
    <row r="141" spans="1:9" ht="15.75" thickBot="1" x14ac:dyDescent="0.3">
      <c r="A141" s="1">
        <v>44197</v>
      </c>
      <c r="B141" t="s">
        <v>6</v>
      </c>
      <c r="C141" t="s">
        <v>7</v>
      </c>
      <c r="D141" t="s">
        <v>74</v>
      </c>
      <c r="E141" t="s">
        <v>14</v>
      </c>
      <c r="F141">
        <v>647.24</v>
      </c>
      <c r="G141" s="3">
        <v>7</v>
      </c>
      <c r="H141">
        <f t="shared" si="2"/>
        <v>7</v>
      </c>
      <c r="I141">
        <v>1</v>
      </c>
    </row>
    <row r="142" spans="1:9" ht="15.75" thickBot="1" x14ac:dyDescent="0.3">
      <c r="A142" s="1">
        <v>44197</v>
      </c>
      <c r="B142" t="s">
        <v>6</v>
      </c>
      <c r="C142" t="s">
        <v>7</v>
      </c>
      <c r="D142" t="s">
        <v>74</v>
      </c>
      <c r="E142" t="s">
        <v>12</v>
      </c>
      <c r="F142">
        <v>4179.24</v>
      </c>
      <c r="G142" s="5">
        <v>69815.322</v>
      </c>
      <c r="H142">
        <f t="shared" si="2"/>
        <v>69.815321999999995</v>
      </c>
      <c r="I142">
        <v>2</v>
      </c>
    </row>
    <row r="143" spans="1:9" ht="15.75" thickBot="1" x14ac:dyDescent="0.3">
      <c r="A143" s="1">
        <v>44197</v>
      </c>
      <c r="B143" t="s">
        <v>6</v>
      </c>
      <c r="C143" t="s">
        <v>7</v>
      </c>
      <c r="D143" t="s">
        <v>74</v>
      </c>
      <c r="E143" t="s">
        <v>9</v>
      </c>
      <c r="F143">
        <v>2795.51</v>
      </c>
      <c r="G143" s="6">
        <v>15028.763999999999</v>
      </c>
      <c r="H143">
        <f t="shared" si="2"/>
        <v>15028.763999999999</v>
      </c>
      <c r="I143">
        <v>2</v>
      </c>
    </row>
    <row r="144" spans="1:9" ht="15.75" thickBot="1" x14ac:dyDescent="0.3">
      <c r="A144" s="1">
        <v>44197</v>
      </c>
      <c r="B144" t="s">
        <v>6</v>
      </c>
      <c r="C144" t="s">
        <v>7</v>
      </c>
      <c r="D144" t="s">
        <v>75</v>
      </c>
      <c r="E144" t="s">
        <v>12</v>
      </c>
      <c r="F144">
        <v>598.88</v>
      </c>
      <c r="G144" s="5">
        <v>17000</v>
      </c>
      <c r="H144">
        <f t="shared" si="2"/>
        <v>17</v>
      </c>
      <c r="I144">
        <v>3</v>
      </c>
    </row>
    <row r="145" spans="1:9" ht="15.75" thickBot="1" x14ac:dyDescent="0.3">
      <c r="A145" s="1">
        <v>44197</v>
      </c>
      <c r="B145" t="s">
        <v>6</v>
      </c>
      <c r="C145" t="s">
        <v>7</v>
      </c>
      <c r="D145" t="s">
        <v>76</v>
      </c>
      <c r="E145" t="s">
        <v>12</v>
      </c>
      <c r="F145">
        <v>1316.38</v>
      </c>
      <c r="G145" s="5">
        <v>42000</v>
      </c>
      <c r="H145">
        <f t="shared" si="2"/>
        <v>42</v>
      </c>
      <c r="I145">
        <v>2</v>
      </c>
    </row>
    <row r="146" spans="1:9" ht="15.75" thickBot="1" x14ac:dyDescent="0.3">
      <c r="A146" s="1">
        <v>44197</v>
      </c>
      <c r="B146" t="s">
        <v>6</v>
      </c>
      <c r="C146" t="s">
        <v>7</v>
      </c>
      <c r="D146" t="s">
        <v>77</v>
      </c>
      <c r="E146" t="s">
        <v>14</v>
      </c>
      <c r="F146">
        <v>6367.23</v>
      </c>
      <c r="G146" s="3">
        <v>83</v>
      </c>
      <c r="H146">
        <f t="shared" si="2"/>
        <v>83</v>
      </c>
      <c r="I146">
        <v>1</v>
      </c>
    </row>
    <row r="147" spans="1:9" ht="15.75" thickBot="1" x14ac:dyDescent="0.3">
      <c r="A147" s="1">
        <v>44197</v>
      </c>
      <c r="B147" t="s">
        <v>6</v>
      </c>
      <c r="C147" t="s">
        <v>7</v>
      </c>
      <c r="D147" t="s">
        <v>77</v>
      </c>
      <c r="E147" t="s">
        <v>24</v>
      </c>
      <c r="F147">
        <v>1672.71</v>
      </c>
      <c r="G147" s="3">
        <v>32</v>
      </c>
      <c r="H147">
        <f t="shared" si="2"/>
        <v>32</v>
      </c>
      <c r="I147">
        <v>2</v>
      </c>
    </row>
    <row r="148" spans="1:9" ht="15.75" thickBot="1" x14ac:dyDescent="0.3">
      <c r="A148" s="1">
        <v>44197</v>
      </c>
      <c r="B148" t="s">
        <v>6</v>
      </c>
      <c r="C148" t="s">
        <v>7</v>
      </c>
      <c r="D148" t="s">
        <v>77</v>
      </c>
      <c r="E148" t="s">
        <v>12</v>
      </c>
      <c r="F148">
        <v>957.33</v>
      </c>
      <c r="G148" s="5">
        <v>37000</v>
      </c>
      <c r="H148">
        <f t="shared" si="2"/>
        <v>37</v>
      </c>
      <c r="I148">
        <v>4</v>
      </c>
    </row>
    <row r="149" spans="1:9" ht="15.75" thickBot="1" x14ac:dyDescent="0.3">
      <c r="A149" s="1">
        <v>44197</v>
      </c>
      <c r="B149" t="s">
        <v>6</v>
      </c>
      <c r="C149" t="s">
        <v>7</v>
      </c>
      <c r="D149" t="s">
        <v>78</v>
      </c>
      <c r="E149" t="s">
        <v>12</v>
      </c>
      <c r="F149">
        <v>427.12</v>
      </c>
      <c r="G149" s="5">
        <v>14000</v>
      </c>
      <c r="H149">
        <f t="shared" si="2"/>
        <v>14</v>
      </c>
      <c r="I149">
        <v>2</v>
      </c>
    </row>
    <row r="150" spans="1:9" ht="15.75" thickBot="1" x14ac:dyDescent="0.3">
      <c r="A150" s="1">
        <v>44197</v>
      </c>
      <c r="B150" t="s">
        <v>6</v>
      </c>
      <c r="C150" t="s">
        <v>7</v>
      </c>
      <c r="D150" t="s">
        <v>78</v>
      </c>
      <c r="E150" t="s">
        <v>9</v>
      </c>
      <c r="F150">
        <v>81.569999999999993</v>
      </c>
      <c r="G150" s="4">
        <v>0</v>
      </c>
      <c r="H150">
        <f t="shared" si="2"/>
        <v>0</v>
      </c>
      <c r="I150">
        <v>1</v>
      </c>
    </row>
    <row r="151" spans="1:9" ht="15.75" thickBot="1" x14ac:dyDescent="0.3">
      <c r="A151" s="1">
        <v>44197</v>
      </c>
      <c r="B151" t="s">
        <v>6</v>
      </c>
      <c r="C151" t="s">
        <v>7</v>
      </c>
      <c r="D151" t="s">
        <v>79</v>
      </c>
      <c r="E151" t="s">
        <v>14</v>
      </c>
      <c r="F151">
        <v>455.16</v>
      </c>
      <c r="G151" s="3">
        <v>13</v>
      </c>
      <c r="H151">
        <f t="shared" si="2"/>
        <v>13</v>
      </c>
      <c r="I151">
        <v>1</v>
      </c>
    </row>
    <row r="152" spans="1:9" ht="15.75" thickBot="1" x14ac:dyDescent="0.3">
      <c r="A152" s="1">
        <v>44197</v>
      </c>
      <c r="B152" t="s">
        <v>6</v>
      </c>
      <c r="C152" t="s">
        <v>7</v>
      </c>
      <c r="D152" t="s">
        <v>79</v>
      </c>
      <c r="E152" t="s">
        <v>12</v>
      </c>
      <c r="F152">
        <v>1564.53</v>
      </c>
      <c r="G152" s="5">
        <v>58000</v>
      </c>
      <c r="H152">
        <f t="shared" si="2"/>
        <v>58</v>
      </c>
      <c r="I152">
        <v>4</v>
      </c>
    </row>
    <row r="153" spans="1:9" ht="15.75" thickBot="1" x14ac:dyDescent="0.3">
      <c r="A153" s="1">
        <v>44197</v>
      </c>
      <c r="B153" t="s">
        <v>6</v>
      </c>
      <c r="C153" t="s">
        <v>7</v>
      </c>
      <c r="D153" t="s">
        <v>80</v>
      </c>
      <c r="E153" t="s">
        <v>15</v>
      </c>
      <c r="F153">
        <v>2900.52</v>
      </c>
      <c r="G153" s="3">
        <v>11</v>
      </c>
      <c r="H153">
        <f t="shared" si="2"/>
        <v>11</v>
      </c>
      <c r="I153">
        <v>1</v>
      </c>
    </row>
    <row r="154" spans="1:9" ht="15.75" thickBot="1" x14ac:dyDescent="0.3">
      <c r="A154" s="1">
        <v>44197</v>
      </c>
      <c r="B154" t="s">
        <v>6</v>
      </c>
      <c r="C154" t="s">
        <v>7</v>
      </c>
      <c r="D154" t="s">
        <v>80</v>
      </c>
      <c r="E154" t="s">
        <v>9</v>
      </c>
      <c r="F154">
        <v>326.27999999999997</v>
      </c>
      <c r="G154" s="4">
        <v>0</v>
      </c>
      <c r="H154">
        <f t="shared" si="2"/>
        <v>0</v>
      </c>
      <c r="I154">
        <v>4</v>
      </c>
    </row>
    <row r="155" spans="1:9" ht="15.75" thickBot="1" x14ac:dyDescent="0.3">
      <c r="A155" s="1">
        <v>44197</v>
      </c>
      <c r="B155" t="s">
        <v>6</v>
      </c>
      <c r="C155" t="s">
        <v>7</v>
      </c>
      <c r="D155" t="s">
        <v>81</v>
      </c>
      <c r="E155" t="s">
        <v>12</v>
      </c>
      <c r="F155">
        <v>646.12</v>
      </c>
      <c r="G155" s="5">
        <v>21000</v>
      </c>
      <c r="H155">
        <f t="shared" si="2"/>
        <v>21</v>
      </c>
      <c r="I155">
        <v>2</v>
      </c>
    </row>
    <row r="156" spans="1:9" ht="15.75" thickBot="1" x14ac:dyDescent="0.3">
      <c r="A156" s="1">
        <v>44197</v>
      </c>
      <c r="B156" t="s">
        <v>6</v>
      </c>
      <c r="C156" t="s">
        <v>7</v>
      </c>
      <c r="D156" t="s">
        <v>82</v>
      </c>
      <c r="E156" t="s">
        <v>14</v>
      </c>
      <c r="F156">
        <v>17687</v>
      </c>
      <c r="G156" s="3">
        <v>350</v>
      </c>
      <c r="H156">
        <f t="shared" si="2"/>
        <v>350</v>
      </c>
      <c r="I156">
        <v>2</v>
      </c>
    </row>
    <row r="157" spans="1:9" ht="15.75" thickBot="1" x14ac:dyDescent="0.3">
      <c r="A157" s="1">
        <v>44197</v>
      </c>
      <c r="B157" t="s">
        <v>6</v>
      </c>
      <c r="C157" t="s">
        <v>7</v>
      </c>
      <c r="D157" t="s">
        <v>82</v>
      </c>
      <c r="E157" t="s">
        <v>24</v>
      </c>
      <c r="F157">
        <v>1074.28</v>
      </c>
      <c r="G157" s="3">
        <v>32</v>
      </c>
      <c r="H157">
        <f t="shared" si="2"/>
        <v>32</v>
      </c>
      <c r="I157">
        <v>2</v>
      </c>
    </row>
    <row r="158" spans="1:9" ht="15.75" thickBot="1" x14ac:dyDescent="0.3">
      <c r="A158" s="1">
        <v>44197</v>
      </c>
      <c r="B158" t="s">
        <v>6</v>
      </c>
      <c r="C158" t="s">
        <v>7</v>
      </c>
      <c r="D158" t="s">
        <v>82</v>
      </c>
      <c r="E158" t="s">
        <v>12</v>
      </c>
      <c r="F158">
        <v>11789.23</v>
      </c>
      <c r="G158" s="5">
        <v>480022.53499999997</v>
      </c>
      <c r="H158">
        <f t="shared" si="2"/>
        <v>480.02253499999995</v>
      </c>
      <c r="I158">
        <v>17</v>
      </c>
    </row>
    <row r="159" spans="1:9" ht="15.75" thickBot="1" x14ac:dyDescent="0.3">
      <c r="A159" s="1">
        <v>44197</v>
      </c>
      <c r="B159" t="s">
        <v>6</v>
      </c>
      <c r="C159" t="s">
        <v>7</v>
      </c>
      <c r="D159" t="s">
        <v>82</v>
      </c>
      <c r="E159" t="s">
        <v>9</v>
      </c>
      <c r="F159">
        <v>81.569999999999993</v>
      </c>
      <c r="G159" s="4">
        <v>0</v>
      </c>
      <c r="H159">
        <f t="shared" si="2"/>
        <v>0</v>
      </c>
      <c r="I159">
        <v>1</v>
      </c>
    </row>
    <row r="160" spans="1:9" ht="15.75" thickBot="1" x14ac:dyDescent="0.3">
      <c r="A160" s="1">
        <v>44197</v>
      </c>
      <c r="B160" t="s">
        <v>6</v>
      </c>
      <c r="C160" t="s">
        <v>7</v>
      </c>
      <c r="D160" t="s">
        <v>82</v>
      </c>
      <c r="E160" t="s">
        <v>17</v>
      </c>
      <c r="F160">
        <v>333.63</v>
      </c>
      <c r="G160" s="5">
        <v>13680</v>
      </c>
      <c r="H160">
        <f t="shared" si="2"/>
        <v>13680</v>
      </c>
      <c r="I160">
        <v>1</v>
      </c>
    </row>
    <row r="161" spans="1:9" ht="15.75" thickBot="1" x14ac:dyDescent="0.3">
      <c r="A161" s="1">
        <v>44197</v>
      </c>
      <c r="B161" t="s">
        <v>6</v>
      </c>
      <c r="C161" t="s">
        <v>7</v>
      </c>
      <c r="D161" t="s">
        <v>83</v>
      </c>
      <c r="E161" t="s">
        <v>14</v>
      </c>
      <c r="F161">
        <v>5375.28</v>
      </c>
      <c r="G161" s="3">
        <v>138</v>
      </c>
      <c r="H161">
        <f t="shared" si="2"/>
        <v>138</v>
      </c>
      <c r="I161">
        <v>1</v>
      </c>
    </row>
    <row r="162" spans="1:9" ht="15.75" thickBot="1" x14ac:dyDescent="0.3">
      <c r="A162" s="1">
        <v>44197</v>
      </c>
      <c r="B162" t="s">
        <v>6</v>
      </c>
      <c r="C162" t="s">
        <v>7</v>
      </c>
      <c r="D162" t="s">
        <v>83</v>
      </c>
      <c r="E162" t="s">
        <v>12</v>
      </c>
      <c r="F162">
        <v>66779.62</v>
      </c>
      <c r="G162" s="6">
        <v>1540266</v>
      </c>
      <c r="H162">
        <f t="shared" si="2"/>
        <v>1540.2660000000001</v>
      </c>
      <c r="I162">
        <v>11</v>
      </c>
    </row>
    <row r="163" spans="1:9" ht="15.75" thickBot="1" x14ac:dyDescent="0.3">
      <c r="A163" s="1">
        <v>44197</v>
      </c>
      <c r="B163" t="s">
        <v>6</v>
      </c>
      <c r="C163" t="s">
        <v>7</v>
      </c>
      <c r="D163" t="s">
        <v>83</v>
      </c>
      <c r="E163" t="s">
        <v>9</v>
      </c>
      <c r="F163">
        <v>28211.65</v>
      </c>
      <c r="G163" s="5">
        <v>1313000</v>
      </c>
      <c r="H163">
        <f t="shared" si="2"/>
        <v>1313000</v>
      </c>
      <c r="I163">
        <v>43</v>
      </c>
    </row>
    <row r="164" spans="1:9" ht="15.75" thickBot="1" x14ac:dyDescent="0.3">
      <c r="A164" s="1">
        <v>44197</v>
      </c>
      <c r="B164" t="s">
        <v>6</v>
      </c>
      <c r="C164" t="s">
        <v>7</v>
      </c>
      <c r="D164" t="s">
        <v>84</v>
      </c>
      <c r="E164" t="s">
        <v>24</v>
      </c>
      <c r="F164">
        <v>2435.6999999999998</v>
      </c>
      <c r="G164" s="3">
        <v>45</v>
      </c>
      <c r="H164">
        <f t="shared" si="2"/>
        <v>45</v>
      </c>
      <c r="I164">
        <v>2</v>
      </c>
    </row>
    <row r="165" spans="1:9" ht="15.75" thickBot="1" x14ac:dyDescent="0.3">
      <c r="A165" s="1">
        <v>44197</v>
      </c>
      <c r="B165" t="s">
        <v>6</v>
      </c>
      <c r="C165" t="s">
        <v>7</v>
      </c>
      <c r="D165" t="s">
        <v>84</v>
      </c>
      <c r="E165" t="s">
        <v>12</v>
      </c>
      <c r="F165">
        <v>189028.57</v>
      </c>
      <c r="G165" s="6">
        <v>6659852.0499999998</v>
      </c>
      <c r="H165">
        <f t="shared" si="2"/>
        <v>6659.8520499999995</v>
      </c>
      <c r="I165">
        <v>340</v>
      </c>
    </row>
    <row r="166" spans="1:9" ht="15.75" thickBot="1" x14ac:dyDescent="0.3">
      <c r="A166" s="1">
        <v>44197</v>
      </c>
      <c r="B166" t="s">
        <v>6</v>
      </c>
      <c r="C166" t="s">
        <v>7</v>
      </c>
      <c r="D166" t="s">
        <v>84</v>
      </c>
      <c r="E166" t="s">
        <v>9</v>
      </c>
      <c r="F166">
        <v>37588.54</v>
      </c>
      <c r="G166" s="6">
        <v>861522</v>
      </c>
      <c r="H166">
        <f t="shared" si="2"/>
        <v>861522</v>
      </c>
      <c r="I166">
        <v>41</v>
      </c>
    </row>
    <row r="167" spans="1:9" ht="15.75" thickBot="1" x14ac:dyDescent="0.3">
      <c r="A167" s="1">
        <v>44197</v>
      </c>
      <c r="B167" t="s">
        <v>6</v>
      </c>
      <c r="C167" t="s">
        <v>7</v>
      </c>
      <c r="D167" t="s">
        <v>84</v>
      </c>
      <c r="E167" t="s">
        <v>17</v>
      </c>
      <c r="F167">
        <v>1655</v>
      </c>
      <c r="G167" s="5">
        <v>53000</v>
      </c>
      <c r="H167">
        <f t="shared" si="2"/>
        <v>53000</v>
      </c>
      <c r="I167">
        <v>6</v>
      </c>
    </row>
    <row r="168" spans="1:9" ht="15.75" thickBot="1" x14ac:dyDescent="0.3">
      <c r="A168" s="1">
        <v>44197</v>
      </c>
      <c r="B168" t="s">
        <v>6</v>
      </c>
      <c r="C168" t="s">
        <v>7</v>
      </c>
      <c r="D168" t="s">
        <v>85</v>
      </c>
      <c r="E168" t="s">
        <v>12</v>
      </c>
      <c r="F168">
        <v>82709.679999999993</v>
      </c>
      <c r="G168" s="5">
        <v>3772000</v>
      </c>
      <c r="H168">
        <f t="shared" si="2"/>
        <v>3772</v>
      </c>
      <c r="I168">
        <v>4</v>
      </c>
    </row>
    <row r="169" spans="1:9" ht="15.75" thickBot="1" x14ac:dyDescent="0.3">
      <c r="A169" s="1">
        <v>44197</v>
      </c>
      <c r="B169" t="s">
        <v>6</v>
      </c>
      <c r="C169" t="s">
        <v>7</v>
      </c>
      <c r="D169" t="s">
        <v>85</v>
      </c>
      <c r="E169" t="s">
        <v>9</v>
      </c>
      <c r="F169">
        <v>516.80999999999995</v>
      </c>
      <c r="G169" s="5">
        <v>10217.549999999999</v>
      </c>
      <c r="H169">
        <f t="shared" si="2"/>
        <v>10217.549999999999</v>
      </c>
      <c r="I169">
        <v>4</v>
      </c>
    </row>
    <row r="170" spans="1:9" ht="15.75" thickBot="1" x14ac:dyDescent="0.3">
      <c r="A170" s="1">
        <v>44197</v>
      </c>
      <c r="B170" t="s">
        <v>6</v>
      </c>
      <c r="C170" t="s">
        <v>7</v>
      </c>
      <c r="D170" t="s">
        <v>85</v>
      </c>
      <c r="E170" t="s">
        <v>17</v>
      </c>
      <c r="F170">
        <v>3101.04</v>
      </c>
      <c r="G170" s="3">
        <v>22</v>
      </c>
      <c r="H170">
        <f t="shared" si="2"/>
        <v>22</v>
      </c>
      <c r="I170">
        <v>1</v>
      </c>
    </row>
    <row r="171" spans="1:9" ht="15.75" thickBot="1" x14ac:dyDescent="0.3">
      <c r="A171" s="1">
        <v>44197</v>
      </c>
      <c r="B171" t="s">
        <v>6</v>
      </c>
      <c r="C171" t="s">
        <v>7</v>
      </c>
      <c r="D171" t="s">
        <v>86</v>
      </c>
      <c r="E171" t="s">
        <v>14</v>
      </c>
      <c r="F171">
        <v>2405798.7400000002</v>
      </c>
      <c r="G171" s="6">
        <v>303579.83299999998</v>
      </c>
      <c r="H171">
        <f t="shared" si="2"/>
        <v>303579.83299999998</v>
      </c>
      <c r="I171">
        <v>571</v>
      </c>
    </row>
    <row r="172" spans="1:9" ht="15.75" thickBot="1" x14ac:dyDescent="0.3">
      <c r="A172" s="1">
        <v>44197</v>
      </c>
      <c r="B172" t="s">
        <v>6</v>
      </c>
      <c r="C172" t="s">
        <v>7</v>
      </c>
      <c r="D172" t="s">
        <v>86</v>
      </c>
      <c r="E172" t="s">
        <v>24</v>
      </c>
      <c r="F172">
        <v>1599341.13</v>
      </c>
      <c r="G172" s="6">
        <v>173892.80900000001</v>
      </c>
      <c r="H172">
        <f t="shared" si="2"/>
        <v>173892.80900000001</v>
      </c>
      <c r="I172">
        <v>717</v>
      </c>
    </row>
    <row r="173" spans="1:9" ht="15.75" thickBot="1" x14ac:dyDescent="0.3">
      <c r="A173" s="1">
        <v>44197</v>
      </c>
      <c r="B173" t="s">
        <v>6</v>
      </c>
      <c r="C173" t="s">
        <v>7</v>
      </c>
      <c r="D173" t="s">
        <v>86</v>
      </c>
      <c r="E173" t="s">
        <v>12</v>
      </c>
      <c r="F173">
        <v>17166585.649999999</v>
      </c>
      <c r="G173" s="6">
        <v>752876292.68400002</v>
      </c>
      <c r="H173">
        <f t="shared" si="2"/>
        <v>752876.29268399999</v>
      </c>
      <c r="I173">
        <v>45598</v>
      </c>
    </row>
    <row r="174" spans="1:9" ht="15.75" thickBot="1" x14ac:dyDescent="0.3">
      <c r="A174" s="1">
        <v>44197</v>
      </c>
      <c r="B174" t="s">
        <v>6</v>
      </c>
      <c r="C174" t="s">
        <v>7</v>
      </c>
      <c r="D174" t="s">
        <v>86</v>
      </c>
      <c r="E174" t="s">
        <v>15</v>
      </c>
      <c r="F174">
        <v>3540890.91</v>
      </c>
      <c r="G174" s="6">
        <v>237577.49799999999</v>
      </c>
      <c r="H174">
        <f t="shared" si="2"/>
        <v>237577.49799999999</v>
      </c>
      <c r="I174">
        <v>942</v>
      </c>
    </row>
    <row r="175" spans="1:9" ht="15.75" thickBot="1" x14ac:dyDescent="0.3">
      <c r="A175" s="1">
        <v>44197</v>
      </c>
      <c r="B175" t="s">
        <v>6</v>
      </c>
      <c r="C175" t="s">
        <v>7</v>
      </c>
      <c r="D175" t="s">
        <v>86</v>
      </c>
      <c r="E175" t="s">
        <v>9</v>
      </c>
      <c r="F175">
        <v>3140976.04</v>
      </c>
      <c r="G175" s="6">
        <v>2435249.9700000002</v>
      </c>
      <c r="H175">
        <f t="shared" si="2"/>
        <v>2435249.9700000002</v>
      </c>
      <c r="I175">
        <v>638</v>
      </c>
    </row>
    <row r="176" spans="1:9" ht="15.75" thickBot="1" x14ac:dyDescent="0.3">
      <c r="A176" s="1">
        <v>44197</v>
      </c>
      <c r="B176" t="s">
        <v>6</v>
      </c>
      <c r="C176" t="s">
        <v>7</v>
      </c>
      <c r="D176" t="s">
        <v>86</v>
      </c>
      <c r="E176" t="s">
        <v>17</v>
      </c>
      <c r="F176">
        <v>611644.15</v>
      </c>
      <c r="G176" s="6">
        <v>11543293.501</v>
      </c>
      <c r="H176">
        <f t="shared" si="2"/>
        <v>11543293.501</v>
      </c>
      <c r="I176">
        <v>262</v>
      </c>
    </row>
    <row r="177" spans="1:9" ht="15.75" thickBot="1" x14ac:dyDescent="0.3">
      <c r="A177" s="1">
        <v>44197</v>
      </c>
      <c r="B177" t="s">
        <v>6</v>
      </c>
      <c r="C177" t="s">
        <v>7</v>
      </c>
      <c r="D177" t="s">
        <v>87</v>
      </c>
      <c r="E177" t="s">
        <v>12</v>
      </c>
      <c r="F177">
        <v>81.569999999999993</v>
      </c>
      <c r="G177" s="4">
        <v>0</v>
      </c>
      <c r="H177">
        <f t="shared" si="2"/>
        <v>0</v>
      </c>
      <c r="I177">
        <v>1</v>
      </c>
    </row>
    <row r="178" spans="1:9" ht="15.75" thickBot="1" x14ac:dyDescent="0.3">
      <c r="A178" s="1">
        <v>44197</v>
      </c>
      <c r="B178" t="s">
        <v>6</v>
      </c>
      <c r="C178" t="s">
        <v>7</v>
      </c>
      <c r="D178" t="s">
        <v>88</v>
      </c>
      <c r="E178" t="s">
        <v>12</v>
      </c>
      <c r="F178">
        <v>22608.11</v>
      </c>
      <c r="G178" s="5">
        <v>551408.48899999994</v>
      </c>
      <c r="H178">
        <f t="shared" si="2"/>
        <v>551.40848899999992</v>
      </c>
      <c r="I178">
        <v>27</v>
      </c>
    </row>
    <row r="179" spans="1:9" ht="15.75" thickBot="1" x14ac:dyDescent="0.3">
      <c r="A179" s="1">
        <v>44197</v>
      </c>
      <c r="B179" t="s">
        <v>6</v>
      </c>
      <c r="C179" t="s">
        <v>7</v>
      </c>
      <c r="D179" t="s">
        <v>88</v>
      </c>
      <c r="E179" t="s">
        <v>9</v>
      </c>
      <c r="F179">
        <v>5828.7</v>
      </c>
      <c r="G179" s="3">
        <v>79</v>
      </c>
      <c r="H179">
        <f t="shared" si="2"/>
        <v>79</v>
      </c>
      <c r="I179">
        <v>8</v>
      </c>
    </row>
    <row r="180" spans="1:9" ht="15.75" thickBot="1" x14ac:dyDescent="0.3">
      <c r="A180" s="1">
        <v>44197</v>
      </c>
      <c r="B180" t="s">
        <v>6</v>
      </c>
      <c r="C180" t="s">
        <v>7</v>
      </c>
      <c r="D180" t="s">
        <v>88</v>
      </c>
      <c r="E180" t="s">
        <v>17</v>
      </c>
      <c r="F180">
        <v>2667.74</v>
      </c>
      <c r="G180" s="5">
        <v>11250</v>
      </c>
      <c r="H180">
        <f t="shared" si="2"/>
        <v>11250</v>
      </c>
      <c r="I180">
        <v>1</v>
      </c>
    </row>
    <row r="181" spans="1:9" ht="15.75" thickBot="1" x14ac:dyDescent="0.3">
      <c r="A181" s="1">
        <v>44197</v>
      </c>
      <c r="B181" t="s">
        <v>6</v>
      </c>
      <c r="C181" t="s">
        <v>7</v>
      </c>
      <c r="D181" t="s">
        <v>89</v>
      </c>
      <c r="E181" t="s">
        <v>14</v>
      </c>
      <c r="F181">
        <v>1876936.6</v>
      </c>
      <c r="G181" s="3">
        <v>68130</v>
      </c>
      <c r="H181">
        <f t="shared" si="2"/>
        <v>68130</v>
      </c>
      <c r="I181">
        <v>2</v>
      </c>
    </row>
    <row r="182" spans="1:9" ht="15.75" thickBot="1" x14ac:dyDescent="0.3">
      <c r="A182" s="1">
        <v>44197</v>
      </c>
      <c r="B182" t="s">
        <v>6</v>
      </c>
      <c r="C182" t="s">
        <v>7</v>
      </c>
      <c r="D182" t="s">
        <v>89</v>
      </c>
      <c r="E182" t="s">
        <v>24</v>
      </c>
      <c r="F182">
        <v>1113.54</v>
      </c>
      <c r="G182" s="3">
        <v>10</v>
      </c>
      <c r="H182">
        <f t="shared" si="2"/>
        <v>10</v>
      </c>
      <c r="I182">
        <v>3</v>
      </c>
    </row>
    <row r="183" spans="1:9" ht="15.75" thickBot="1" x14ac:dyDescent="0.3">
      <c r="A183" s="1">
        <v>44197</v>
      </c>
      <c r="B183" t="s">
        <v>6</v>
      </c>
      <c r="C183" t="s">
        <v>7</v>
      </c>
      <c r="D183" t="s">
        <v>89</v>
      </c>
      <c r="E183" t="s">
        <v>12</v>
      </c>
      <c r="F183">
        <v>188255.64</v>
      </c>
      <c r="G183" s="5">
        <v>5831151.6859999998</v>
      </c>
      <c r="H183">
        <f t="shared" si="2"/>
        <v>5831.1516860000002</v>
      </c>
      <c r="I183">
        <v>411</v>
      </c>
    </row>
    <row r="184" spans="1:9" ht="15.75" thickBot="1" x14ac:dyDescent="0.3">
      <c r="A184" s="1">
        <v>44197</v>
      </c>
      <c r="B184" t="s">
        <v>6</v>
      </c>
      <c r="C184" t="s">
        <v>7</v>
      </c>
      <c r="D184" t="s">
        <v>89</v>
      </c>
      <c r="E184" t="s">
        <v>15</v>
      </c>
      <c r="F184">
        <v>22877.8</v>
      </c>
      <c r="G184" s="3">
        <v>540</v>
      </c>
      <c r="H184">
        <f t="shared" si="2"/>
        <v>540</v>
      </c>
      <c r="I184">
        <v>3</v>
      </c>
    </row>
    <row r="185" spans="1:9" ht="15.75" thickBot="1" x14ac:dyDescent="0.3">
      <c r="A185" s="1">
        <v>44197</v>
      </c>
      <c r="B185" t="s">
        <v>6</v>
      </c>
      <c r="C185" t="s">
        <v>7</v>
      </c>
      <c r="D185" t="s">
        <v>89</v>
      </c>
      <c r="E185" t="s">
        <v>9</v>
      </c>
      <c r="F185">
        <v>15614.39</v>
      </c>
      <c r="G185" s="6">
        <v>79239</v>
      </c>
      <c r="H185">
        <f t="shared" si="2"/>
        <v>79239</v>
      </c>
      <c r="I185">
        <v>26</v>
      </c>
    </row>
    <row r="186" spans="1:9" ht="15.75" thickBot="1" x14ac:dyDescent="0.3">
      <c r="A186" s="1">
        <v>44197</v>
      </c>
      <c r="B186" t="s">
        <v>6</v>
      </c>
      <c r="C186" t="s">
        <v>7</v>
      </c>
      <c r="D186" t="s">
        <v>89</v>
      </c>
      <c r="E186" t="s">
        <v>17</v>
      </c>
      <c r="F186">
        <v>1250.29</v>
      </c>
      <c r="G186" s="5">
        <v>39000</v>
      </c>
      <c r="H186">
        <f t="shared" si="2"/>
        <v>39000</v>
      </c>
      <c r="I186">
        <v>3</v>
      </c>
    </row>
    <row r="187" spans="1:9" ht="15.75" thickBot="1" x14ac:dyDescent="0.3">
      <c r="A187" s="1">
        <v>44197</v>
      </c>
      <c r="B187" t="s">
        <v>6</v>
      </c>
      <c r="C187" t="s">
        <v>7</v>
      </c>
      <c r="D187" t="s">
        <v>90</v>
      </c>
      <c r="E187" t="s">
        <v>14</v>
      </c>
      <c r="F187">
        <v>53084.36</v>
      </c>
      <c r="G187" s="3">
        <v>1623</v>
      </c>
      <c r="H187">
        <f t="shared" si="2"/>
        <v>1623</v>
      </c>
      <c r="I187">
        <v>8</v>
      </c>
    </row>
    <row r="188" spans="1:9" ht="15.75" thickBot="1" x14ac:dyDescent="0.3">
      <c r="A188" s="1">
        <v>44197</v>
      </c>
      <c r="B188" t="s">
        <v>6</v>
      </c>
      <c r="C188" t="s">
        <v>7</v>
      </c>
      <c r="D188" t="s">
        <v>90</v>
      </c>
      <c r="E188" t="s">
        <v>15</v>
      </c>
      <c r="F188">
        <v>80755</v>
      </c>
      <c r="G188" s="3">
        <v>2750</v>
      </c>
      <c r="H188">
        <f t="shared" si="2"/>
        <v>2750</v>
      </c>
      <c r="I188">
        <v>1</v>
      </c>
    </row>
    <row r="189" spans="1:9" ht="15.75" thickBot="1" x14ac:dyDescent="0.3">
      <c r="A189" s="1">
        <v>44197</v>
      </c>
      <c r="B189" t="s">
        <v>6</v>
      </c>
      <c r="C189" t="s">
        <v>7</v>
      </c>
      <c r="D189" t="s">
        <v>90</v>
      </c>
      <c r="E189" t="s">
        <v>9</v>
      </c>
      <c r="F189">
        <v>2768.23</v>
      </c>
      <c r="G189" s="5">
        <v>23027.396000000001</v>
      </c>
      <c r="H189">
        <f t="shared" si="2"/>
        <v>23027.396000000001</v>
      </c>
      <c r="I189">
        <v>27</v>
      </c>
    </row>
    <row r="190" spans="1:9" ht="15.75" thickBot="1" x14ac:dyDescent="0.3">
      <c r="A190" s="1">
        <v>44197</v>
      </c>
      <c r="B190" t="s">
        <v>6</v>
      </c>
      <c r="C190" t="s">
        <v>7</v>
      </c>
      <c r="D190" t="s">
        <v>91</v>
      </c>
      <c r="E190" t="s">
        <v>12</v>
      </c>
      <c r="F190">
        <v>237.57</v>
      </c>
      <c r="G190" s="3">
        <v>0</v>
      </c>
      <c r="H190">
        <f t="shared" si="2"/>
        <v>0</v>
      </c>
      <c r="I190">
        <v>2</v>
      </c>
    </row>
    <row r="191" spans="1:9" ht="15.75" thickBot="1" x14ac:dyDescent="0.3">
      <c r="A191" s="1">
        <v>44197</v>
      </c>
      <c r="B191" t="s">
        <v>6</v>
      </c>
      <c r="C191" t="s">
        <v>7</v>
      </c>
      <c r="D191" t="s">
        <v>91</v>
      </c>
      <c r="E191" t="s">
        <v>9</v>
      </c>
      <c r="F191">
        <v>3295.95</v>
      </c>
      <c r="G191" s="6">
        <v>958.72900000000004</v>
      </c>
      <c r="H191">
        <f t="shared" si="2"/>
        <v>958.72900000000004</v>
      </c>
      <c r="I191">
        <v>1</v>
      </c>
    </row>
    <row r="192" spans="1:9" ht="15.75" thickBot="1" x14ac:dyDescent="0.3">
      <c r="A192" s="1">
        <v>44197</v>
      </c>
      <c r="B192" t="s">
        <v>6</v>
      </c>
      <c r="C192" t="s">
        <v>7</v>
      </c>
      <c r="D192" t="s">
        <v>91</v>
      </c>
      <c r="E192" t="s">
        <v>17</v>
      </c>
      <c r="F192">
        <v>1247.44</v>
      </c>
      <c r="G192" s="3">
        <v>42</v>
      </c>
      <c r="H192">
        <f t="shared" si="2"/>
        <v>42</v>
      </c>
      <c r="I192">
        <v>1</v>
      </c>
    </row>
    <row r="193" spans="1:9" ht="15.75" thickBot="1" x14ac:dyDescent="0.3">
      <c r="A193" s="1">
        <v>44197</v>
      </c>
      <c r="B193" t="s">
        <v>6</v>
      </c>
      <c r="C193" t="s">
        <v>7</v>
      </c>
      <c r="D193" t="s">
        <v>92</v>
      </c>
      <c r="E193" t="s">
        <v>14</v>
      </c>
      <c r="F193">
        <v>127597.24</v>
      </c>
      <c r="G193" s="3">
        <v>3932</v>
      </c>
      <c r="H193">
        <f t="shared" si="2"/>
        <v>3932</v>
      </c>
      <c r="I193">
        <v>2</v>
      </c>
    </row>
    <row r="194" spans="1:9" ht="15.75" thickBot="1" x14ac:dyDescent="0.3">
      <c r="A194" s="1">
        <v>44197</v>
      </c>
      <c r="B194" t="s">
        <v>6</v>
      </c>
      <c r="C194" t="s">
        <v>7</v>
      </c>
      <c r="D194" t="s">
        <v>92</v>
      </c>
      <c r="E194" t="s">
        <v>17</v>
      </c>
      <c r="F194">
        <v>81.569999999999993</v>
      </c>
      <c r="G194" s="4">
        <v>0</v>
      </c>
      <c r="H194">
        <f t="shared" si="2"/>
        <v>0</v>
      </c>
      <c r="I194">
        <v>1</v>
      </c>
    </row>
    <row r="195" spans="1:9" ht="15.75" thickBot="1" x14ac:dyDescent="0.3">
      <c r="A195" s="1">
        <v>44197</v>
      </c>
      <c r="B195" t="s">
        <v>6</v>
      </c>
      <c r="C195" t="s">
        <v>7</v>
      </c>
      <c r="D195" t="s">
        <v>93</v>
      </c>
      <c r="E195" t="s">
        <v>9</v>
      </c>
      <c r="F195">
        <v>89424.9</v>
      </c>
      <c r="G195" s="3">
        <v>2630</v>
      </c>
      <c r="H195">
        <f t="shared" ref="H195:H258" si="3">IF(ISNUMBER(SEARCH("Domestic customer", E195)),G195/1000,G195)</f>
        <v>2630</v>
      </c>
      <c r="I195">
        <v>2</v>
      </c>
    </row>
    <row r="196" spans="1:9" ht="15.75" thickBot="1" x14ac:dyDescent="0.3">
      <c r="A196" s="1">
        <v>44197</v>
      </c>
      <c r="B196" t="s">
        <v>6</v>
      </c>
      <c r="C196" t="s">
        <v>7</v>
      </c>
      <c r="D196" t="s">
        <v>94</v>
      </c>
      <c r="E196" t="s">
        <v>14</v>
      </c>
      <c r="F196">
        <v>386514.52</v>
      </c>
      <c r="G196" s="3">
        <v>13690</v>
      </c>
      <c r="H196">
        <f t="shared" si="3"/>
        <v>13690</v>
      </c>
      <c r="I196">
        <v>2</v>
      </c>
    </row>
    <row r="197" spans="1:9" ht="15.75" thickBot="1" x14ac:dyDescent="0.3">
      <c r="A197" s="1">
        <v>44197</v>
      </c>
      <c r="B197" t="s">
        <v>6</v>
      </c>
      <c r="C197" t="s">
        <v>7</v>
      </c>
      <c r="D197" t="s">
        <v>94</v>
      </c>
      <c r="E197" t="s">
        <v>24</v>
      </c>
      <c r="F197">
        <v>81.569999999999993</v>
      </c>
      <c r="G197" s="4">
        <v>0</v>
      </c>
      <c r="H197">
        <f t="shared" si="3"/>
        <v>0</v>
      </c>
      <c r="I197">
        <v>1</v>
      </c>
    </row>
    <row r="198" spans="1:9" ht="15.75" thickBot="1" x14ac:dyDescent="0.3">
      <c r="A198" s="1">
        <v>44197</v>
      </c>
      <c r="B198" t="s">
        <v>6</v>
      </c>
      <c r="C198" t="s">
        <v>7</v>
      </c>
      <c r="D198" t="s">
        <v>95</v>
      </c>
      <c r="E198" t="s">
        <v>14</v>
      </c>
      <c r="F198">
        <v>169367.94</v>
      </c>
      <c r="G198" s="3">
        <v>5362</v>
      </c>
      <c r="H198">
        <f t="shared" si="3"/>
        <v>5362</v>
      </c>
      <c r="I198">
        <v>23</v>
      </c>
    </row>
    <row r="199" spans="1:9" ht="15.75" thickBot="1" x14ac:dyDescent="0.3">
      <c r="A199" s="1">
        <v>44197</v>
      </c>
      <c r="B199" t="s">
        <v>6</v>
      </c>
      <c r="C199" t="s">
        <v>7</v>
      </c>
      <c r="D199" t="s">
        <v>95</v>
      </c>
      <c r="E199" t="s">
        <v>24</v>
      </c>
      <c r="F199">
        <v>26611.53</v>
      </c>
      <c r="G199" s="3">
        <v>875</v>
      </c>
      <c r="H199">
        <f t="shared" si="3"/>
        <v>875</v>
      </c>
      <c r="I199">
        <v>7</v>
      </c>
    </row>
    <row r="200" spans="1:9" ht="15.75" thickBot="1" x14ac:dyDescent="0.3">
      <c r="A200" s="1">
        <v>44197</v>
      </c>
      <c r="B200" t="s">
        <v>6</v>
      </c>
      <c r="C200" t="s">
        <v>7</v>
      </c>
      <c r="D200" t="s">
        <v>95</v>
      </c>
      <c r="E200" t="s">
        <v>12</v>
      </c>
      <c r="F200">
        <v>8113.75</v>
      </c>
      <c r="G200" s="6">
        <v>22916.834999999999</v>
      </c>
      <c r="H200">
        <f t="shared" si="3"/>
        <v>22.916834999999999</v>
      </c>
      <c r="I200">
        <v>4</v>
      </c>
    </row>
    <row r="201" spans="1:9" ht="15.75" thickBot="1" x14ac:dyDescent="0.3">
      <c r="A201" s="1">
        <v>44197</v>
      </c>
      <c r="B201" t="s">
        <v>6</v>
      </c>
      <c r="C201" t="s">
        <v>7</v>
      </c>
      <c r="D201" t="s">
        <v>95</v>
      </c>
      <c r="E201" t="s">
        <v>15</v>
      </c>
      <c r="F201">
        <v>19313.3</v>
      </c>
      <c r="G201" s="3">
        <v>572</v>
      </c>
      <c r="H201">
        <f t="shared" si="3"/>
        <v>572</v>
      </c>
      <c r="I201">
        <v>3</v>
      </c>
    </row>
    <row r="202" spans="1:9" ht="15.75" thickBot="1" x14ac:dyDescent="0.3">
      <c r="A202" s="1">
        <v>44197</v>
      </c>
      <c r="B202" t="s">
        <v>6</v>
      </c>
      <c r="C202" t="s">
        <v>7</v>
      </c>
      <c r="D202" t="s">
        <v>95</v>
      </c>
      <c r="E202" t="s">
        <v>9</v>
      </c>
      <c r="F202">
        <v>68340.850000000006</v>
      </c>
      <c r="G202" s="6">
        <v>338560.83299999998</v>
      </c>
      <c r="H202">
        <f t="shared" si="3"/>
        <v>338560.83299999998</v>
      </c>
      <c r="I202">
        <v>17</v>
      </c>
    </row>
    <row r="203" spans="1:9" ht="15.75" thickBot="1" x14ac:dyDescent="0.3">
      <c r="A203" s="1">
        <v>44197</v>
      </c>
      <c r="B203" t="s">
        <v>6</v>
      </c>
      <c r="C203" t="s">
        <v>7</v>
      </c>
      <c r="D203" t="s">
        <v>95</v>
      </c>
      <c r="E203" t="s">
        <v>17</v>
      </c>
      <c r="F203">
        <v>8450.2000000000007</v>
      </c>
      <c r="G203" s="3">
        <v>35</v>
      </c>
      <c r="H203">
        <f t="shared" si="3"/>
        <v>35</v>
      </c>
      <c r="I203">
        <v>1</v>
      </c>
    </row>
    <row r="204" spans="1:9" ht="15.75" thickBot="1" x14ac:dyDescent="0.3">
      <c r="A204" s="1">
        <v>44197</v>
      </c>
      <c r="B204" t="s">
        <v>6</v>
      </c>
      <c r="C204" t="s">
        <v>7</v>
      </c>
      <c r="D204" t="s">
        <v>96</v>
      </c>
      <c r="E204" t="s">
        <v>12</v>
      </c>
      <c r="F204">
        <v>3948.56</v>
      </c>
      <c r="G204" s="5">
        <v>118000</v>
      </c>
      <c r="H204">
        <f t="shared" si="3"/>
        <v>118</v>
      </c>
      <c r="I204">
        <v>7</v>
      </c>
    </row>
    <row r="205" spans="1:9" ht="15.75" thickBot="1" x14ac:dyDescent="0.3">
      <c r="A205" s="1">
        <v>44197</v>
      </c>
      <c r="B205" t="s">
        <v>6</v>
      </c>
      <c r="C205" t="s">
        <v>7</v>
      </c>
      <c r="D205" t="s">
        <v>96</v>
      </c>
      <c r="E205" t="s">
        <v>9</v>
      </c>
      <c r="F205">
        <v>81.569999999999993</v>
      </c>
      <c r="G205" s="4">
        <v>0</v>
      </c>
      <c r="H205">
        <f t="shared" si="3"/>
        <v>0</v>
      </c>
      <c r="I205">
        <v>1</v>
      </c>
    </row>
    <row r="206" spans="1:9" ht="15.75" thickBot="1" x14ac:dyDescent="0.3">
      <c r="A206" s="1">
        <v>44197</v>
      </c>
      <c r="B206" t="s">
        <v>6</v>
      </c>
      <c r="C206" t="s">
        <v>7</v>
      </c>
      <c r="D206" t="s">
        <v>97</v>
      </c>
      <c r="E206" t="s">
        <v>14</v>
      </c>
      <c r="F206">
        <v>335140</v>
      </c>
      <c r="G206" s="3">
        <v>9778</v>
      </c>
      <c r="H206">
        <f t="shared" si="3"/>
        <v>9778</v>
      </c>
      <c r="I206">
        <v>30</v>
      </c>
    </row>
    <row r="207" spans="1:9" ht="15.75" thickBot="1" x14ac:dyDescent="0.3">
      <c r="A207" s="1">
        <v>44197</v>
      </c>
      <c r="B207" t="s">
        <v>6</v>
      </c>
      <c r="C207" t="s">
        <v>7</v>
      </c>
      <c r="D207" t="s">
        <v>97</v>
      </c>
      <c r="E207" t="s">
        <v>24</v>
      </c>
      <c r="F207">
        <v>2501.56</v>
      </c>
      <c r="G207" s="3">
        <v>33</v>
      </c>
      <c r="H207">
        <f t="shared" si="3"/>
        <v>33</v>
      </c>
      <c r="I207">
        <v>1</v>
      </c>
    </row>
    <row r="208" spans="1:9" ht="15.75" thickBot="1" x14ac:dyDescent="0.3">
      <c r="A208" s="1">
        <v>44197</v>
      </c>
      <c r="B208" t="s">
        <v>6</v>
      </c>
      <c r="C208" t="s">
        <v>7</v>
      </c>
      <c r="D208" t="s">
        <v>97</v>
      </c>
      <c r="E208" t="s">
        <v>12</v>
      </c>
      <c r="F208">
        <v>88116.14</v>
      </c>
      <c r="G208" s="6">
        <v>3274364</v>
      </c>
      <c r="H208">
        <f t="shared" si="3"/>
        <v>3274.364</v>
      </c>
      <c r="I208">
        <v>10</v>
      </c>
    </row>
    <row r="209" spans="1:9" ht="15.75" thickBot="1" x14ac:dyDescent="0.3">
      <c r="A209" s="1">
        <v>44197</v>
      </c>
      <c r="B209" t="s">
        <v>6</v>
      </c>
      <c r="C209" t="s">
        <v>7</v>
      </c>
      <c r="D209" t="s">
        <v>97</v>
      </c>
      <c r="E209" t="s">
        <v>9</v>
      </c>
      <c r="F209">
        <v>104165.37</v>
      </c>
      <c r="G209" s="6">
        <v>492689</v>
      </c>
      <c r="H209">
        <f t="shared" si="3"/>
        <v>492689</v>
      </c>
      <c r="I209">
        <v>19</v>
      </c>
    </row>
    <row r="210" spans="1:9" ht="15.75" thickBot="1" x14ac:dyDescent="0.3">
      <c r="A210" s="1">
        <v>44197</v>
      </c>
      <c r="B210" t="s">
        <v>6</v>
      </c>
      <c r="C210" t="s">
        <v>7</v>
      </c>
      <c r="D210" t="s">
        <v>97</v>
      </c>
      <c r="E210" t="s">
        <v>17</v>
      </c>
      <c r="F210">
        <v>2037.12</v>
      </c>
      <c r="G210" s="3">
        <v>16</v>
      </c>
      <c r="H210">
        <f t="shared" si="3"/>
        <v>16</v>
      </c>
      <c r="I210">
        <v>1</v>
      </c>
    </row>
    <row r="211" spans="1:9" ht="15.75" thickBot="1" x14ac:dyDescent="0.3">
      <c r="A211" s="1">
        <v>44197</v>
      </c>
      <c r="B211" t="s">
        <v>6</v>
      </c>
      <c r="C211" t="s">
        <v>7</v>
      </c>
      <c r="D211" t="s">
        <v>98</v>
      </c>
      <c r="E211" t="s">
        <v>24</v>
      </c>
      <c r="F211">
        <v>100</v>
      </c>
      <c r="G211" s="3">
        <v>0</v>
      </c>
      <c r="H211">
        <f t="shared" si="3"/>
        <v>0</v>
      </c>
      <c r="I211">
        <v>1</v>
      </c>
    </row>
    <row r="212" spans="1:9" ht="15.75" thickBot="1" x14ac:dyDescent="0.3">
      <c r="A212" s="1">
        <v>44197</v>
      </c>
      <c r="B212" t="s">
        <v>6</v>
      </c>
      <c r="C212" t="s">
        <v>7</v>
      </c>
      <c r="D212" t="s">
        <v>99</v>
      </c>
      <c r="E212" t="s">
        <v>14</v>
      </c>
      <c r="F212">
        <v>1607.13</v>
      </c>
      <c r="G212" s="3">
        <v>19</v>
      </c>
      <c r="H212">
        <f t="shared" si="3"/>
        <v>19</v>
      </c>
      <c r="I212">
        <v>1</v>
      </c>
    </row>
    <row r="213" spans="1:9" ht="15.75" thickBot="1" x14ac:dyDescent="0.3">
      <c r="A213" s="1">
        <v>44197</v>
      </c>
      <c r="B213" t="s">
        <v>6</v>
      </c>
      <c r="C213" t="s">
        <v>7</v>
      </c>
      <c r="D213" t="s">
        <v>99</v>
      </c>
      <c r="E213" t="s">
        <v>9</v>
      </c>
      <c r="F213">
        <v>81.569999999999993</v>
      </c>
      <c r="G213" s="4">
        <v>0</v>
      </c>
      <c r="H213">
        <f t="shared" si="3"/>
        <v>0</v>
      </c>
      <c r="I213">
        <v>1</v>
      </c>
    </row>
    <row r="214" spans="1:9" ht="15.75" thickBot="1" x14ac:dyDescent="0.3">
      <c r="A214" s="1">
        <v>44197</v>
      </c>
      <c r="B214" t="s">
        <v>6</v>
      </c>
      <c r="C214" t="s">
        <v>7</v>
      </c>
      <c r="D214" t="s">
        <v>99</v>
      </c>
      <c r="E214" t="s">
        <v>17</v>
      </c>
      <c r="F214">
        <v>3739.43</v>
      </c>
      <c r="G214" s="5">
        <v>83127.271999999997</v>
      </c>
      <c r="H214">
        <f t="shared" si="3"/>
        <v>83127.271999999997</v>
      </c>
      <c r="I214">
        <v>1</v>
      </c>
    </row>
    <row r="215" spans="1:9" ht="15.75" thickBot="1" x14ac:dyDescent="0.3">
      <c r="A215" s="1">
        <v>44197</v>
      </c>
      <c r="B215" t="s">
        <v>6</v>
      </c>
      <c r="C215" t="s">
        <v>7</v>
      </c>
      <c r="D215" t="s">
        <v>100</v>
      </c>
      <c r="E215" t="s">
        <v>14</v>
      </c>
      <c r="F215">
        <v>444.73</v>
      </c>
      <c r="G215" s="5">
        <v>3000</v>
      </c>
      <c r="H215">
        <f t="shared" si="3"/>
        <v>3000</v>
      </c>
      <c r="I215">
        <v>1</v>
      </c>
    </row>
    <row r="216" spans="1:9" ht="15.75" thickBot="1" x14ac:dyDescent="0.3">
      <c r="A216" s="1">
        <v>44197</v>
      </c>
      <c r="B216" t="s">
        <v>6</v>
      </c>
      <c r="C216" t="s">
        <v>7</v>
      </c>
      <c r="D216" t="s">
        <v>100</v>
      </c>
      <c r="E216" t="s">
        <v>12</v>
      </c>
      <c r="F216">
        <v>4849.66</v>
      </c>
      <c r="G216" s="5">
        <v>145000</v>
      </c>
      <c r="H216">
        <f t="shared" si="3"/>
        <v>145</v>
      </c>
      <c r="I216">
        <v>3</v>
      </c>
    </row>
    <row r="217" spans="1:9" ht="15.75" thickBot="1" x14ac:dyDescent="0.3">
      <c r="A217" s="1">
        <v>44197</v>
      </c>
      <c r="B217" t="s">
        <v>6</v>
      </c>
      <c r="C217" t="s">
        <v>7</v>
      </c>
      <c r="D217" t="s">
        <v>100</v>
      </c>
      <c r="E217" t="s">
        <v>9</v>
      </c>
      <c r="F217">
        <v>1511.71</v>
      </c>
      <c r="G217" s="5">
        <v>54000</v>
      </c>
      <c r="H217">
        <f t="shared" si="3"/>
        <v>54000</v>
      </c>
      <c r="I217">
        <v>2</v>
      </c>
    </row>
    <row r="218" spans="1:9" ht="15.75" thickBot="1" x14ac:dyDescent="0.3">
      <c r="A218" s="1">
        <v>44197</v>
      </c>
      <c r="B218" t="s">
        <v>6</v>
      </c>
      <c r="C218" t="s">
        <v>7</v>
      </c>
      <c r="D218" t="s">
        <v>101</v>
      </c>
      <c r="E218" t="s">
        <v>9</v>
      </c>
      <c r="F218">
        <v>3344.37</v>
      </c>
      <c r="G218" s="4">
        <v>0</v>
      </c>
      <c r="H218">
        <f t="shared" si="3"/>
        <v>0</v>
      </c>
      <c r="I218">
        <v>41</v>
      </c>
    </row>
    <row r="219" spans="1:9" ht="15.75" thickBot="1" x14ac:dyDescent="0.3">
      <c r="A219" s="1">
        <v>44197</v>
      </c>
      <c r="B219" t="s">
        <v>6</v>
      </c>
      <c r="C219" t="s">
        <v>7</v>
      </c>
      <c r="D219" t="s">
        <v>101</v>
      </c>
      <c r="E219" t="s">
        <v>17</v>
      </c>
      <c r="F219">
        <v>170221.77</v>
      </c>
      <c r="G219" s="3">
        <v>5610</v>
      </c>
      <c r="H219">
        <f t="shared" si="3"/>
        <v>5610</v>
      </c>
      <c r="I219">
        <v>2</v>
      </c>
    </row>
    <row r="220" spans="1:9" ht="15.75" thickBot="1" x14ac:dyDescent="0.3">
      <c r="A220" s="1">
        <v>44197</v>
      </c>
      <c r="B220" t="s">
        <v>6</v>
      </c>
      <c r="C220" t="s">
        <v>7</v>
      </c>
      <c r="D220" t="s">
        <v>102</v>
      </c>
      <c r="E220" t="s">
        <v>14</v>
      </c>
      <c r="F220">
        <v>19107.080000000002</v>
      </c>
      <c r="G220" s="6">
        <v>385071.11</v>
      </c>
      <c r="H220">
        <f t="shared" si="3"/>
        <v>385071.11</v>
      </c>
      <c r="I220">
        <v>9</v>
      </c>
    </row>
    <row r="221" spans="1:9" ht="15.75" thickBot="1" x14ac:dyDescent="0.3">
      <c r="A221" s="1">
        <v>44197</v>
      </c>
      <c r="B221" t="s">
        <v>6</v>
      </c>
      <c r="C221" t="s">
        <v>7</v>
      </c>
      <c r="D221" t="s">
        <v>102</v>
      </c>
      <c r="E221" t="s">
        <v>24</v>
      </c>
      <c r="F221">
        <v>5002.59</v>
      </c>
      <c r="G221" s="3">
        <v>157</v>
      </c>
      <c r="H221">
        <f t="shared" si="3"/>
        <v>157</v>
      </c>
      <c r="I221">
        <v>2</v>
      </c>
    </row>
    <row r="222" spans="1:9" ht="15.75" thickBot="1" x14ac:dyDescent="0.3">
      <c r="A222" s="1">
        <v>44197</v>
      </c>
      <c r="B222" t="s">
        <v>6</v>
      </c>
      <c r="C222" t="s">
        <v>7</v>
      </c>
      <c r="D222" t="s">
        <v>102</v>
      </c>
      <c r="E222" t="s">
        <v>12</v>
      </c>
      <c r="F222">
        <v>63917.77</v>
      </c>
      <c r="G222" s="6">
        <v>2033666.794</v>
      </c>
      <c r="H222">
        <f t="shared" si="3"/>
        <v>2033.666794</v>
      </c>
      <c r="I222">
        <v>109</v>
      </c>
    </row>
    <row r="223" spans="1:9" ht="15.75" thickBot="1" x14ac:dyDescent="0.3">
      <c r="A223" s="1">
        <v>44197</v>
      </c>
      <c r="B223" t="s">
        <v>6</v>
      </c>
      <c r="C223" t="s">
        <v>7</v>
      </c>
      <c r="D223" t="s">
        <v>102</v>
      </c>
      <c r="E223" t="s">
        <v>9</v>
      </c>
      <c r="F223">
        <v>14715.9</v>
      </c>
      <c r="G223" s="6">
        <v>131210.75899999999</v>
      </c>
      <c r="H223">
        <f t="shared" si="3"/>
        <v>131210.75899999999</v>
      </c>
      <c r="I223">
        <v>23</v>
      </c>
    </row>
    <row r="224" spans="1:9" ht="15.75" thickBot="1" x14ac:dyDescent="0.3">
      <c r="A224" s="1">
        <v>44197</v>
      </c>
      <c r="B224" t="s">
        <v>6</v>
      </c>
      <c r="C224" t="s">
        <v>7</v>
      </c>
      <c r="D224" t="s">
        <v>102</v>
      </c>
      <c r="E224" t="s">
        <v>17</v>
      </c>
      <c r="F224">
        <v>200.73</v>
      </c>
      <c r="G224" s="5">
        <v>3000</v>
      </c>
      <c r="H224">
        <f t="shared" si="3"/>
        <v>3000</v>
      </c>
      <c r="I224">
        <v>1</v>
      </c>
    </row>
    <row r="225" spans="1:9" ht="15.75" thickBot="1" x14ac:dyDescent="0.3">
      <c r="A225" s="1">
        <v>44197</v>
      </c>
      <c r="B225" t="s">
        <v>6</v>
      </c>
      <c r="C225" t="s">
        <v>7</v>
      </c>
      <c r="D225" t="s">
        <v>103</v>
      </c>
      <c r="E225" t="s">
        <v>24</v>
      </c>
      <c r="F225">
        <v>426922.23999999999</v>
      </c>
      <c r="G225" s="6">
        <v>5654039.443</v>
      </c>
      <c r="H225">
        <f t="shared" si="3"/>
        <v>5654039.443</v>
      </c>
      <c r="I225">
        <v>15</v>
      </c>
    </row>
    <row r="226" spans="1:9" ht="15.75" thickBot="1" x14ac:dyDescent="0.3">
      <c r="A226" s="1">
        <v>44197</v>
      </c>
      <c r="B226" t="s">
        <v>6</v>
      </c>
      <c r="C226" t="s">
        <v>7</v>
      </c>
      <c r="D226" t="s">
        <v>103</v>
      </c>
      <c r="E226" t="s">
        <v>12</v>
      </c>
      <c r="F226">
        <v>855.5</v>
      </c>
      <c r="G226" s="5">
        <v>34000</v>
      </c>
      <c r="H226">
        <f t="shared" si="3"/>
        <v>34</v>
      </c>
      <c r="I226">
        <v>3</v>
      </c>
    </row>
    <row r="227" spans="1:9" ht="15.75" thickBot="1" x14ac:dyDescent="0.3">
      <c r="A227" s="1">
        <v>44197</v>
      </c>
      <c r="B227" t="s">
        <v>6</v>
      </c>
      <c r="C227" t="s">
        <v>7</v>
      </c>
      <c r="D227" t="s">
        <v>104</v>
      </c>
      <c r="E227" t="s">
        <v>12</v>
      </c>
      <c r="F227">
        <v>17810.080000000002</v>
      </c>
      <c r="G227" s="5">
        <v>194138.51800000001</v>
      </c>
      <c r="H227">
        <f t="shared" si="3"/>
        <v>194.138518</v>
      </c>
      <c r="I227">
        <v>5</v>
      </c>
    </row>
    <row r="228" spans="1:9" ht="15.75" thickBot="1" x14ac:dyDescent="0.3">
      <c r="A228" s="1">
        <v>44197</v>
      </c>
      <c r="B228" t="s">
        <v>6</v>
      </c>
      <c r="C228" t="s">
        <v>7</v>
      </c>
      <c r="D228" t="s">
        <v>104</v>
      </c>
      <c r="E228" t="s">
        <v>9</v>
      </c>
      <c r="F228">
        <v>406.93</v>
      </c>
      <c r="G228" s="5">
        <v>464.75400000000002</v>
      </c>
      <c r="H228">
        <f t="shared" si="3"/>
        <v>464.75400000000002</v>
      </c>
      <c r="I228">
        <v>1</v>
      </c>
    </row>
    <row r="229" spans="1:9" ht="15.75" thickBot="1" x14ac:dyDescent="0.3">
      <c r="A229" s="1">
        <v>44197</v>
      </c>
      <c r="B229" t="s">
        <v>6</v>
      </c>
      <c r="C229" t="s">
        <v>7</v>
      </c>
      <c r="D229" t="s">
        <v>105</v>
      </c>
      <c r="E229" t="s">
        <v>12</v>
      </c>
      <c r="F229">
        <v>2245.0500000000002</v>
      </c>
      <c r="G229" s="5">
        <v>66000</v>
      </c>
      <c r="H229">
        <f t="shared" si="3"/>
        <v>66</v>
      </c>
      <c r="I229">
        <v>10</v>
      </c>
    </row>
    <row r="230" spans="1:9" ht="15.75" thickBot="1" x14ac:dyDescent="0.3">
      <c r="A230" s="1">
        <v>44197</v>
      </c>
      <c r="B230" t="s">
        <v>6</v>
      </c>
      <c r="C230" t="s">
        <v>7</v>
      </c>
      <c r="D230" t="s">
        <v>105</v>
      </c>
      <c r="E230" t="s">
        <v>9</v>
      </c>
      <c r="F230">
        <v>81.569999999999993</v>
      </c>
      <c r="G230" s="4">
        <v>0</v>
      </c>
      <c r="H230">
        <f t="shared" si="3"/>
        <v>0</v>
      </c>
      <c r="I230">
        <v>1</v>
      </c>
    </row>
    <row r="231" spans="1:9" ht="15.75" thickBot="1" x14ac:dyDescent="0.3">
      <c r="A231" s="1">
        <v>44197</v>
      </c>
      <c r="B231" t="s">
        <v>6</v>
      </c>
      <c r="C231" t="s">
        <v>7</v>
      </c>
      <c r="D231" t="s">
        <v>105</v>
      </c>
      <c r="E231" t="s">
        <v>17</v>
      </c>
      <c r="F231">
        <v>267.48</v>
      </c>
      <c r="G231" s="5">
        <v>10000</v>
      </c>
      <c r="H231">
        <f t="shared" si="3"/>
        <v>10000</v>
      </c>
      <c r="I231">
        <v>1</v>
      </c>
    </row>
    <row r="232" spans="1:9" ht="15.75" thickBot="1" x14ac:dyDescent="0.3">
      <c r="A232" s="1">
        <v>44197</v>
      </c>
      <c r="B232" t="s">
        <v>6</v>
      </c>
      <c r="C232" t="s">
        <v>7</v>
      </c>
      <c r="D232" t="s">
        <v>106</v>
      </c>
      <c r="E232" t="s">
        <v>12</v>
      </c>
      <c r="F232">
        <v>5556.62</v>
      </c>
      <c r="G232" s="5">
        <v>193000</v>
      </c>
      <c r="H232">
        <f t="shared" si="3"/>
        <v>193</v>
      </c>
      <c r="I232">
        <v>19</v>
      </c>
    </row>
    <row r="233" spans="1:9" ht="15.75" thickBot="1" x14ac:dyDescent="0.3">
      <c r="A233" s="1">
        <v>44197</v>
      </c>
      <c r="B233" t="s">
        <v>6</v>
      </c>
      <c r="C233" t="s">
        <v>7</v>
      </c>
      <c r="D233" t="s">
        <v>106</v>
      </c>
      <c r="E233" t="s">
        <v>9</v>
      </c>
      <c r="F233">
        <v>5552.29</v>
      </c>
      <c r="G233" s="5">
        <v>377898.1</v>
      </c>
      <c r="H233">
        <f t="shared" si="3"/>
        <v>377898.1</v>
      </c>
      <c r="I233">
        <v>49</v>
      </c>
    </row>
    <row r="234" spans="1:9" ht="15.75" thickBot="1" x14ac:dyDescent="0.3">
      <c r="A234" s="1">
        <v>44197</v>
      </c>
      <c r="B234" t="s">
        <v>6</v>
      </c>
      <c r="C234" t="s">
        <v>7</v>
      </c>
      <c r="D234" t="s">
        <v>107</v>
      </c>
      <c r="E234" t="s">
        <v>12</v>
      </c>
      <c r="F234">
        <v>354.59</v>
      </c>
      <c r="G234" s="5">
        <v>13456.8</v>
      </c>
      <c r="H234">
        <f t="shared" si="3"/>
        <v>13.456799999999999</v>
      </c>
      <c r="I234">
        <v>1</v>
      </c>
    </row>
    <row r="235" spans="1:9" ht="15.75" thickBot="1" x14ac:dyDescent="0.3">
      <c r="A235" s="1">
        <v>44197</v>
      </c>
      <c r="B235" t="s">
        <v>6</v>
      </c>
      <c r="C235" t="s">
        <v>7</v>
      </c>
      <c r="D235" t="s">
        <v>107</v>
      </c>
      <c r="E235" t="s">
        <v>9</v>
      </c>
      <c r="F235">
        <v>602.55999999999995</v>
      </c>
      <c r="G235" s="3">
        <v>20</v>
      </c>
      <c r="H235">
        <f t="shared" si="3"/>
        <v>20</v>
      </c>
      <c r="I235">
        <v>1</v>
      </c>
    </row>
    <row r="236" spans="1:9" ht="15.75" thickBot="1" x14ac:dyDescent="0.3">
      <c r="A236" s="1">
        <v>44197</v>
      </c>
      <c r="B236" t="s">
        <v>6</v>
      </c>
      <c r="C236" t="s">
        <v>7</v>
      </c>
      <c r="D236" t="s">
        <v>108</v>
      </c>
      <c r="E236" t="s">
        <v>14</v>
      </c>
      <c r="F236">
        <v>2793.42</v>
      </c>
      <c r="G236" s="3">
        <v>88</v>
      </c>
      <c r="H236">
        <f t="shared" si="3"/>
        <v>88</v>
      </c>
      <c r="I236">
        <v>1</v>
      </c>
    </row>
    <row r="237" spans="1:9" ht="15.75" thickBot="1" x14ac:dyDescent="0.3">
      <c r="A237" s="1">
        <v>44197</v>
      </c>
      <c r="B237" t="s">
        <v>6</v>
      </c>
      <c r="C237" t="s">
        <v>7</v>
      </c>
      <c r="D237" t="s">
        <v>108</v>
      </c>
      <c r="E237" t="s">
        <v>12</v>
      </c>
      <c r="F237">
        <v>59718.49</v>
      </c>
      <c r="G237" s="6">
        <v>1572637.496</v>
      </c>
      <c r="H237">
        <f t="shared" si="3"/>
        <v>1572.6374960000001</v>
      </c>
      <c r="I237">
        <v>93</v>
      </c>
    </row>
    <row r="238" spans="1:9" ht="15.75" thickBot="1" x14ac:dyDescent="0.3">
      <c r="A238" s="1">
        <v>44197</v>
      </c>
      <c r="B238" t="s">
        <v>6</v>
      </c>
      <c r="C238" t="s">
        <v>7</v>
      </c>
      <c r="D238" t="s">
        <v>108</v>
      </c>
      <c r="E238" t="s">
        <v>9</v>
      </c>
      <c r="F238">
        <v>12491.76</v>
      </c>
      <c r="G238" s="6">
        <v>121103.86599999999</v>
      </c>
      <c r="H238">
        <f t="shared" si="3"/>
        <v>121103.86599999999</v>
      </c>
      <c r="I238">
        <v>22</v>
      </c>
    </row>
    <row r="239" spans="1:9" ht="15.75" thickBot="1" x14ac:dyDescent="0.3">
      <c r="A239" s="1">
        <v>44197</v>
      </c>
      <c r="B239" t="s">
        <v>6</v>
      </c>
      <c r="C239" t="s">
        <v>7</v>
      </c>
      <c r="D239" t="s">
        <v>108</v>
      </c>
      <c r="E239" t="s">
        <v>17</v>
      </c>
      <c r="F239">
        <v>482.88</v>
      </c>
      <c r="G239" s="5">
        <v>16000</v>
      </c>
      <c r="H239">
        <f t="shared" si="3"/>
        <v>16000</v>
      </c>
      <c r="I239">
        <v>1</v>
      </c>
    </row>
    <row r="240" spans="1:9" ht="15.75" thickBot="1" x14ac:dyDescent="0.3">
      <c r="A240" s="1">
        <v>44197</v>
      </c>
      <c r="B240" t="s">
        <v>6</v>
      </c>
      <c r="C240" t="s">
        <v>7</v>
      </c>
      <c r="D240" t="s">
        <v>109</v>
      </c>
      <c r="E240" t="s">
        <v>9</v>
      </c>
      <c r="F240">
        <v>58595.56</v>
      </c>
      <c r="G240" s="3">
        <v>1733</v>
      </c>
      <c r="H240">
        <f t="shared" si="3"/>
        <v>1733</v>
      </c>
      <c r="I240">
        <v>1</v>
      </c>
    </row>
    <row r="241" spans="1:9" ht="15.75" thickBot="1" x14ac:dyDescent="0.3">
      <c r="A241" s="1">
        <v>44197</v>
      </c>
      <c r="B241" t="s">
        <v>6</v>
      </c>
      <c r="C241" t="s">
        <v>7</v>
      </c>
      <c r="D241" t="s">
        <v>110</v>
      </c>
      <c r="E241" t="s">
        <v>24</v>
      </c>
      <c r="F241">
        <v>1233.8399999999999</v>
      </c>
      <c r="G241" s="3">
        <v>41</v>
      </c>
      <c r="H241">
        <f t="shared" si="3"/>
        <v>41</v>
      </c>
      <c r="I241">
        <v>1</v>
      </c>
    </row>
    <row r="242" spans="1:9" ht="15.75" thickBot="1" x14ac:dyDescent="0.3">
      <c r="A242" s="1">
        <v>44197</v>
      </c>
      <c r="B242" t="s">
        <v>6</v>
      </c>
      <c r="C242" t="s">
        <v>7</v>
      </c>
      <c r="D242" t="s">
        <v>110</v>
      </c>
      <c r="E242" t="s">
        <v>12</v>
      </c>
      <c r="F242">
        <v>2428.94</v>
      </c>
      <c r="G242" s="5">
        <v>83437.214999999997</v>
      </c>
      <c r="H242">
        <f t="shared" si="3"/>
        <v>83.437214999999995</v>
      </c>
      <c r="I242">
        <v>3</v>
      </c>
    </row>
    <row r="243" spans="1:9" ht="15.75" thickBot="1" x14ac:dyDescent="0.3">
      <c r="A243" s="1">
        <v>44197</v>
      </c>
      <c r="B243" t="s">
        <v>6</v>
      </c>
      <c r="C243" t="s">
        <v>7</v>
      </c>
      <c r="D243" t="s">
        <v>110</v>
      </c>
      <c r="E243" t="s">
        <v>9</v>
      </c>
      <c r="F243">
        <v>81.569999999999993</v>
      </c>
      <c r="G243" s="4">
        <v>0</v>
      </c>
      <c r="H243">
        <f t="shared" si="3"/>
        <v>0</v>
      </c>
      <c r="I243">
        <v>1</v>
      </c>
    </row>
    <row r="244" spans="1:9" ht="15.75" thickBot="1" x14ac:dyDescent="0.3">
      <c r="A244" s="1">
        <v>44197</v>
      </c>
      <c r="B244" t="s">
        <v>6</v>
      </c>
      <c r="C244" t="s">
        <v>7</v>
      </c>
      <c r="D244" t="s">
        <v>110</v>
      </c>
      <c r="E244" t="s">
        <v>17</v>
      </c>
      <c r="F244">
        <v>383.74</v>
      </c>
      <c r="G244" s="5">
        <v>11000</v>
      </c>
      <c r="H244">
        <f t="shared" si="3"/>
        <v>11000</v>
      </c>
      <c r="I244">
        <v>1</v>
      </c>
    </row>
    <row r="245" spans="1:9" ht="15.75" thickBot="1" x14ac:dyDescent="0.3">
      <c r="A245" s="1">
        <v>44197</v>
      </c>
      <c r="B245" t="s">
        <v>6</v>
      </c>
      <c r="C245" t="s">
        <v>7</v>
      </c>
      <c r="D245" t="s">
        <v>111</v>
      </c>
      <c r="E245" t="s">
        <v>14</v>
      </c>
      <c r="F245">
        <v>81.569999999999993</v>
      </c>
      <c r="G245" s="4">
        <v>0</v>
      </c>
      <c r="H245">
        <f t="shared" si="3"/>
        <v>0</v>
      </c>
      <c r="I245">
        <v>1</v>
      </c>
    </row>
    <row r="246" spans="1:9" ht="15.75" thickBot="1" x14ac:dyDescent="0.3">
      <c r="A246" s="1">
        <v>44197</v>
      </c>
      <c r="B246" t="s">
        <v>6</v>
      </c>
      <c r="C246" t="s">
        <v>7</v>
      </c>
      <c r="D246" t="s">
        <v>111</v>
      </c>
      <c r="E246" t="s">
        <v>24</v>
      </c>
      <c r="F246">
        <v>209.28</v>
      </c>
      <c r="G246" s="3">
        <v>4</v>
      </c>
      <c r="H246">
        <f t="shared" si="3"/>
        <v>4</v>
      </c>
      <c r="I246">
        <v>1</v>
      </c>
    </row>
    <row r="247" spans="1:9" ht="15.75" thickBot="1" x14ac:dyDescent="0.3">
      <c r="A247" s="1">
        <v>44197</v>
      </c>
      <c r="B247" t="s">
        <v>6</v>
      </c>
      <c r="C247" t="s">
        <v>7</v>
      </c>
      <c r="D247" t="s">
        <v>111</v>
      </c>
      <c r="E247" t="s">
        <v>12</v>
      </c>
      <c r="F247">
        <v>6856.09</v>
      </c>
      <c r="G247" s="5">
        <v>196737.93100000001</v>
      </c>
      <c r="H247">
        <f t="shared" si="3"/>
        <v>196.737931</v>
      </c>
      <c r="I247">
        <v>11</v>
      </c>
    </row>
    <row r="248" spans="1:9" ht="15.75" thickBot="1" x14ac:dyDescent="0.3">
      <c r="A248" s="1">
        <v>44197</v>
      </c>
      <c r="B248" t="s">
        <v>6</v>
      </c>
      <c r="C248" t="s">
        <v>7</v>
      </c>
      <c r="D248" t="s">
        <v>111</v>
      </c>
      <c r="E248" t="s">
        <v>9</v>
      </c>
      <c r="F248">
        <v>163.13999999999999</v>
      </c>
      <c r="G248" s="4">
        <v>0</v>
      </c>
      <c r="H248">
        <f t="shared" si="3"/>
        <v>0</v>
      </c>
      <c r="I248">
        <v>2</v>
      </c>
    </row>
    <row r="249" spans="1:9" ht="15.75" thickBot="1" x14ac:dyDescent="0.3">
      <c r="A249" s="1">
        <v>44197</v>
      </c>
      <c r="B249" t="s">
        <v>6</v>
      </c>
      <c r="C249" t="s">
        <v>7</v>
      </c>
      <c r="D249" t="s">
        <v>112</v>
      </c>
      <c r="E249" t="s">
        <v>24</v>
      </c>
      <c r="F249">
        <v>9701.7800000000007</v>
      </c>
      <c r="G249" s="3">
        <v>427</v>
      </c>
      <c r="H249">
        <f t="shared" si="3"/>
        <v>427</v>
      </c>
      <c r="I249">
        <v>2</v>
      </c>
    </row>
    <row r="250" spans="1:9" ht="15.75" thickBot="1" x14ac:dyDescent="0.3">
      <c r="A250" s="1">
        <v>44197</v>
      </c>
      <c r="B250" t="s">
        <v>6</v>
      </c>
      <c r="C250" t="s">
        <v>7</v>
      </c>
      <c r="D250" t="s">
        <v>112</v>
      </c>
      <c r="E250" t="s">
        <v>12</v>
      </c>
      <c r="F250">
        <v>23717.32</v>
      </c>
      <c r="G250" s="6">
        <v>3276734.6090000002</v>
      </c>
      <c r="H250">
        <f t="shared" si="3"/>
        <v>3276.7346090000001</v>
      </c>
      <c r="I250">
        <v>357</v>
      </c>
    </row>
    <row r="251" spans="1:9" ht="15.75" thickBot="1" x14ac:dyDescent="0.3">
      <c r="A251" s="1">
        <v>44197</v>
      </c>
      <c r="B251" t="s">
        <v>6</v>
      </c>
      <c r="C251" t="s">
        <v>7</v>
      </c>
      <c r="D251" t="s">
        <v>112</v>
      </c>
      <c r="E251" t="s">
        <v>9</v>
      </c>
      <c r="F251">
        <v>70581.94</v>
      </c>
      <c r="G251" s="6">
        <v>3033019.0789999999</v>
      </c>
      <c r="H251">
        <f t="shared" si="3"/>
        <v>3033019.0789999999</v>
      </c>
      <c r="I251">
        <v>355</v>
      </c>
    </row>
    <row r="252" spans="1:9" ht="15.75" thickBot="1" x14ac:dyDescent="0.3">
      <c r="A252" s="1">
        <v>44197</v>
      </c>
      <c r="B252" t="s">
        <v>6</v>
      </c>
      <c r="C252" t="s">
        <v>7</v>
      </c>
      <c r="D252" t="s">
        <v>112</v>
      </c>
      <c r="E252" t="s">
        <v>17</v>
      </c>
      <c r="F252">
        <v>0</v>
      </c>
      <c r="G252" s="5">
        <v>12000</v>
      </c>
      <c r="H252">
        <f t="shared" si="3"/>
        <v>12000</v>
      </c>
      <c r="I252">
        <v>1</v>
      </c>
    </row>
    <row r="253" spans="1:9" ht="15.75" thickBot="1" x14ac:dyDescent="0.3">
      <c r="A253" s="1">
        <v>44197</v>
      </c>
      <c r="B253" t="s">
        <v>6</v>
      </c>
      <c r="C253" t="s">
        <v>7</v>
      </c>
      <c r="D253" t="s">
        <v>113</v>
      </c>
      <c r="E253" t="s">
        <v>9</v>
      </c>
      <c r="F253">
        <v>675.29</v>
      </c>
      <c r="G253" s="5">
        <v>23000</v>
      </c>
      <c r="H253">
        <f t="shared" si="3"/>
        <v>23000</v>
      </c>
      <c r="I253">
        <v>2</v>
      </c>
    </row>
    <row r="254" spans="1:9" ht="15.75" thickBot="1" x14ac:dyDescent="0.3">
      <c r="A254" s="1">
        <v>44197</v>
      </c>
      <c r="B254" t="s">
        <v>6</v>
      </c>
      <c r="C254" t="s">
        <v>7</v>
      </c>
      <c r="D254" t="s">
        <v>114</v>
      </c>
      <c r="E254" t="s">
        <v>9</v>
      </c>
      <c r="F254">
        <v>326.27999999999997</v>
      </c>
      <c r="G254" s="4">
        <v>0</v>
      </c>
      <c r="H254">
        <f t="shared" si="3"/>
        <v>0</v>
      </c>
      <c r="I254">
        <v>4</v>
      </c>
    </row>
    <row r="255" spans="1:9" ht="15.75" thickBot="1" x14ac:dyDescent="0.3">
      <c r="A255" s="1">
        <v>44197</v>
      </c>
      <c r="B255" t="s">
        <v>6</v>
      </c>
      <c r="C255" t="s">
        <v>7</v>
      </c>
      <c r="D255" t="s">
        <v>115</v>
      </c>
      <c r="E255" t="s">
        <v>9</v>
      </c>
      <c r="F255">
        <v>81.569999999999993</v>
      </c>
      <c r="G255" s="4">
        <v>0</v>
      </c>
      <c r="H255">
        <f t="shared" si="3"/>
        <v>0</v>
      </c>
      <c r="I255">
        <v>1</v>
      </c>
    </row>
    <row r="256" spans="1:9" ht="15.75" thickBot="1" x14ac:dyDescent="0.3">
      <c r="A256" s="1">
        <v>44197</v>
      </c>
      <c r="B256" t="s">
        <v>6</v>
      </c>
      <c r="C256" t="s">
        <v>7</v>
      </c>
      <c r="D256" t="s">
        <v>116</v>
      </c>
      <c r="E256" t="s">
        <v>12</v>
      </c>
      <c r="F256">
        <v>12273.52</v>
      </c>
      <c r="G256" s="5">
        <v>450000</v>
      </c>
      <c r="H256">
        <f t="shared" si="3"/>
        <v>450</v>
      </c>
      <c r="I256">
        <v>6</v>
      </c>
    </row>
    <row r="257" spans="1:9" ht="15.75" thickBot="1" x14ac:dyDescent="0.3">
      <c r="A257" s="1">
        <v>44197</v>
      </c>
      <c r="B257" t="s">
        <v>6</v>
      </c>
      <c r="C257" t="s">
        <v>7</v>
      </c>
      <c r="D257" t="s">
        <v>116</v>
      </c>
      <c r="E257" t="s">
        <v>9</v>
      </c>
      <c r="F257">
        <v>7250.2</v>
      </c>
      <c r="G257" s="6">
        <v>56757.317000000003</v>
      </c>
      <c r="H257">
        <f t="shared" si="3"/>
        <v>56757.317000000003</v>
      </c>
      <c r="I257">
        <v>1</v>
      </c>
    </row>
    <row r="258" spans="1:9" ht="15.75" thickBot="1" x14ac:dyDescent="0.3">
      <c r="A258" s="1">
        <v>44197</v>
      </c>
      <c r="B258" t="s">
        <v>6</v>
      </c>
      <c r="C258" t="s">
        <v>7</v>
      </c>
      <c r="D258" t="s">
        <v>117</v>
      </c>
      <c r="E258" t="s">
        <v>14</v>
      </c>
      <c r="F258">
        <v>3601.04</v>
      </c>
      <c r="G258" s="3">
        <v>118</v>
      </c>
      <c r="H258">
        <f t="shared" si="3"/>
        <v>118</v>
      </c>
      <c r="I258">
        <v>2</v>
      </c>
    </row>
    <row r="259" spans="1:9" ht="15.75" thickBot="1" x14ac:dyDescent="0.3">
      <c r="A259" s="1">
        <v>44197</v>
      </c>
      <c r="B259" t="s">
        <v>6</v>
      </c>
      <c r="C259" t="s">
        <v>7</v>
      </c>
      <c r="D259" t="s">
        <v>117</v>
      </c>
      <c r="E259" t="s">
        <v>12</v>
      </c>
      <c r="F259">
        <v>0</v>
      </c>
      <c r="G259" s="5">
        <v>22000</v>
      </c>
      <c r="H259">
        <f t="shared" ref="H259:H322" si="4">IF(ISNUMBER(SEARCH("Domestic customer", E259)),G259/1000,G259)</f>
        <v>22</v>
      </c>
      <c r="I259">
        <v>1</v>
      </c>
    </row>
    <row r="260" spans="1:9" ht="15.75" thickBot="1" x14ac:dyDescent="0.3">
      <c r="A260" s="1">
        <v>44197</v>
      </c>
      <c r="B260" t="s">
        <v>6</v>
      </c>
      <c r="C260" t="s">
        <v>7</v>
      </c>
      <c r="D260" t="s">
        <v>117</v>
      </c>
      <c r="E260" t="s">
        <v>9</v>
      </c>
      <c r="F260">
        <v>646.01</v>
      </c>
      <c r="G260" s="3">
        <v>17</v>
      </c>
      <c r="H260">
        <f t="shared" si="4"/>
        <v>17</v>
      </c>
      <c r="I260">
        <v>2</v>
      </c>
    </row>
    <row r="261" spans="1:9" ht="15.75" thickBot="1" x14ac:dyDescent="0.3">
      <c r="A261" s="1">
        <v>44197</v>
      </c>
      <c r="B261" t="s">
        <v>6</v>
      </c>
      <c r="C261" t="s">
        <v>7</v>
      </c>
      <c r="D261" t="s">
        <v>118</v>
      </c>
      <c r="E261" t="s">
        <v>14</v>
      </c>
      <c r="F261">
        <v>265.27999999999997</v>
      </c>
      <c r="G261" s="3">
        <v>4</v>
      </c>
      <c r="H261">
        <f t="shared" si="4"/>
        <v>4</v>
      </c>
      <c r="I261">
        <v>1</v>
      </c>
    </row>
    <row r="262" spans="1:9" ht="15.75" thickBot="1" x14ac:dyDescent="0.3">
      <c r="A262" s="1">
        <v>44197</v>
      </c>
      <c r="B262" t="s">
        <v>6</v>
      </c>
      <c r="C262" t="s">
        <v>7</v>
      </c>
      <c r="D262" t="s">
        <v>118</v>
      </c>
      <c r="E262" t="s">
        <v>12</v>
      </c>
      <c r="F262">
        <v>1743</v>
      </c>
      <c r="G262" s="5">
        <v>64900</v>
      </c>
      <c r="H262">
        <f t="shared" si="4"/>
        <v>64.900000000000006</v>
      </c>
      <c r="I262">
        <v>6</v>
      </c>
    </row>
    <row r="263" spans="1:9" ht="15.75" thickBot="1" x14ac:dyDescent="0.3">
      <c r="A263" s="1">
        <v>44197</v>
      </c>
      <c r="B263" t="s">
        <v>6</v>
      </c>
      <c r="C263" t="s">
        <v>7</v>
      </c>
      <c r="D263" t="s">
        <v>119</v>
      </c>
      <c r="E263" t="s">
        <v>12</v>
      </c>
      <c r="F263">
        <v>969.17</v>
      </c>
      <c r="G263" s="5">
        <v>38000</v>
      </c>
      <c r="H263">
        <f t="shared" si="4"/>
        <v>38</v>
      </c>
      <c r="I263">
        <v>3</v>
      </c>
    </row>
    <row r="264" spans="1:9" ht="15.75" thickBot="1" x14ac:dyDescent="0.3">
      <c r="A264" s="1">
        <v>44197</v>
      </c>
      <c r="B264" t="s">
        <v>6</v>
      </c>
      <c r="C264" t="s">
        <v>7</v>
      </c>
      <c r="D264" t="s">
        <v>120</v>
      </c>
      <c r="E264" t="s">
        <v>24</v>
      </c>
      <c r="F264">
        <v>1680.77</v>
      </c>
      <c r="G264" s="3">
        <v>3</v>
      </c>
      <c r="H264">
        <f t="shared" si="4"/>
        <v>3</v>
      </c>
      <c r="I264">
        <v>1</v>
      </c>
    </row>
    <row r="265" spans="1:9" ht="15.75" thickBot="1" x14ac:dyDescent="0.3">
      <c r="A265" s="1">
        <v>44197</v>
      </c>
      <c r="B265" t="s">
        <v>6</v>
      </c>
      <c r="C265" t="s">
        <v>7</v>
      </c>
      <c r="D265" t="s">
        <v>121</v>
      </c>
      <c r="E265" t="s">
        <v>12</v>
      </c>
      <c r="F265">
        <v>159504.45000000001</v>
      </c>
      <c r="G265" s="5">
        <v>9389000</v>
      </c>
      <c r="H265">
        <f t="shared" si="4"/>
        <v>9389</v>
      </c>
      <c r="I265">
        <v>1</v>
      </c>
    </row>
    <row r="266" spans="1:9" ht="15.75" thickBot="1" x14ac:dyDescent="0.3">
      <c r="A266" s="1">
        <v>44197</v>
      </c>
      <c r="B266" t="s">
        <v>6</v>
      </c>
      <c r="C266" t="s">
        <v>7</v>
      </c>
      <c r="D266" t="s">
        <v>122</v>
      </c>
      <c r="E266" t="s">
        <v>12</v>
      </c>
      <c r="F266">
        <v>5824.01</v>
      </c>
      <c r="G266" s="5">
        <v>251000</v>
      </c>
      <c r="H266">
        <f t="shared" si="4"/>
        <v>251</v>
      </c>
      <c r="I266">
        <v>3</v>
      </c>
    </row>
    <row r="267" spans="1:9" ht="15.75" thickBot="1" x14ac:dyDescent="0.3">
      <c r="A267" s="1">
        <v>44197</v>
      </c>
      <c r="B267" t="s">
        <v>6</v>
      </c>
      <c r="C267" t="s">
        <v>7</v>
      </c>
      <c r="D267" t="s">
        <v>123</v>
      </c>
      <c r="E267" t="s">
        <v>24</v>
      </c>
      <c r="F267">
        <v>138637.42000000001</v>
      </c>
      <c r="G267" s="5">
        <v>2861000</v>
      </c>
      <c r="H267">
        <f t="shared" si="4"/>
        <v>2861000</v>
      </c>
      <c r="I267">
        <v>1</v>
      </c>
    </row>
    <row r="268" spans="1:9" ht="15.75" thickBot="1" x14ac:dyDescent="0.3">
      <c r="A268" s="1">
        <v>44197</v>
      </c>
      <c r="B268" t="s">
        <v>6</v>
      </c>
      <c r="C268" t="s">
        <v>7</v>
      </c>
      <c r="D268" t="s">
        <v>124</v>
      </c>
      <c r="E268" t="s">
        <v>14</v>
      </c>
      <c r="F268">
        <v>78300</v>
      </c>
      <c r="G268" s="3">
        <v>2500</v>
      </c>
      <c r="H268">
        <f t="shared" si="4"/>
        <v>2500</v>
      </c>
      <c r="I268">
        <v>1</v>
      </c>
    </row>
    <row r="269" spans="1:9" ht="15.75" thickBot="1" x14ac:dyDescent="0.3">
      <c r="A269" s="1">
        <v>44197</v>
      </c>
      <c r="B269" t="s">
        <v>6</v>
      </c>
      <c r="C269" t="s">
        <v>7</v>
      </c>
      <c r="D269" t="s">
        <v>124</v>
      </c>
      <c r="E269" t="s">
        <v>12</v>
      </c>
      <c r="F269">
        <v>3692.09</v>
      </c>
      <c r="G269" s="6">
        <v>906897.6</v>
      </c>
      <c r="H269">
        <f t="shared" si="4"/>
        <v>906.89760000000001</v>
      </c>
      <c r="I269">
        <v>114</v>
      </c>
    </row>
    <row r="270" spans="1:9" ht="15.75" thickBot="1" x14ac:dyDescent="0.3">
      <c r="A270" s="1">
        <v>44197</v>
      </c>
      <c r="B270" t="s">
        <v>6</v>
      </c>
      <c r="C270" t="s">
        <v>7</v>
      </c>
      <c r="D270" t="s">
        <v>124</v>
      </c>
      <c r="E270" t="s">
        <v>9</v>
      </c>
      <c r="F270">
        <v>1876.11</v>
      </c>
      <c r="G270" s="5">
        <v>33000</v>
      </c>
      <c r="H270">
        <f t="shared" si="4"/>
        <v>33000</v>
      </c>
      <c r="I270">
        <v>23</v>
      </c>
    </row>
    <row r="271" spans="1:9" ht="15.75" thickBot="1" x14ac:dyDescent="0.3">
      <c r="A271" s="1">
        <v>44197</v>
      </c>
      <c r="B271" t="s">
        <v>6</v>
      </c>
      <c r="C271" t="s">
        <v>7</v>
      </c>
      <c r="D271" t="s">
        <v>125</v>
      </c>
      <c r="E271" t="s">
        <v>12</v>
      </c>
      <c r="F271">
        <v>57835.91</v>
      </c>
      <c r="G271" s="5">
        <v>12628408.271</v>
      </c>
      <c r="H271">
        <f t="shared" si="4"/>
        <v>12628.408271</v>
      </c>
      <c r="I271">
        <v>1049</v>
      </c>
    </row>
    <row r="272" spans="1:9" ht="15.75" thickBot="1" x14ac:dyDescent="0.3">
      <c r="A272" s="1">
        <v>44197</v>
      </c>
      <c r="B272" t="s">
        <v>6</v>
      </c>
      <c r="C272" t="s">
        <v>7</v>
      </c>
      <c r="D272" t="s">
        <v>125</v>
      </c>
      <c r="E272" t="s">
        <v>9</v>
      </c>
      <c r="F272">
        <v>489.42</v>
      </c>
      <c r="G272" s="4">
        <v>0</v>
      </c>
      <c r="H272">
        <f t="shared" si="4"/>
        <v>0</v>
      </c>
      <c r="I272">
        <v>6</v>
      </c>
    </row>
    <row r="273" spans="1:9" ht="15.75" thickBot="1" x14ac:dyDescent="0.3">
      <c r="A273" s="1">
        <v>44197</v>
      </c>
      <c r="B273" t="s">
        <v>6</v>
      </c>
      <c r="C273" t="s">
        <v>7</v>
      </c>
      <c r="D273" t="s">
        <v>126</v>
      </c>
      <c r="E273" t="s">
        <v>12</v>
      </c>
      <c r="F273">
        <v>29136.42</v>
      </c>
      <c r="G273" s="6">
        <v>3930493.3080000002</v>
      </c>
      <c r="H273">
        <f t="shared" si="4"/>
        <v>3930.4933080000001</v>
      </c>
      <c r="I273">
        <v>491</v>
      </c>
    </row>
    <row r="274" spans="1:9" ht="15.75" thickBot="1" x14ac:dyDescent="0.3">
      <c r="A274" s="1">
        <v>44197</v>
      </c>
      <c r="B274" t="s">
        <v>6</v>
      </c>
      <c r="C274" t="s">
        <v>7</v>
      </c>
      <c r="D274" t="s">
        <v>126</v>
      </c>
      <c r="E274" t="s">
        <v>9</v>
      </c>
      <c r="F274">
        <v>9379.86</v>
      </c>
      <c r="G274" s="6">
        <v>12285.079</v>
      </c>
      <c r="H274">
        <f t="shared" si="4"/>
        <v>12285.079</v>
      </c>
      <c r="I274">
        <v>24</v>
      </c>
    </row>
    <row r="275" spans="1:9" ht="15.75" thickBot="1" x14ac:dyDescent="0.3">
      <c r="A275" s="1">
        <v>44197</v>
      </c>
      <c r="B275" t="s">
        <v>6</v>
      </c>
      <c r="C275" t="s">
        <v>7</v>
      </c>
      <c r="D275" t="s">
        <v>126</v>
      </c>
      <c r="E275" t="s">
        <v>17</v>
      </c>
      <c r="F275">
        <v>56</v>
      </c>
      <c r="G275" s="3">
        <v>0</v>
      </c>
      <c r="H275">
        <f t="shared" si="4"/>
        <v>0</v>
      </c>
      <c r="I275">
        <v>1</v>
      </c>
    </row>
    <row r="276" spans="1:9" ht="15.75" thickBot="1" x14ac:dyDescent="0.3">
      <c r="A276" s="1">
        <v>44197</v>
      </c>
      <c r="B276" t="s">
        <v>6</v>
      </c>
      <c r="C276" t="s">
        <v>7</v>
      </c>
      <c r="D276" t="s">
        <v>127</v>
      </c>
      <c r="E276" t="s">
        <v>12</v>
      </c>
      <c r="F276">
        <v>7070.91</v>
      </c>
      <c r="G276" s="5">
        <v>10568389.505000001</v>
      </c>
      <c r="H276">
        <f t="shared" si="4"/>
        <v>10568.389505000001</v>
      </c>
      <c r="I276">
        <v>718</v>
      </c>
    </row>
    <row r="277" spans="1:9" ht="15.75" thickBot="1" x14ac:dyDescent="0.3">
      <c r="A277" s="1">
        <v>44197</v>
      </c>
      <c r="B277" t="s">
        <v>6</v>
      </c>
      <c r="C277" t="s">
        <v>7</v>
      </c>
      <c r="D277" t="s">
        <v>127</v>
      </c>
      <c r="E277" t="s">
        <v>9</v>
      </c>
      <c r="F277">
        <v>489.42</v>
      </c>
      <c r="G277" s="4">
        <v>0</v>
      </c>
      <c r="H277">
        <f t="shared" si="4"/>
        <v>0</v>
      </c>
      <c r="I277">
        <v>6</v>
      </c>
    </row>
    <row r="278" spans="1:9" ht="15.75" thickBot="1" x14ac:dyDescent="0.3">
      <c r="A278" s="1">
        <v>44197</v>
      </c>
      <c r="B278" t="s">
        <v>6</v>
      </c>
      <c r="C278" t="s">
        <v>7</v>
      </c>
      <c r="D278" t="s">
        <v>127</v>
      </c>
      <c r="E278" t="s">
        <v>17</v>
      </c>
      <c r="F278">
        <v>545.62</v>
      </c>
      <c r="G278" s="5">
        <v>22259.677</v>
      </c>
      <c r="H278">
        <f t="shared" si="4"/>
        <v>22259.677</v>
      </c>
      <c r="I278">
        <v>2</v>
      </c>
    </row>
    <row r="279" spans="1:9" ht="15.75" thickBot="1" x14ac:dyDescent="0.3">
      <c r="A279" s="1">
        <v>44197</v>
      </c>
      <c r="B279" t="s">
        <v>6</v>
      </c>
      <c r="C279" t="s">
        <v>7</v>
      </c>
      <c r="D279" t="s">
        <v>128</v>
      </c>
      <c r="E279" t="s">
        <v>12</v>
      </c>
      <c r="F279">
        <v>1598.6</v>
      </c>
      <c r="G279" s="5">
        <v>1146978.933</v>
      </c>
      <c r="H279">
        <f t="shared" si="4"/>
        <v>1146.9789329999999</v>
      </c>
      <c r="I279">
        <v>126</v>
      </c>
    </row>
    <row r="280" spans="1:9" ht="15.75" thickBot="1" x14ac:dyDescent="0.3">
      <c r="A280" s="1">
        <v>44197</v>
      </c>
      <c r="B280" t="s">
        <v>6</v>
      </c>
      <c r="C280" t="s">
        <v>7</v>
      </c>
      <c r="D280" t="s">
        <v>128</v>
      </c>
      <c r="E280" t="s">
        <v>9</v>
      </c>
      <c r="F280">
        <v>6117.75</v>
      </c>
      <c r="G280" s="5">
        <v>13230</v>
      </c>
      <c r="H280">
        <f t="shared" si="4"/>
        <v>13230</v>
      </c>
      <c r="I280">
        <v>76</v>
      </c>
    </row>
    <row r="281" spans="1:9" ht="15.75" thickBot="1" x14ac:dyDescent="0.3">
      <c r="A281" s="1">
        <v>44197</v>
      </c>
      <c r="B281" t="s">
        <v>6</v>
      </c>
      <c r="C281" t="s">
        <v>7</v>
      </c>
      <c r="D281" t="s">
        <v>129</v>
      </c>
      <c r="E281" t="s">
        <v>12</v>
      </c>
      <c r="F281">
        <v>1178.43</v>
      </c>
      <c r="G281" s="5">
        <v>450284.06699999998</v>
      </c>
      <c r="H281">
        <f t="shared" si="4"/>
        <v>450.28406699999999</v>
      </c>
      <c r="I281">
        <v>19</v>
      </c>
    </row>
    <row r="282" spans="1:9" ht="15.75" thickBot="1" x14ac:dyDescent="0.3">
      <c r="A282" s="1">
        <v>44197</v>
      </c>
      <c r="B282" t="s">
        <v>6</v>
      </c>
      <c r="C282" t="s">
        <v>7</v>
      </c>
      <c r="D282" t="s">
        <v>130</v>
      </c>
      <c r="E282" t="s">
        <v>9</v>
      </c>
      <c r="F282">
        <v>1060.4100000000001</v>
      </c>
      <c r="G282" s="4">
        <v>0</v>
      </c>
      <c r="H282">
        <f t="shared" si="4"/>
        <v>0</v>
      </c>
      <c r="I282">
        <v>13</v>
      </c>
    </row>
    <row r="283" spans="1:9" ht="15.75" thickBot="1" x14ac:dyDescent="0.3">
      <c r="A283" s="1">
        <v>44197</v>
      </c>
      <c r="B283" t="s">
        <v>6</v>
      </c>
      <c r="C283" t="s">
        <v>7</v>
      </c>
      <c r="D283" t="s">
        <v>131</v>
      </c>
      <c r="E283" t="s">
        <v>12</v>
      </c>
      <c r="F283">
        <v>438.51</v>
      </c>
      <c r="G283" s="5">
        <v>32130</v>
      </c>
      <c r="H283">
        <f t="shared" si="4"/>
        <v>32.130000000000003</v>
      </c>
      <c r="I283">
        <v>2</v>
      </c>
    </row>
    <row r="284" spans="1:9" ht="15.75" thickBot="1" x14ac:dyDescent="0.3">
      <c r="A284" s="1">
        <v>44197</v>
      </c>
      <c r="B284" t="s">
        <v>6</v>
      </c>
      <c r="C284" t="s">
        <v>7</v>
      </c>
      <c r="D284" t="s">
        <v>131</v>
      </c>
      <c r="E284" t="s">
        <v>9</v>
      </c>
      <c r="F284">
        <v>407.85</v>
      </c>
      <c r="G284" s="4">
        <v>0</v>
      </c>
      <c r="H284">
        <f t="shared" si="4"/>
        <v>0</v>
      </c>
      <c r="I284">
        <v>5</v>
      </c>
    </row>
    <row r="285" spans="1:9" ht="15.75" thickBot="1" x14ac:dyDescent="0.3">
      <c r="A285" s="1">
        <v>44197</v>
      </c>
      <c r="B285" t="s">
        <v>6</v>
      </c>
      <c r="C285" t="s">
        <v>7</v>
      </c>
      <c r="D285" t="s">
        <v>132</v>
      </c>
      <c r="E285" t="s">
        <v>12</v>
      </c>
      <c r="F285">
        <v>500.31</v>
      </c>
      <c r="G285" s="5">
        <v>130981.829</v>
      </c>
      <c r="H285">
        <f t="shared" si="4"/>
        <v>130.981829</v>
      </c>
      <c r="I285">
        <v>13</v>
      </c>
    </row>
    <row r="286" spans="1:9" ht="15.75" thickBot="1" x14ac:dyDescent="0.3">
      <c r="A286" s="1">
        <v>44197</v>
      </c>
      <c r="B286" t="s">
        <v>6</v>
      </c>
      <c r="C286" t="s">
        <v>7</v>
      </c>
      <c r="D286" t="s">
        <v>132</v>
      </c>
      <c r="E286" t="s">
        <v>9</v>
      </c>
      <c r="F286">
        <v>734.13</v>
      </c>
      <c r="G286" s="4">
        <v>0</v>
      </c>
      <c r="H286">
        <f t="shared" si="4"/>
        <v>0</v>
      </c>
      <c r="I286">
        <v>9</v>
      </c>
    </row>
    <row r="287" spans="1:9" ht="15.75" thickBot="1" x14ac:dyDescent="0.3">
      <c r="A287" s="1">
        <v>44197</v>
      </c>
      <c r="B287" t="s">
        <v>6</v>
      </c>
      <c r="C287" t="s">
        <v>7</v>
      </c>
      <c r="D287" t="s">
        <v>133</v>
      </c>
      <c r="E287" t="s">
        <v>14</v>
      </c>
      <c r="F287">
        <v>594.76</v>
      </c>
      <c r="G287" s="3">
        <v>7</v>
      </c>
      <c r="H287">
        <f t="shared" si="4"/>
        <v>7</v>
      </c>
      <c r="I287">
        <v>1</v>
      </c>
    </row>
    <row r="288" spans="1:9" ht="15.75" thickBot="1" x14ac:dyDescent="0.3">
      <c r="A288" s="1">
        <v>44197</v>
      </c>
      <c r="B288" t="s">
        <v>6</v>
      </c>
      <c r="C288" t="s">
        <v>7</v>
      </c>
      <c r="D288" t="s">
        <v>133</v>
      </c>
      <c r="E288" t="s">
        <v>12</v>
      </c>
      <c r="F288">
        <v>22140.52</v>
      </c>
      <c r="G288" s="5">
        <v>782728.44299999997</v>
      </c>
      <c r="H288">
        <f t="shared" si="4"/>
        <v>782.72844299999997</v>
      </c>
      <c r="I288">
        <v>5</v>
      </c>
    </row>
    <row r="289" spans="1:9" ht="15.75" thickBot="1" x14ac:dyDescent="0.3">
      <c r="A289" s="1">
        <v>44197</v>
      </c>
      <c r="B289" t="s">
        <v>6</v>
      </c>
      <c r="C289" t="s">
        <v>7</v>
      </c>
      <c r="D289" t="s">
        <v>133</v>
      </c>
      <c r="E289" t="s">
        <v>9</v>
      </c>
      <c r="F289">
        <v>2346.2800000000002</v>
      </c>
      <c r="G289" s="5">
        <v>31825.353999999999</v>
      </c>
      <c r="H289">
        <f t="shared" si="4"/>
        <v>31825.353999999999</v>
      </c>
      <c r="I289">
        <v>14</v>
      </c>
    </row>
    <row r="290" spans="1:9" ht="15.75" thickBot="1" x14ac:dyDescent="0.3">
      <c r="A290" s="1">
        <v>44197</v>
      </c>
      <c r="B290" t="s">
        <v>6</v>
      </c>
      <c r="C290" t="s">
        <v>7</v>
      </c>
      <c r="D290" t="s">
        <v>134</v>
      </c>
      <c r="E290" t="s">
        <v>14</v>
      </c>
      <c r="F290">
        <v>5302.08</v>
      </c>
      <c r="G290" s="3">
        <v>44</v>
      </c>
      <c r="H290">
        <f t="shared" si="4"/>
        <v>44</v>
      </c>
      <c r="I290">
        <v>2</v>
      </c>
    </row>
    <row r="291" spans="1:9" ht="15.75" thickBot="1" x14ac:dyDescent="0.3">
      <c r="A291" s="1">
        <v>44197</v>
      </c>
      <c r="B291" t="s">
        <v>6</v>
      </c>
      <c r="C291" t="s">
        <v>7</v>
      </c>
      <c r="D291" t="s">
        <v>134</v>
      </c>
      <c r="E291" t="s">
        <v>12</v>
      </c>
      <c r="F291">
        <v>50080.52</v>
      </c>
      <c r="G291" s="5">
        <v>1932000</v>
      </c>
      <c r="H291">
        <f t="shared" si="4"/>
        <v>1932</v>
      </c>
      <c r="I291">
        <v>2</v>
      </c>
    </row>
    <row r="292" spans="1:9" ht="15.75" thickBot="1" x14ac:dyDescent="0.3">
      <c r="A292" s="1">
        <v>44197</v>
      </c>
      <c r="B292" t="s">
        <v>6</v>
      </c>
      <c r="C292" t="s">
        <v>7</v>
      </c>
      <c r="D292" t="s">
        <v>134</v>
      </c>
      <c r="E292" t="s">
        <v>9</v>
      </c>
      <c r="F292">
        <v>144195.88</v>
      </c>
      <c r="G292" s="5">
        <v>2609000</v>
      </c>
      <c r="H292">
        <f t="shared" si="4"/>
        <v>2609000</v>
      </c>
      <c r="I292">
        <v>17</v>
      </c>
    </row>
    <row r="293" spans="1:9" ht="15.75" thickBot="1" x14ac:dyDescent="0.3">
      <c r="A293" s="1">
        <v>44197</v>
      </c>
      <c r="B293" t="s">
        <v>6</v>
      </c>
      <c r="C293" t="s">
        <v>7</v>
      </c>
      <c r="D293" t="s">
        <v>135</v>
      </c>
      <c r="E293" t="s">
        <v>12</v>
      </c>
      <c r="F293">
        <v>473.24</v>
      </c>
      <c r="G293" s="5">
        <v>19000</v>
      </c>
      <c r="H293">
        <f t="shared" si="4"/>
        <v>19</v>
      </c>
      <c r="I293">
        <v>1</v>
      </c>
    </row>
    <row r="294" spans="1:9" ht="15.75" thickBot="1" x14ac:dyDescent="0.3">
      <c r="A294" s="1">
        <v>44197</v>
      </c>
      <c r="B294" t="s">
        <v>6</v>
      </c>
      <c r="C294" t="s">
        <v>7</v>
      </c>
      <c r="D294" t="s">
        <v>136</v>
      </c>
      <c r="E294" t="s">
        <v>24</v>
      </c>
      <c r="F294">
        <v>400</v>
      </c>
      <c r="G294" s="3">
        <v>0</v>
      </c>
      <c r="H294">
        <f t="shared" si="4"/>
        <v>0</v>
      </c>
      <c r="I294">
        <v>1</v>
      </c>
    </row>
    <row r="295" spans="1:9" ht="15.75" thickBot="1" x14ac:dyDescent="0.3">
      <c r="A295" s="1">
        <v>44197</v>
      </c>
      <c r="B295" t="s">
        <v>6</v>
      </c>
      <c r="C295" t="s">
        <v>7</v>
      </c>
      <c r="D295" t="s">
        <v>136</v>
      </c>
      <c r="E295" t="s">
        <v>12</v>
      </c>
      <c r="F295">
        <v>11418.68</v>
      </c>
      <c r="G295" s="5">
        <v>212000</v>
      </c>
      <c r="H295">
        <f t="shared" si="4"/>
        <v>212</v>
      </c>
      <c r="I295">
        <v>3</v>
      </c>
    </row>
    <row r="296" spans="1:9" ht="15.75" thickBot="1" x14ac:dyDescent="0.3">
      <c r="A296" s="1">
        <v>44197</v>
      </c>
      <c r="B296" t="s">
        <v>6</v>
      </c>
      <c r="C296" t="s">
        <v>7</v>
      </c>
      <c r="D296" t="s">
        <v>136</v>
      </c>
      <c r="E296" t="s">
        <v>9</v>
      </c>
      <c r="F296">
        <v>137.96</v>
      </c>
      <c r="G296" s="3">
        <v>3</v>
      </c>
      <c r="H296">
        <f t="shared" si="4"/>
        <v>3</v>
      </c>
      <c r="I296">
        <v>1</v>
      </c>
    </row>
    <row r="297" spans="1:9" ht="15.75" thickBot="1" x14ac:dyDescent="0.3">
      <c r="A297" s="1">
        <v>44197</v>
      </c>
      <c r="B297" t="s">
        <v>6</v>
      </c>
      <c r="C297" t="s">
        <v>7</v>
      </c>
      <c r="D297" t="s">
        <v>137</v>
      </c>
      <c r="E297" t="s">
        <v>12</v>
      </c>
      <c r="F297">
        <v>426.88</v>
      </c>
      <c r="G297" s="5">
        <v>16000</v>
      </c>
      <c r="H297">
        <f t="shared" si="4"/>
        <v>16</v>
      </c>
      <c r="I297">
        <v>1</v>
      </c>
    </row>
    <row r="298" spans="1:9" ht="15.75" thickBot="1" x14ac:dyDescent="0.3">
      <c r="A298" s="1">
        <v>44197</v>
      </c>
      <c r="B298" t="s">
        <v>6</v>
      </c>
      <c r="C298" t="s">
        <v>7</v>
      </c>
      <c r="D298" t="s">
        <v>138</v>
      </c>
      <c r="E298" t="s">
        <v>14</v>
      </c>
      <c r="F298">
        <v>967.42</v>
      </c>
      <c r="G298" s="3">
        <v>31</v>
      </c>
      <c r="H298">
        <f t="shared" si="4"/>
        <v>31</v>
      </c>
      <c r="I298">
        <v>1</v>
      </c>
    </row>
    <row r="299" spans="1:9" ht="15.75" thickBot="1" x14ac:dyDescent="0.3">
      <c r="A299" s="1">
        <v>44197</v>
      </c>
      <c r="B299" t="s">
        <v>6</v>
      </c>
      <c r="C299" t="s">
        <v>7</v>
      </c>
      <c r="D299" t="s">
        <v>138</v>
      </c>
      <c r="E299" t="s">
        <v>12</v>
      </c>
      <c r="F299">
        <v>25545.3</v>
      </c>
      <c r="G299" s="5">
        <v>1022401.75</v>
      </c>
      <c r="H299">
        <f t="shared" si="4"/>
        <v>1022.40175</v>
      </c>
      <c r="I299">
        <v>27</v>
      </c>
    </row>
    <row r="300" spans="1:9" ht="15.75" thickBot="1" x14ac:dyDescent="0.3">
      <c r="A300" s="1">
        <v>44197</v>
      </c>
      <c r="B300" t="s">
        <v>6</v>
      </c>
      <c r="C300" t="s">
        <v>7</v>
      </c>
      <c r="D300" t="s">
        <v>138</v>
      </c>
      <c r="E300" t="s">
        <v>9</v>
      </c>
      <c r="F300">
        <v>253.21</v>
      </c>
      <c r="G300" s="5">
        <v>4000</v>
      </c>
      <c r="H300">
        <f t="shared" si="4"/>
        <v>4000</v>
      </c>
      <c r="I300">
        <v>2</v>
      </c>
    </row>
    <row r="301" spans="1:9" ht="15.75" thickBot="1" x14ac:dyDescent="0.3">
      <c r="A301" s="1">
        <v>44197</v>
      </c>
      <c r="B301" t="s">
        <v>6</v>
      </c>
      <c r="C301" t="s">
        <v>7</v>
      </c>
      <c r="D301" t="s">
        <v>139</v>
      </c>
      <c r="E301" t="s">
        <v>12</v>
      </c>
      <c r="F301">
        <v>129.82</v>
      </c>
      <c r="G301" s="5">
        <v>2000</v>
      </c>
      <c r="H301">
        <f t="shared" si="4"/>
        <v>2</v>
      </c>
      <c r="I301">
        <v>1</v>
      </c>
    </row>
    <row r="302" spans="1:9" ht="15.75" thickBot="1" x14ac:dyDescent="0.3">
      <c r="A302" s="1">
        <v>44197</v>
      </c>
      <c r="B302" t="s">
        <v>6</v>
      </c>
      <c r="C302" t="s">
        <v>7</v>
      </c>
      <c r="D302" t="s">
        <v>140</v>
      </c>
      <c r="E302" t="s">
        <v>14</v>
      </c>
      <c r="F302">
        <v>24766.52</v>
      </c>
      <c r="G302" s="3">
        <v>686</v>
      </c>
      <c r="H302">
        <f t="shared" si="4"/>
        <v>686</v>
      </c>
      <c r="I302">
        <v>1</v>
      </c>
    </row>
    <row r="303" spans="1:9" ht="15.75" thickBot="1" x14ac:dyDescent="0.3">
      <c r="A303" s="1">
        <v>44197</v>
      </c>
      <c r="B303" t="s">
        <v>6</v>
      </c>
      <c r="C303" t="s">
        <v>7</v>
      </c>
      <c r="D303" t="s">
        <v>140</v>
      </c>
      <c r="E303" t="s">
        <v>9</v>
      </c>
      <c r="F303">
        <v>81.569999999999993</v>
      </c>
      <c r="G303" s="4">
        <v>0</v>
      </c>
      <c r="H303">
        <f t="shared" si="4"/>
        <v>0</v>
      </c>
      <c r="I303">
        <v>1</v>
      </c>
    </row>
    <row r="304" spans="1:9" ht="15.75" thickBot="1" x14ac:dyDescent="0.3">
      <c r="A304" s="1">
        <v>44197</v>
      </c>
      <c r="B304" t="s">
        <v>6</v>
      </c>
      <c r="C304" t="s">
        <v>7</v>
      </c>
      <c r="D304" t="s">
        <v>141</v>
      </c>
      <c r="E304" t="s">
        <v>24</v>
      </c>
      <c r="F304">
        <v>0</v>
      </c>
      <c r="G304" s="3">
        <v>389</v>
      </c>
      <c r="H304">
        <f t="shared" si="4"/>
        <v>389</v>
      </c>
      <c r="I304">
        <v>2</v>
      </c>
    </row>
    <row r="305" spans="1:9" ht="15.75" thickBot="1" x14ac:dyDescent="0.3">
      <c r="A305" s="1">
        <v>44197</v>
      </c>
      <c r="B305" t="s">
        <v>6</v>
      </c>
      <c r="C305" t="s">
        <v>7</v>
      </c>
      <c r="D305" t="s">
        <v>142</v>
      </c>
      <c r="E305" t="s">
        <v>24</v>
      </c>
      <c r="F305">
        <v>2483.64</v>
      </c>
      <c r="G305" s="3">
        <v>3296</v>
      </c>
      <c r="H305">
        <f t="shared" si="4"/>
        <v>3296</v>
      </c>
      <c r="I305">
        <v>3</v>
      </c>
    </row>
    <row r="306" spans="1:9" ht="15.75" thickBot="1" x14ac:dyDescent="0.3">
      <c r="A306" s="1">
        <v>44197</v>
      </c>
      <c r="B306" t="s">
        <v>6</v>
      </c>
      <c r="C306" t="s">
        <v>7</v>
      </c>
      <c r="D306" t="s">
        <v>142</v>
      </c>
      <c r="E306" t="s">
        <v>12</v>
      </c>
      <c r="F306">
        <v>803.77</v>
      </c>
      <c r="G306" s="6">
        <v>21927.234</v>
      </c>
      <c r="H306">
        <f t="shared" si="4"/>
        <v>21.927234000000002</v>
      </c>
      <c r="I306">
        <v>3</v>
      </c>
    </row>
    <row r="307" spans="1:9" ht="15.75" thickBot="1" x14ac:dyDescent="0.3">
      <c r="A307" s="1">
        <v>44197</v>
      </c>
      <c r="B307" t="s">
        <v>6</v>
      </c>
      <c r="C307" t="s">
        <v>7</v>
      </c>
      <c r="D307" t="s">
        <v>143</v>
      </c>
      <c r="E307" t="s">
        <v>14</v>
      </c>
      <c r="F307">
        <v>2471.7600000000002</v>
      </c>
      <c r="G307" s="3">
        <v>18</v>
      </c>
      <c r="H307">
        <f t="shared" si="4"/>
        <v>18</v>
      </c>
      <c r="I307">
        <v>5</v>
      </c>
    </row>
    <row r="308" spans="1:9" ht="15.75" thickBot="1" x14ac:dyDescent="0.3">
      <c r="A308" s="1">
        <v>44197</v>
      </c>
      <c r="B308" t="s">
        <v>6</v>
      </c>
      <c r="C308" t="s">
        <v>7</v>
      </c>
      <c r="D308" t="s">
        <v>143</v>
      </c>
      <c r="E308" t="s">
        <v>24</v>
      </c>
      <c r="F308">
        <v>3557.49</v>
      </c>
      <c r="G308" s="6">
        <v>67003.498999999996</v>
      </c>
      <c r="H308">
        <f t="shared" si="4"/>
        <v>67003.498999999996</v>
      </c>
      <c r="I308">
        <v>4</v>
      </c>
    </row>
    <row r="309" spans="1:9" ht="15.75" thickBot="1" x14ac:dyDescent="0.3">
      <c r="A309" s="1">
        <v>44197</v>
      </c>
      <c r="B309" t="s">
        <v>6</v>
      </c>
      <c r="C309" t="s">
        <v>7</v>
      </c>
      <c r="D309" t="s">
        <v>143</v>
      </c>
      <c r="E309" t="s">
        <v>12</v>
      </c>
      <c r="F309">
        <v>53411.66</v>
      </c>
      <c r="G309" s="6">
        <v>1883077.284</v>
      </c>
      <c r="H309">
        <f t="shared" si="4"/>
        <v>1883.077284</v>
      </c>
      <c r="I309">
        <v>26</v>
      </c>
    </row>
    <row r="310" spans="1:9" ht="15.75" thickBot="1" x14ac:dyDescent="0.3">
      <c r="A310" s="1">
        <v>44197</v>
      </c>
      <c r="B310" t="s">
        <v>6</v>
      </c>
      <c r="C310" t="s">
        <v>7</v>
      </c>
      <c r="D310" t="s">
        <v>143</v>
      </c>
      <c r="E310" t="s">
        <v>9</v>
      </c>
      <c r="F310">
        <v>6607.88</v>
      </c>
      <c r="G310" s="6">
        <v>158644.4</v>
      </c>
      <c r="H310">
        <f t="shared" si="4"/>
        <v>158644.4</v>
      </c>
      <c r="I310">
        <v>28</v>
      </c>
    </row>
    <row r="311" spans="1:9" ht="15.75" thickBot="1" x14ac:dyDescent="0.3">
      <c r="A311" s="1">
        <v>44197</v>
      </c>
      <c r="B311" t="s">
        <v>6</v>
      </c>
      <c r="C311" t="s">
        <v>7</v>
      </c>
      <c r="D311" t="s">
        <v>144</v>
      </c>
      <c r="E311" t="s">
        <v>12</v>
      </c>
      <c r="F311">
        <v>18789.45</v>
      </c>
      <c r="G311" s="5">
        <v>936000</v>
      </c>
      <c r="H311">
        <f t="shared" si="4"/>
        <v>936</v>
      </c>
      <c r="I311">
        <v>1</v>
      </c>
    </row>
    <row r="312" spans="1:9" ht="15.75" thickBot="1" x14ac:dyDescent="0.3">
      <c r="A312" s="1">
        <v>44197</v>
      </c>
      <c r="B312" t="s">
        <v>6</v>
      </c>
      <c r="C312" t="s">
        <v>7</v>
      </c>
      <c r="D312" t="s">
        <v>145</v>
      </c>
      <c r="E312" t="s">
        <v>12</v>
      </c>
      <c r="F312">
        <v>10339.280000000001</v>
      </c>
      <c r="G312" s="5">
        <v>439000</v>
      </c>
      <c r="H312">
        <f t="shared" si="4"/>
        <v>439</v>
      </c>
      <c r="I312">
        <v>1</v>
      </c>
    </row>
    <row r="313" spans="1:9" ht="15.75" thickBot="1" x14ac:dyDescent="0.3">
      <c r="A313" s="1">
        <v>44197</v>
      </c>
      <c r="B313" t="s">
        <v>6</v>
      </c>
      <c r="C313" t="s">
        <v>7</v>
      </c>
      <c r="D313" t="s">
        <v>146</v>
      </c>
      <c r="E313" t="s">
        <v>12</v>
      </c>
      <c r="F313">
        <v>8413.0499999999993</v>
      </c>
      <c r="G313" s="5">
        <v>2729985.6430000002</v>
      </c>
      <c r="H313">
        <f t="shared" si="4"/>
        <v>2729.985643</v>
      </c>
      <c r="I313">
        <v>327</v>
      </c>
    </row>
    <row r="314" spans="1:9" ht="15.75" thickBot="1" x14ac:dyDescent="0.3">
      <c r="A314" s="1">
        <v>44197</v>
      </c>
      <c r="B314" t="s">
        <v>6</v>
      </c>
      <c r="C314" t="s">
        <v>7</v>
      </c>
      <c r="D314" t="s">
        <v>146</v>
      </c>
      <c r="E314" t="s">
        <v>9</v>
      </c>
      <c r="F314">
        <v>4723.32</v>
      </c>
      <c r="G314" s="3">
        <v>128</v>
      </c>
      <c r="H314">
        <f t="shared" si="4"/>
        <v>128</v>
      </c>
      <c r="I314">
        <v>16</v>
      </c>
    </row>
    <row r="315" spans="1:9" ht="15.75" thickBot="1" x14ac:dyDescent="0.3">
      <c r="A315" s="1">
        <v>44197</v>
      </c>
      <c r="B315" t="s">
        <v>6</v>
      </c>
      <c r="C315" t="s">
        <v>7</v>
      </c>
      <c r="D315" t="s">
        <v>146</v>
      </c>
      <c r="E315" t="s">
        <v>17</v>
      </c>
      <c r="F315">
        <v>169.34</v>
      </c>
      <c r="G315" s="3">
        <v>4</v>
      </c>
      <c r="H315">
        <f t="shared" si="4"/>
        <v>4</v>
      </c>
      <c r="I315">
        <v>1</v>
      </c>
    </row>
    <row r="316" spans="1:9" ht="15.75" thickBot="1" x14ac:dyDescent="0.3">
      <c r="A316" s="1">
        <v>44197</v>
      </c>
      <c r="B316" t="s">
        <v>6</v>
      </c>
      <c r="C316" t="s">
        <v>7</v>
      </c>
      <c r="D316" t="s">
        <v>147</v>
      </c>
      <c r="E316" t="s">
        <v>12</v>
      </c>
      <c r="F316">
        <v>129.82</v>
      </c>
      <c r="G316" s="5">
        <v>2000</v>
      </c>
      <c r="H316">
        <f t="shared" si="4"/>
        <v>2</v>
      </c>
      <c r="I316">
        <v>1</v>
      </c>
    </row>
    <row r="317" spans="1:9" ht="15.75" thickBot="1" x14ac:dyDescent="0.3">
      <c r="A317" s="1">
        <v>44197</v>
      </c>
      <c r="B317" t="s">
        <v>6</v>
      </c>
      <c r="C317" t="s">
        <v>7</v>
      </c>
      <c r="D317" t="s">
        <v>148</v>
      </c>
      <c r="E317" t="s">
        <v>24</v>
      </c>
      <c r="F317">
        <v>500</v>
      </c>
      <c r="G317" s="3">
        <v>0</v>
      </c>
      <c r="H317">
        <f t="shared" si="4"/>
        <v>0</v>
      </c>
      <c r="I317">
        <v>2</v>
      </c>
    </row>
    <row r="318" spans="1:9" ht="15.75" thickBot="1" x14ac:dyDescent="0.3">
      <c r="A318" s="1">
        <v>44197</v>
      </c>
      <c r="B318" t="s">
        <v>6</v>
      </c>
      <c r="C318" t="s">
        <v>7</v>
      </c>
      <c r="D318" t="s">
        <v>148</v>
      </c>
      <c r="E318" t="s">
        <v>12</v>
      </c>
      <c r="F318">
        <v>327.51</v>
      </c>
      <c r="G318" s="5">
        <v>11000</v>
      </c>
      <c r="H318">
        <f t="shared" si="4"/>
        <v>11</v>
      </c>
      <c r="I318">
        <v>2</v>
      </c>
    </row>
    <row r="319" spans="1:9" ht="15.75" thickBot="1" x14ac:dyDescent="0.3">
      <c r="A319" s="1">
        <v>44197</v>
      </c>
      <c r="B319" t="s">
        <v>6</v>
      </c>
      <c r="C319" t="s">
        <v>7</v>
      </c>
      <c r="D319" t="s">
        <v>149</v>
      </c>
      <c r="E319" t="s">
        <v>12</v>
      </c>
      <c r="F319">
        <v>14335.85</v>
      </c>
      <c r="G319" s="5">
        <v>601000</v>
      </c>
      <c r="H319">
        <f t="shared" si="4"/>
        <v>601</v>
      </c>
      <c r="I319">
        <v>1</v>
      </c>
    </row>
    <row r="320" spans="1:9" ht="15.75" thickBot="1" x14ac:dyDescent="0.3">
      <c r="A320" s="1">
        <v>44197</v>
      </c>
      <c r="B320" t="s">
        <v>6</v>
      </c>
      <c r="C320" t="s">
        <v>7</v>
      </c>
      <c r="D320" t="s">
        <v>149</v>
      </c>
      <c r="E320" t="s">
        <v>9</v>
      </c>
      <c r="F320">
        <v>2773.38</v>
      </c>
      <c r="G320" s="4">
        <v>0</v>
      </c>
      <c r="H320">
        <f t="shared" si="4"/>
        <v>0</v>
      </c>
      <c r="I320">
        <v>34</v>
      </c>
    </row>
    <row r="321" spans="1:9" ht="15.75" thickBot="1" x14ac:dyDescent="0.3">
      <c r="A321" s="1">
        <v>44197</v>
      </c>
      <c r="B321" t="s">
        <v>6</v>
      </c>
      <c r="C321" t="s">
        <v>7</v>
      </c>
      <c r="D321" t="s">
        <v>150</v>
      </c>
      <c r="E321" t="s">
        <v>24</v>
      </c>
      <c r="F321">
        <v>6326.36</v>
      </c>
      <c r="G321" s="3">
        <v>173</v>
      </c>
      <c r="H321">
        <f t="shared" si="4"/>
        <v>173</v>
      </c>
      <c r="I321">
        <v>1</v>
      </c>
    </row>
    <row r="322" spans="1:9" ht="15.75" thickBot="1" x14ac:dyDescent="0.3">
      <c r="A322" s="1">
        <v>44197</v>
      </c>
      <c r="B322" t="s">
        <v>6</v>
      </c>
      <c r="C322" t="s">
        <v>7</v>
      </c>
      <c r="D322" t="s">
        <v>150</v>
      </c>
      <c r="E322" t="s">
        <v>12</v>
      </c>
      <c r="F322">
        <v>58205.19</v>
      </c>
      <c r="G322" s="5">
        <v>1010270.044</v>
      </c>
      <c r="H322">
        <f t="shared" si="4"/>
        <v>1010.270044</v>
      </c>
      <c r="I322">
        <v>27</v>
      </c>
    </row>
    <row r="323" spans="1:9" ht="15.75" thickBot="1" x14ac:dyDescent="0.3">
      <c r="A323" s="1">
        <v>44197</v>
      </c>
      <c r="B323" t="s">
        <v>6</v>
      </c>
      <c r="C323" t="s">
        <v>7</v>
      </c>
      <c r="D323" t="s">
        <v>150</v>
      </c>
      <c r="E323" t="s">
        <v>9</v>
      </c>
      <c r="F323">
        <v>730.63</v>
      </c>
      <c r="G323" s="5">
        <v>4000</v>
      </c>
      <c r="H323">
        <f t="shared" ref="H323:H386" si="5">IF(ISNUMBER(SEARCH("Domestic customer", E323)),G323/1000,G323)</f>
        <v>4000</v>
      </c>
      <c r="I323">
        <v>8</v>
      </c>
    </row>
    <row r="324" spans="1:9" ht="15.75" thickBot="1" x14ac:dyDescent="0.3">
      <c r="A324" s="1">
        <v>44197</v>
      </c>
      <c r="B324" t="s">
        <v>6</v>
      </c>
      <c r="C324" t="s">
        <v>7</v>
      </c>
      <c r="D324" t="s">
        <v>150</v>
      </c>
      <c r="E324" t="s">
        <v>17</v>
      </c>
      <c r="F324">
        <v>244.71</v>
      </c>
      <c r="G324" s="4">
        <v>0</v>
      </c>
      <c r="H324">
        <f t="shared" si="5"/>
        <v>0</v>
      </c>
      <c r="I324">
        <v>3</v>
      </c>
    </row>
    <row r="325" spans="1:9" ht="15.75" thickBot="1" x14ac:dyDescent="0.3">
      <c r="A325" s="1">
        <v>44197</v>
      </c>
      <c r="B325" t="s">
        <v>6</v>
      </c>
      <c r="C325" t="s">
        <v>7</v>
      </c>
      <c r="D325" t="s">
        <v>151</v>
      </c>
      <c r="E325" t="s">
        <v>9</v>
      </c>
      <c r="F325">
        <v>5302.05</v>
      </c>
      <c r="G325" s="4">
        <v>0</v>
      </c>
      <c r="H325">
        <f t="shared" si="5"/>
        <v>0</v>
      </c>
      <c r="I325">
        <v>65</v>
      </c>
    </row>
    <row r="326" spans="1:9" ht="15.75" thickBot="1" x14ac:dyDescent="0.3">
      <c r="A326" s="1">
        <v>44197</v>
      </c>
      <c r="B326" t="s">
        <v>6</v>
      </c>
      <c r="C326" t="s">
        <v>7</v>
      </c>
      <c r="D326" t="s">
        <v>152</v>
      </c>
      <c r="E326" t="s">
        <v>24</v>
      </c>
      <c r="F326">
        <v>100</v>
      </c>
      <c r="G326" s="3">
        <v>0</v>
      </c>
      <c r="H326">
        <f t="shared" si="5"/>
        <v>0</v>
      </c>
      <c r="I326">
        <v>1</v>
      </c>
    </row>
    <row r="327" spans="1:9" ht="15.75" thickBot="1" x14ac:dyDescent="0.3">
      <c r="A327" s="1">
        <v>44197</v>
      </c>
      <c r="B327" t="s">
        <v>6</v>
      </c>
      <c r="C327" t="s">
        <v>7</v>
      </c>
      <c r="D327" t="s">
        <v>152</v>
      </c>
      <c r="E327" t="s">
        <v>12</v>
      </c>
      <c r="F327">
        <v>55176.34</v>
      </c>
      <c r="G327" s="6">
        <v>1217473.8</v>
      </c>
      <c r="H327">
        <f t="shared" si="5"/>
        <v>1217.4738</v>
      </c>
      <c r="I327">
        <v>166</v>
      </c>
    </row>
    <row r="328" spans="1:9" ht="15.75" thickBot="1" x14ac:dyDescent="0.3">
      <c r="A328" s="1">
        <v>44197</v>
      </c>
      <c r="B328" t="s">
        <v>6</v>
      </c>
      <c r="C328" t="s">
        <v>7</v>
      </c>
      <c r="D328" t="s">
        <v>152</v>
      </c>
      <c r="E328" t="s">
        <v>9</v>
      </c>
      <c r="F328">
        <v>9714.7199999999993</v>
      </c>
      <c r="G328" s="5">
        <v>214000</v>
      </c>
      <c r="H328">
        <f t="shared" si="5"/>
        <v>214000</v>
      </c>
      <c r="I328">
        <v>27</v>
      </c>
    </row>
    <row r="329" spans="1:9" ht="15.75" thickBot="1" x14ac:dyDescent="0.3">
      <c r="A329" s="1">
        <v>44197</v>
      </c>
      <c r="B329" t="s">
        <v>6</v>
      </c>
      <c r="C329" t="s">
        <v>7</v>
      </c>
      <c r="D329" t="s">
        <v>152</v>
      </c>
      <c r="E329" t="s">
        <v>17</v>
      </c>
      <c r="F329">
        <v>1892.09</v>
      </c>
      <c r="G329" s="5">
        <v>49000</v>
      </c>
      <c r="H329">
        <f t="shared" si="5"/>
        <v>49000</v>
      </c>
      <c r="I329">
        <v>4</v>
      </c>
    </row>
    <row r="330" spans="1:9" ht="15.75" thickBot="1" x14ac:dyDescent="0.3">
      <c r="A330" s="1">
        <v>44197</v>
      </c>
      <c r="B330" t="s">
        <v>6</v>
      </c>
      <c r="C330" t="s">
        <v>7</v>
      </c>
      <c r="D330" t="s">
        <v>153</v>
      </c>
      <c r="E330" t="s">
        <v>9</v>
      </c>
      <c r="F330">
        <v>81.569999999999993</v>
      </c>
      <c r="G330" s="4">
        <v>0</v>
      </c>
      <c r="H330">
        <f t="shared" si="5"/>
        <v>0</v>
      </c>
      <c r="I330">
        <v>1</v>
      </c>
    </row>
    <row r="331" spans="1:9" ht="15.75" thickBot="1" x14ac:dyDescent="0.3">
      <c r="A331" s="1">
        <v>44197</v>
      </c>
      <c r="B331" t="s">
        <v>6</v>
      </c>
      <c r="C331" t="s">
        <v>7</v>
      </c>
      <c r="D331" t="s">
        <v>154</v>
      </c>
      <c r="E331" t="s">
        <v>14</v>
      </c>
      <c r="F331">
        <v>893.64</v>
      </c>
      <c r="G331" s="3">
        <v>27</v>
      </c>
      <c r="H331">
        <f t="shared" si="5"/>
        <v>27</v>
      </c>
      <c r="I331">
        <v>1</v>
      </c>
    </row>
    <row r="332" spans="1:9" ht="15.75" thickBot="1" x14ac:dyDescent="0.3">
      <c r="A332" s="1">
        <v>44197</v>
      </c>
      <c r="B332" t="s">
        <v>6</v>
      </c>
      <c r="C332" t="s">
        <v>7</v>
      </c>
      <c r="D332" t="s">
        <v>154</v>
      </c>
      <c r="E332" t="s">
        <v>12</v>
      </c>
      <c r="F332">
        <v>694.57</v>
      </c>
      <c r="G332" s="5">
        <v>17000</v>
      </c>
      <c r="H332">
        <f t="shared" si="5"/>
        <v>17</v>
      </c>
      <c r="I332">
        <v>4</v>
      </c>
    </row>
    <row r="333" spans="1:9" ht="15.75" thickBot="1" x14ac:dyDescent="0.3">
      <c r="A333" s="1">
        <v>44197</v>
      </c>
      <c r="B333" t="s">
        <v>6</v>
      </c>
      <c r="C333" t="s">
        <v>7</v>
      </c>
      <c r="D333" t="s">
        <v>154</v>
      </c>
      <c r="E333" t="s">
        <v>9</v>
      </c>
      <c r="F333">
        <v>81.569999999999993</v>
      </c>
      <c r="G333" s="4">
        <v>0</v>
      </c>
      <c r="H333">
        <f t="shared" si="5"/>
        <v>0</v>
      </c>
      <c r="I333">
        <v>1</v>
      </c>
    </row>
    <row r="334" spans="1:9" ht="15.75" thickBot="1" x14ac:dyDescent="0.3">
      <c r="A334" s="1">
        <v>44197</v>
      </c>
      <c r="B334" t="s">
        <v>6</v>
      </c>
      <c r="C334" t="s">
        <v>7</v>
      </c>
      <c r="D334" t="s">
        <v>155</v>
      </c>
      <c r="E334" t="s">
        <v>14</v>
      </c>
      <c r="F334">
        <v>7007.8</v>
      </c>
      <c r="G334" s="3">
        <v>165</v>
      </c>
      <c r="H334">
        <f t="shared" si="5"/>
        <v>165</v>
      </c>
      <c r="I334">
        <v>1</v>
      </c>
    </row>
    <row r="335" spans="1:9" ht="15.75" thickBot="1" x14ac:dyDescent="0.3">
      <c r="A335" s="1">
        <v>44197</v>
      </c>
      <c r="B335" t="s">
        <v>6</v>
      </c>
      <c r="C335" t="s">
        <v>7</v>
      </c>
      <c r="D335" t="s">
        <v>156</v>
      </c>
      <c r="E335" t="s">
        <v>12</v>
      </c>
      <c r="F335">
        <v>255.51</v>
      </c>
      <c r="G335" s="5">
        <v>4959.1620000000003</v>
      </c>
      <c r="H335">
        <f t="shared" si="5"/>
        <v>4.9591620000000001</v>
      </c>
      <c r="I335">
        <v>1</v>
      </c>
    </row>
    <row r="336" spans="1:9" ht="15.75" thickBot="1" x14ac:dyDescent="0.3">
      <c r="A336" s="1">
        <v>44197</v>
      </c>
      <c r="B336" t="s">
        <v>6</v>
      </c>
      <c r="C336" t="s">
        <v>7</v>
      </c>
      <c r="D336" t="s">
        <v>156</v>
      </c>
      <c r="E336" t="s">
        <v>9</v>
      </c>
      <c r="F336">
        <v>81.569999999999993</v>
      </c>
      <c r="G336" s="4">
        <v>0</v>
      </c>
      <c r="H336">
        <f t="shared" si="5"/>
        <v>0</v>
      </c>
      <c r="I336">
        <v>1</v>
      </c>
    </row>
    <row r="337" spans="1:9" ht="15.75" thickBot="1" x14ac:dyDescent="0.3">
      <c r="A337" s="1">
        <v>44197</v>
      </c>
      <c r="B337" t="s">
        <v>6</v>
      </c>
      <c r="C337" t="s">
        <v>7</v>
      </c>
      <c r="D337" t="s">
        <v>157</v>
      </c>
      <c r="E337" t="s">
        <v>24</v>
      </c>
      <c r="F337">
        <v>100</v>
      </c>
      <c r="G337" s="3">
        <v>0</v>
      </c>
      <c r="H337">
        <f t="shared" si="5"/>
        <v>0</v>
      </c>
      <c r="I337">
        <v>1</v>
      </c>
    </row>
    <row r="338" spans="1:9" ht="15.75" thickBot="1" x14ac:dyDescent="0.3">
      <c r="A338" s="1">
        <v>44197</v>
      </c>
      <c r="B338" t="s">
        <v>6</v>
      </c>
      <c r="C338" t="s">
        <v>7</v>
      </c>
      <c r="D338" t="s">
        <v>157</v>
      </c>
      <c r="E338" t="s">
        <v>12</v>
      </c>
      <c r="F338">
        <v>3365.85</v>
      </c>
      <c r="G338" s="5">
        <v>159466.299</v>
      </c>
      <c r="H338">
        <f t="shared" si="5"/>
        <v>159.46629899999999</v>
      </c>
      <c r="I338">
        <v>6</v>
      </c>
    </row>
    <row r="339" spans="1:9" ht="15.75" thickBot="1" x14ac:dyDescent="0.3">
      <c r="A339" s="1">
        <v>44197</v>
      </c>
      <c r="B339" t="s">
        <v>6</v>
      </c>
      <c r="C339" t="s">
        <v>7</v>
      </c>
      <c r="D339" t="s">
        <v>157</v>
      </c>
      <c r="E339" t="s">
        <v>15</v>
      </c>
      <c r="F339">
        <v>857.04</v>
      </c>
      <c r="G339" s="3">
        <v>22</v>
      </c>
      <c r="H339">
        <f t="shared" si="5"/>
        <v>22</v>
      </c>
      <c r="I339">
        <v>2</v>
      </c>
    </row>
    <row r="340" spans="1:9" ht="15.75" thickBot="1" x14ac:dyDescent="0.3">
      <c r="A340" s="1">
        <v>44197</v>
      </c>
      <c r="B340" t="s">
        <v>6</v>
      </c>
      <c r="C340" t="s">
        <v>7</v>
      </c>
      <c r="D340" t="s">
        <v>158</v>
      </c>
      <c r="E340" t="s">
        <v>9</v>
      </c>
      <c r="F340">
        <v>848.28</v>
      </c>
      <c r="G340" s="3">
        <v>29</v>
      </c>
      <c r="H340">
        <f t="shared" si="5"/>
        <v>29</v>
      </c>
      <c r="I340">
        <v>1</v>
      </c>
    </row>
    <row r="341" spans="1:9" ht="15.75" thickBot="1" x14ac:dyDescent="0.3">
      <c r="A341" s="1">
        <v>44197</v>
      </c>
      <c r="B341" t="s">
        <v>6</v>
      </c>
      <c r="C341" t="s">
        <v>7</v>
      </c>
      <c r="D341" t="s">
        <v>159</v>
      </c>
      <c r="E341" t="s">
        <v>12</v>
      </c>
      <c r="F341">
        <v>628.17999999999995</v>
      </c>
      <c r="G341" s="5">
        <v>23000</v>
      </c>
      <c r="H341">
        <f t="shared" si="5"/>
        <v>23</v>
      </c>
      <c r="I341">
        <v>1</v>
      </c>
    </row>
    <row r="342" spans="1:9" ht="15.75" thickBot="1" x14ac:dyDescent="0.3">
      <c r="A342" s="1">
        <v>44197</v>
      </c>
      <c r="B342" t="s">
        <v>6</v>
      </c>
      <c r="C342" t="s">
        <v>7</v>
      </c>
      <c r="D342" t="s">
        <v>160</v>
      </c>
      <c r="E342" t="s">
        <v>24</v>
      </c>
      <c r="F342">
        <v>8112.9</v>
      </c>
      <c r="G342" s="3">
        <v>281</v>
      </c>
      <c r="H342">
        <f t="shared" si="5"/>
        <v>281</v>
      </c>
      <c r="I342">
        <v>3</v>
      </c>
    </row>
    <row r="343" spans="1:9" ht="15.75" thickBot="1" x14ac:dyDescent="0.3">
      <c r="A343" s="1">
        <v>44197</v>
      </c>
      <c r="B343" t="s">
        <v>6</v>
      </c>
      <c r="C343" t="s">
        <v>7</v>
      </c>
      <c r="D343" t="s">
        <v>160</v>
      </c>
      <c r="E343" t="s">
        <v>12</v>
      </c>
      <c r="F343">
        <v>2270.06</v>
      </c>
      <c r="G343" s="5">
        <v>73789.474000000002</v>
      </c>
      <c r="H343">
        <f t="shared" si="5"/>
        <v>73.789473999999998</v>
      </c>
      <c r="I343">
        <v>10</v>
      </c>
    </row>
    <row r="344" spans="1:9" ht="15.75" thickBot="1" x14ac:dyDescent="0.3">
      <c r="A344" s="1">
        <v>44197</v>
      </c>
      <c r="B344" t="s">
        <v>6</v>
      </c>
      <c r="C344" t="s">
        <v>7</v>
      </c>
      <c r="D344" t="s">
        <v>160</v>
      </c>
      <c r="E344" t="s">
        <v>9</v>
      </c>
      <c r="F344">
        <v>81.569999999999993</v>
      </c>
      <c r="G344" s="4">
        <v>0</v>
      </c>
      <c r="H344">
        <f t="shared" si="5"/>
        <v>0</v>
      </c>
      <c r="I344">
        <v>1</v>
      </c>
    </row>
    <row r="345" spans="1:9" ht="15.75" thickBot="1" x14ac:dyDescent="0.3">
      <c r="A345" s="1">
        <v>44197</v>
      </c>
      <c r="B345" t="s">
        <v>6</v>
      </c>
      <c r="C345" t="s">
        <v>7</v>
      </c>
      <c r="D345" t="s">
        <v>161</v>
      </c>
      <c r="E345" t="s">
        <v>14</v>
      </c>
      <c r="F345">
        <v>30040.04</v>
      </c>
      <c r="G345" s="3">
        <v>589</v>
      </c>
      <c r="H345">
        <f t="shared" si="5"/>
        <v>589</v>
      </c>
      <c r="I345">
        <v>14</v>
      </c>
    </row>
    <row r="346" spans="1:9" ht="15.75" thickBot="1" x14ac:dyDescent="0.3">
      <c r="A346" s="1">
        <v>44197</v>
      </c>
      <c r="B346" t="s">
        <v>6</v>
      </c>
      <c r="C346" t="s">
        <v>7</v>
      </c>
      <c r="D346" t="s">
        <v>161</v>
      </c>
      <c r="E346" t="s">
        <v>15</v>
      </c>
      <c r="F346">
        <v>138.75</v>
      </c>
      <c r="G346" s="3">
        <v>3</v>
      </c>
      <c r="H346">
        <f t="shared" si="5"/>
        <v>3</v>
      </c>
      <c r="I346">
        <v>1</v>
      </c>
    </row>
    <row r="347" spans="1:9" ht="15.75" thickBot="1" x14ac:dyDescent="0.3">
      <c r="A347" s="1">
        <v>44197</v>
      </c>
      <c r="B347" t="s">
        <v>6</v>
      </c>
      <c r="C347" t="s">
        <v>7</v>
      </c>
      <c r="D347" t="s">
        <v>161</v>
      </c>
      <c r="E347" t="s">
        <v>9</v>
      </c>
      <c r="F347">
        <v>1935.48</v>
      </c>
      <c r="G347" s="3">
        <v>64</v>
      </c>
      <c r="H347">
        <f t="shared" si="5"/>
        <v>64</v>
      </c>
      <c r="I347">
        <v>3</v>
      </c>
    </row>
    <row r="348" spans="1:9" ht="15.75" thickBot="1" x14ac:dyDescent="0.3">
      <c r="A348" s="1">
        <v>44197</v>
      </c>
      <c r="B348" t="s">
        <v>6</v>
      </c>
      <c r="C348" t="s">
        <v>7</v>
      </c>
      <c r="D348" t="s">
        <v>162</v>
      </c>
      <c r="E348" t="s">
        <v>9</v>
      </c>
      <c r="F348">
        <v>81.569999999999993</v>
      </c>
      <c r="G348" s="4">
        <v>0</v>
      </c>
      <c r="H348">
        <f t="shared" si="5"/>
        <v>0</v>
      </c>
      <c r="I348">
        <v>1</v>
      </c>
    </row>
    <row r="349" spans="1:9" ht="15.75" thickBot="1" x14ac:dyDescent="0.3">
      <c r="A349" s="1">
        <v>44197</v>
      </c>
      <c r="B349" t="s">
        <v>6</v>
      </c>
      <c r="C349" t="s">
        <v>7</v>
      </c>
      <c r="D349" t="s">
        <v>163</v>
      </c>
      <c r="E349" t="s">
        <v>12</v>
      </c>
      <c r="F349">
        <v>293.64999999999998</v>
      </c>
      <c r="G349" s="5">
        <v>11000</v>
      </c>
      <c r="H349">
        <f t="shared" si="5"/>
        <v>11</v>
      </c>
      <c r="I349">
        <v>1</v>
      </c>
    </row>
    <row r="350" spans="1:9" ht="15.75" thickBot="1" x14ac:dyDescent="0.3">
      <c r="A350" s="1">
        <v>44197</v>
      </c>
      <c r="B350" t="s">
        <v>6</v>
      </c>
      <c r="C350" t="s">
        <v>7</v>
      </c>
      <c r="D350" t="s">
        <v>164</v>
      </c>
      <c r="E350" t="s">
        <v>14</v>
      </c>
      <c r="F350">
        <v>263.57</v>
      </c>
      <c r="G350" s="3">
        <v>4</v>
      </c>
      <c r="H350">
        <f t="shared" si="5"/>
        <v>4</v>
      </c>
      <c r="I350">
        <v>1</v>
      </c>
    </row>
    <row r="351" spans="1:9" ht="15.75" thickBot="1" x14ac:dyDescent="0.3">
      <c r="A351" s="1">
        <v>44197</v>
      </c>
      <c r="B351" t="s">
        <v>6</v>
      </c>
      <c r="C351" t="s">
        <v>7</v>
      </c>
      <c r="D351" t="s">
        <v>164</v>
      </c>
      <c r="E351" t="s">
        <v>15</v>
      </c>
      <c r="F351">
        <v>9557.06</v>
      </c>
      <c r="G351" s="3">
        <v>30</v>
      </c>
      <c r="H351">
        <f t="shared" si="5"/>
        <v>30</v>
      </c>
      <c r="I351">
        <v>1</v>
      </c>
    </row>
    <row r="352" spans="1:9" ht="15.75" thickBot="1" x14ac:dyDescent="0.3">
      <c r="A352" s="1">
        <v>44197</v>
      </c>
      <c r="B352" t="s">
        <v>6</v>
      </c>
      <c r="C352" t="s">
        <v>7</v>
      </c>
      <c r="D352" t="s">
        <v>165</v>
      </c>
      <c r="E352" t="s">
        <v>14</v>
      </c>
      <c r="F352">
        <v>43187.14</v>
      </c>
      <c r="G352" s="3">
        <v>1169</v>
      </c>
      <c r="H352">
        <f t="shared" si="5"/>
        <v>1169</v>
      </c>
      <c r="I352">
        <v>4</v>
      </c>
    </row>
    <row r="353" spans="1:9" ht="15.75" thickBot="1" x14ac:dyDescent="0.3">
      <c r="A353" s="1">
        <v>44197</v>
      </c>
      <c r="B353" t="s">
        <v>6</v>
      </c>
      <c r="C353" t="s">
        <v>7</v>
      </c>
      <c r="D353" t="s">
        <v>165</v>
      </c>
      <c r="E353" t="s">
        <v>24</v>
      </c>
      <c r="F353">
        <v>56</v>
      </c>
      <c r="G353" s="3">
        <v>0</v>
      </c>
      <c r="H353">
        <f t="shared" si="5"/>
        <v>0</v>
      </c>
      <c r="I353">
        <v>1</v>
      </c>
    </row>
    <row r="354" spans="1:9" ht="15.75" thickBot="1" x14ac:dyDescent="0.3">
      <c r="A354" s="1">
        <v>44197</v>
      </c>
      <c r="B354" t="s">
        <v>6</v>
      </c>
      <c r="C354" t="s">
        <v>7</v>
      </c>
      <c r="D354" t="s">
        <v>165</v>
      </c>
      <c r="E354" t="s">
        <v>9</v>
      </c>
      <c r="F354">
        <v>15554.01</v>
      </c>
      <c r="G354" s="3">
        <v>42</v>
      </c>
      <c r="H354">
        <f t="shared" si="5"/>
        <v>42</v>
      </c>
      <c r="I354">
        <v>5</v>
      </c>
    </row>
    <row r="355" spans="1:9" ht="15.75" thickBot="1" x14ac:dyDescent="0.3">
      <c r="A355" s="1">
        <v>44197</v>
      </c>
      <c r="B355" t="s">
        <v>6</v>
      </c>
      <c r="C355" t="s">
        <v>7</v>
      </c>
      <c r="D355" t="s">
        <v>165</v>
      </c>
      <c r="E355" t="s">
        <v>17</v>
      </c>
      <c r="F355">
        <v>17283.650000000001</v>
      </c>
      <c r="G355" s="3">
        <v>481</v>
      </c>
      <c r="H355">
        <f t="shared" si="5"/>
        <v>481</v>
      </c>
      <c r="I355">
        <v>3</v>
      </c>
    </row>
    <row r="356" spans="1:9" ht="15.75" thickBot="1" x14ac:dyDescent="0.3">
      <c r="A356" s="1">
        <v>44197</v>
      </c>
      <c r="B356" t="s">
        <v>6</v>
      </c>
      <c r="C356" t="s">
        <v>7</v>
      </c>
      <c r="D356" t="s">
        <v>166</v>
      </c>
      <c r="E356" t="s">
        <v>24</v>
      </c>
      <c r="F356">
        <v>805.99</v>
      </c>
      <c r="G356" s="3">
        <v>15</v>
      </c>
      <c r="H356">
        <f t="shared" si="5"/>
        <v>15</v>
      </c>
      <c r="I356">
        <v>1</v>
      </c>
    </row>
    <row r="357" spans="1:9" ht="15.75" thickBot="1" x14ac:dyDescent="0.3">
      <c r="A357" s="1">
        <v>44197</v>
      </c>
      <c r="B357" t="s">
        <v>6</v>
      </c>
      <c r="C357" t="s">
        <v>7</v>
      </c>
      <c r="D357" t="s">
        <v>166</v>
      </c>
      <c r="E357" t="s">
        <v>12</v>
      </c>
      <c r="F357">
        <v>0</v>
      </c>
      <c r="G357" s="5">
        <v>14000</v>
      </c>
      <c r="H357">
        <f t="shared" si="5"/>
        <v>14</v>
      </c>
      <c r="I357">
        <v>2</v>
      </c>
    </row>
    <row r="358" spans="1:9" ht="15.75" thickBot="1" x14ac:dyDescent="0.3">
      <c r="A358" s="1">
        <v>44197</v>
      </c>
      <c r="B358" t="s">
        <v>6</v>
      </c>
      <c r="C358" t="s">
        <v>7</v>
      </c>
      <c r="D358" t="s">
        <v>167</v>
      </c>
      <c r="E358" t="s">
        <v>14</v>
      </c>
      <c r="F358">
        <v>8278.64</v>
      </c>
      <c r="G358" s="3">
        <v>111</v>
      </c>
      <c r="H358">
        <f t="shared" si="5"/>
        <v>111</v>
      </c>
      <c r="I358">
        <v>3</v>
      </c>
    </row>
    <row r="359" spans="1:9" ht="15.75" thickBot="1" x14ac:dyDescent="0.3">
      <c r="A359" s="1">
        <v>44197</v>
      </c>
      <c r="B359" t="s">
        <v>6</v>
      </c>
      <c r="C359" t="s">
        <v>7</v>
      </c>
      <c r="D359" t="s">
        <v>167</v>
      </c>
      <c r="E359" t="s">
        <v>24</v>
      </c>
      <c r="F359">
        <v>4594.3599999999997</v>
      </c>
      <c r="G359" s="3">
        <v>73</v>
      </c>
      <c r="H359">
        <f t="shared" si="5"/>
        <v>73</v>
      </c>
      <c r="I359">
        <v>1</v>
      </c>
    </row>
    <row r="360" spans="1:9" ht="15.75" thickBot="1" x14ac:dyDescent="0.3">
      <c r="A360" s="1">
        <v>44197</v>
      </c>
      <c r="B360" t="s">
        <v>6</v>
      </c>
      <c r="C360" t="s">
        <v>7</v>
      </c>
      <c r="D360" t="s">
        <v>167</v>
      </c>
      <c r="E360" t="s">
        <v>12</v>
      </c>
      <c r="F360">
        <v>3075.28</v>
      </c>
      <c r="G360" s="3">
        <v>54</v>
      </c>
      <c r="H360">
        <f t="shared" si="5"/>
        <v>5.3999999999999999E-2</v>
      </c>
      <c r="I360">
        <v>1</v>
      </c>
    </row>
    <row r="361" spans="1:9" ht="15.75" thickBot="1" x14ac:dyDescent="0.3">
      <c r="A361" s="1">
        <v>44197</v>
      </c>
      <c r="B361" t="s">
        <v>6</v>
      </c>
      <c r="C361" t="s">
        <v>7</v>
      </c>
      <c r="D361" t="s">
        <v>167</v>
      </c>
      <c r="E361" t="s">
        <v>15</v>
      </c>
      <c r="F361">
        <v>22293.39</v>
      </c>
      <c r="G361" s="3">
        <v>485</v>
      </c>
      <c r="H361">
        <f t="shared" si="5"/>
        <v>485</v>
      </c>
      <c r="I361">
        <v>6</v>
      </c>
    </row>
    <row r="362" spans="1:9" ht="15.75" thickBot="1" x14ac:dyDescent="0.3">
      <c r="A362" s="1">
        <v>44197</v>
      </c>
      <c r="B362" t="s">
        <v>6</v>
      </c>
      <c r="C362" t="s">
        <v>7</v>
      </c>
      <c r="D362" t="s">
        <v>167</v>
      </c>
      <c r="E362" t="s">
        <v>9</v>
      </c>
      <c r="F362">
        <v>489.42</v>
      </c>
      <c r="G362" s="4">
        <v>0</v>
      </c>
      <c r="H362">
        <f t="shared" si="5"/>
        <v>0</v>
      </c>
      <c r="I362">
        <v>6</v>
      </c>
    </row>
    <row r="363" spans="1:9" ht="15.75" thickBot="1" x14ac:dyDescent="0.3">
      <c r="A363" s="1">
        <v>44197</v>
      </c>
      <c r="B363" t="s">
        <v>6</v>
      </c>
      <c r="C363" t="s">
        <v>7</v>
      </c>
      <c r="D363" t="s">
        <v>167</v>
      </c>
      <c r="E363" t="s">
        <v>17</v>
      </c>
      <c r="F363">
        <v>156</v>
      </c>
      <c r="G363" s="3">
        <v>0</v>
      </c>
      <c r="H363">
        <f t="shared" si="5"/>
        <v>0</v>
      </c>
      <c r="I363">
        <v>1</v>
      </c>
    </row>
    <row r="364" spans="1:9" ht="15.75" thickBot="1" x14ac:dyDescent="0.3">
      <c r="A364" s="1">
        <v>44197</v>
      </c>
      <c r="B364" t="s">
        <v>6</v>
      </c>
      <c r="C364" t="s">
        <v>7</v>
      </c>
      <c r="D364" t="s">
        <v>168</v>
      </c>
      <c r="E364" t="s">
        <v>14</v>
      </c>
      <c r="F364">
        <v>4668.3599999999997</v>
      </c>
      <c r="G364" s="3">
        <v>148</v>
      </c>
      <c r="H364">
        <f t="shared" si="5"/>
        <v>148</v>
      </c>
      <c r="I364">
        <v>1</v>
      </c>
    </row>
    <row r="365" spans="1:9" ht="15.75" thickBot="1" x14ac:dyDescent="0.3">
      <c r="A365" s="1">
        <v>44197</v>
      </c>
      <c r="B365" t="s">
        <v>6</v>
      </c>
      <c r="C365" t="s">
        <v>7</v>
      </c>
      <c r="D365" t="s">
        <v>168</v>
      </c>
      <c r="E365" t="s">
        <v>12</v>
      </c>
      <c r="F365">
        <v>4802.2700000000004</v>
      </c>
      <c r="G365" s="5">
        <v>147000</v>
      </c>
      <c r="H365">
        <f t="shared" si="5"/>
        <v>147</v>
      </c>
      <c r="I365">
        <v>5</v>
      </c>
    </row>
    <row r="366" spans="1:9" ht="15.75" thickBot="1" x14ac:dyDescent="0.3">
      <c r="A366" s="1">
        <v>44197</v>
      </c>
      <c r="B366" t="s">
        <v>6</v>
      </c>
      <c r="C366" t="s">
        <v>7</v>
      </c>
      <c r="D366" t="s">
        <v>168</v>
      </c>
      <c r="E366" t="s">
        <v>9</v>
      </c>
      <c r="F366">
        <v>491.47</v>
      </c>
      <c r="G366" s="5">
        <v>12000</v>
      </c>
      <c r="H366">
        <f t="shared" si="5"/>
        <v>12000</v>
      </c>
      <c r="I366">
        <v>2</v>
      </c>
    </row>
    <row r="367" spans="1:9" ht="15.75" thickBot="1" x14ac:dyDescent="0.3">
      <c r="A367" s="1">
        <v>44197</v>
      </c>
      <c r="B367" t="s">
        <v>6</v>
      </c>
      <c r="C367" t="s">
        <v>7</v>
      </c>
      <c r="D367" t="s">
        <v>169</v>
      </c>
      <c r="E367" t="s">
        <v>12</v>
      </c>
      <c r="F367">
        <v>6179.12</v>
      </c>
      <c r="G367" s="5">
        <v>216000</v>
      </c>
      <c r="H367">
        <f t="shared" si="5"/>
        <v>216</v>
      </c>
      <c r="I367">
        <v>1</v>
      </c>
    </row>
    <row r="368" spans="1:9" ht="15.75" thickBot="1" x14ac:dyDescent="0.3">
      <c r="A368" s="1">
        <v>44197</v>
      </c>
      <c r="B368" t="s">
        <v>6</v>
      </c>
      <c r="C368" t="s">
        <v>7</v>
      </c>
      <c r="D368" t="s">
        <v>170</v>
      </c>
      <c r="E368" t="s">
        <v>12</v>
      </c>
      <c r="F368">
        <v>1359.76</v>
      </c>
      <c r="G368" s="5">
        <v>50287.618000000002</v>
      </c>
      <c r="H368">
        <f t="shared" si="5"/>
        <v>50.287618000000002</v>
      </c>
      <c r="I368">
        <v>4</v>
      </c>
    </row>
    <row r="369" spans="1:9" ht="15.75" thickBot="1" x14ac:dyDescent="0.3">
      <c r="A369" s="1">
        <v>44197</v>
      </c>
      <c r="B369" t="s">
        <v>6</v>
      </c>
      <c r="C369" t="s">
        <v>7</v>
      </c>
      <c r="D369" t="s">
        <v>170</v>
      </c>
      <c r="E369" t="s">
        <v>9</v>
      </c>
      <c r="F369">
        <v>19220.189999999999</v>
      </c>
      <c r="G369" s="6">
        <v>55404</v>
      </c>
      <c r="H369">
        <f t="shared" si="5"/>
        <v>55404</v>
      </c>
      <c r="I369">
        <v>33</v>
      </c>
    </row>
    <row r="370" spans="1:9" ht="15.75" thickBot="1" x14ac:dyDescent="0.3">
      <c r="A370" s="1">
        <v>44197</v>
      </c>
      <c r="B370" t="s">
        <v>6</v>
      </c>
      <c r="C370" t="s">
        <v>7</v>
      </c>
      <c r="D370" t="s">
        <v>171</v>
      </c>
      <c r="E370" t="s">
        <v>9</v>
      </c>
      <c r="F370">
        <v>407.85</v>
      </c>
      <c r="G370" s="4">
        <v>0</v>
      </c>
      <c r="H370">
        <f t="shared" si="5"/>
        <v>0</v>
      </c>
      <c r="I370">
        <v>5</v>
      </c>
    </row>
    <row r="371" spans="1:9" ht="15.75" thickBot="1" x14ac:dyDescent="0.3">
      <c r="A371" s="1">
        <v>44197</v>
      </c>
      <c r="B371" t="s">
        <v>6</v>
      </c>
      <c r="C371" t="s">
        <v>7</v>
      </c>
      <c r="D371" t="s">
        <v>172</v>
      </c>
      <c r="E371" t="s">
        <v>14</v>
      </c>
      <c r="F371">
        <v>2796295.26</v>
      </c>
      <c r="G371" s="6">
        <v>4225592.4450000003</v>
      </c>
      <c r="H371">
        <f t="shared" si="5"/>
        <v>4225592.4450000003</v>
      </c>
      <c r="I371">
        <v>1264</v>
      </c>
    </row>
    <row r="372" spans="1:9" ht="15.75" thickBot="1" x14ac:dyDescent="0.3">
      <c r="A372" s="1">
        <v>44197</v>
      </c>
      <c r="B372" t="s">
        <v>6</v>
      </c>
      <c r="C372" t="s">
        <v>7</v>
      </c>
      <c r="D372" t="s">
        <v>172</v>
      </c>
      <c r="E372" t="s">
        <v>24</v>
      </c>
      <c r="F372">
        <v>1715374.5</v>
      </c>
      <c r="G372" s="6">
        <v>8345045.6569999997</v>
      </c>
      <c r="H372">
        <f t="shared" si="5"/>
        <v>8345045.6569999997</v>
      </c>
      <c r="I372">
        <v>592</v>
      </c>
    </row>
    <row r="373" spans="1:9" ht="15.75" thickBot="1" x14ac:dyDescent="0.3">
      <c r="A373" s="1">
        <v>44197</v>
      </c>
      <c r="B373" t="s">
        <v>6</v>
      </c>
      <c r="C373" t="s">
        <v>7</v>
      </c>
      <c r="D373" t="s">
        <v>172</v>
      </c>
      <c r="E373" t="s">
        <v>12</v>
      </c>
      <c r="F373">
        <v>25169539.02</v>
      </c>
      <c r="G373" s="6">
        <v>2011893304.829</v>
      </c>
      <c r="H373">
        <f t="shared" si="5"/>
        <v>2011893.304829</v>
      </c>
      <c r="I373">
        <v>97310</v>
      </c>
    </row>
    <row r="374" spans="1:9" ht="15.75" thickBot="1" x14ac:dyDescent="0.3">
      <c r="A374" s="1">
        <v>44197</v>
      </c>
      <c r="B374" t="s">
        <v>6</v>
      </c>
      <c r="C374" t="s">
        <v>7</v>
      </c>
      <c r="D374" t="s">
        <v>172</v>
      </c>
      <c r="E374" t="s">
        <v>15</v>
      </c>
      <c r="F374">
        <v>1341871.3899999999</v>
      </c>
      <c r="G374" s="6">
        <v>83707.58</v>
      </c>
      <c r="H374">
        <f t="shared" si="5"/>
        <v>83707.58</v>
      </c>
      <c r="I374">
        <v>616</v>
      </c>
    </row>
    <row r="375" spans="1:9" ht="15.75" thickBot="1" x14ac:dyDescent="0.3">
      <c r="A375" s="1">
        <v>44197</v>
      </c>
      <c r="B375" t="s">
        <v>6</v>
      </c>
      <c r="C375" t="s">
        <v>7</v>
      </c>
      <c r="D375" t="s">
        <v>172</v>
      </c>
      <c r="E375" t="s">
        <v>9</v>
      </c>
      <c r="F375">
        <v>1522282.19</v>
      </c>
      <c r="G375" s="6">
        <v>14633496.209000001</v>
      </c>
      <c r="H375">
        <f t="shared" si="5"/>
        <v>14633496.209000001</v>
      </c>
      <c r="I375">
        <v>1549</v>
      </c>
    </row>
    <row r="376" spans="1:9" ht="15.75" thickBot="1" x14ac:dyDescent="0.3">
      <c r="A376" s="1">
        <v>44197</v>
      </c>
      <c r="B376" t="s">
        <v>6</v>
      </c>
      <c r="C376" t="s">
        <v>7</v>
      </c>
      <c r="D376" t="s">
        <v>172</v>
      </c>
      <c r="E376" t="s">
        <v>17</v>
      </c>
      <c r="F376">
        <v>452059.87</v>
      </c>
      <c r="G376" s="6">
        <v>11978704.238</v>
      </c>
      <c r="H376">
        <f t="shared" si="5"/>
        <v>11978704.238</v>
      </c>
      <c r="I376">
        <v>639</v>
      </c>
    </row>
    <row r="377" spans="1:9" ht="15.75" thickBot="1" x14ac:dyDescent="0.3">
      <c r="A377" s="1">
        <v>44197</v>
      </c>
      <c r="B377" t="s">
        <v>6</v>
      </c>
      <c r="C377" t="s">
        <v>7</v>
      </c>
      <c r="D377" t="s">
        <v>173</v>
      </c>
      <c r="E377" t="s">
        <v>24</v>
      </c>
      <c r="F377">
        <v>2616.2399999999998</v>
      </c>
      <c r="G377" s="3">
        <v>90</v>
      </c>
      <c r="H377">
        <f t="shared" si="5"/>
        <v>90</v>
      </c>
      <c r="I377">
        <v>3</v>
      </c>
    </row>
    <row r="378" spans="1:9" ht="15.75" thickBot="1" x14ac:dyDescent="0.3">
      <c r="A378" s="1">
        <v>44197</v>
      </c>
      <c r="B378" t="s">
        <v>6</v>
      </c>
      <c r="C378" t="s">
        <v>7</v>
      </c>
      <c r="D378" t="s">
        <v>173</v>
      </c>
      <c r="E378" t="s">
        <v>12</v>
      </c>
      <c r="F378">
        <v>139.91999999999999</v>
      </c>
      <c r="G378" s="5">
        <v>2677.5</v>
      </c>
      <c r="H378">
        <f t="shared" si="5"/>
        <v>2.6775000000000002</v>
      </c>
      <c r="I378">
        <v>1</v>
      </c>
    </row>
    <row r="379" spans="1:9" ht="15.75" thickBot="1" x14ac:dyDescent="0.3">
      <c r="A379" s="1">
        <v>44197</v>
      </c>
      <c r="B379" t="s">
        <v>6</v>
      </c>
      <c r="C379" t="s">
        <v>7</v>
      </c>
      <c r="D379" t="s">
        <v>174</v>
      </c>
      <c r="E379" t="s">
        <v>14</v>
      </c>
      <c r="F379">
        <v>809.8</v>
      </c>
      <c r="G379" s="3">
        <v>15</v>
      </c>
      <c r="H379">
        <f t="shared" si="5"/>
        <v>15</v>
      </c>
      <c r="I379">
        <v>1</v>
      </c>
    </row>
    <row r="380" spans="1:9" ht="15.75" thickBot="1" x14ac:dyDescent="0.3">
      <c r="A380" s="1">
        <v>44197</v>
      </c>
      <c r="B380" t="s">
        <v>6</v>
      </c>
      <c r="C380" t="s">
        <v>7</v>
      </c>
      <c r="D380" t="s">
        <v>174</v>
      </c>
      <c r="E380" t="s">
        <v>12</v>
      </c>
      <c r="F380">
        <v>1677.13</v>
      </c>
      <c r="G380" s="5">
        <v>48000</v>
      </c>
      <c r="H380">
        <f t="shared" si="5"/>
        <v>48</v>
      </c>
      <c r="I380">
        <v>1</v>
      </c>
    </row>
    <row r="381" spans="1:9" ht="15.75" thickBot="1" x14ac:dyDescent="0.3">
      <c r="A381" s="1">
        <v>44197</v>
      </c>
      <c r="B381" t="s">
        <v>6</v>
      </c>
      <c r="C381" t="s">
        <v>7</v>
      </c>
      <c r="D381" t="s">
        <v>175</v>
      </c>
      <c r="E381" t="s">
        <v>9</v>
      </c>
      <c r="F381">
        <v>836.04</v>
      </c>
      <c r="G381" s="5">
        <v>27000</v>
      </c>
      <c r="H381">
        <f t="shared" si="5"/>
        <v>27000</v>
      </c>
      <c r="I381">
        <v>1</v>
      </c>
    </row>
    <row r="382" spans="1:9" ht="15.75" thickBot="1" x14ac:dyDescent="0.3">
      <c r="A382" s="1">
        <v>44197</v>
      </c>
      <c r="B382" t="s">
        <v>6</v>
      </c>
      <c r="C382" t="s">
        <v>7</v>
      </c>
      <c r="D382" t="s">
        <v>176</v>
      </c>
      <c r="E382" t="s">
        <v>14</v>
      </c>
      <c r="F382">
        <v>511.16</v>
      </c>
      <c r="G382" s="3">
        <v>13</v>
      </c>
      <c r="H382">
        <f t="shared" si="5"/>
        <v>13</v>
      </c>
      <c r="I382">
        <v>1</v>
      </c>
    </row>
    <row r="383" spans="1:9" ht="15.75" thickBot="1" x14ac:dyDescent="0.3">
      <c r="A383" s="1">
        <v>44197</v>
      </c>
      <c r="B383" t="s">
        <v>6</v>
      </c>
      <c r="C383" t="s">
        <v>7</v>
      </c>
      <c r="D383" t="s">
        <v>177</v>
      </c>
      <c r="E383" t="s">
        <v>12</v>
      </c>
      <c r="F383">
        <v>13247.28</v>
      </c>
      <c r="G383" s="3">
        <v>279</v>
      </c>
      <c r="H383">
        <f t="shared" si="5"/>
        <v>0.27900000000000003</v>
      </c>
      <c r="I383">
        <v>1</v>
      </c>
    </row>
    <row r="384" spans="1:9" ht="15.75" thickBot="1" x14ac:dyDescent="0.3">
      <c r="A384" s="1">
        <v>44197</v>
      </c>
      <c r="B384" t="s">
        <v>6</v>
      </c>
      <c r="C384" t="s">
        <v>7</v>
      </c>
      <c r="D384" t="s">
        <v>178</v>
      </c>
      <c r="E384" t="s">
        <v>12</v>
      </c>
      <c r="F384">
        <v>81.569999999999993</v>
      </c>
      <c r="G384" s="4">
        <v>0</v>
      </c>
      <c r="H384">
        <f t="shared" si="5"/>
        <v>0</v>
      </c>
      <c r="I384">
        <v>1</v>
      </c>
    </row>
    <row r="385" spans="1:9" ht="15.75" thickBot="1" x14ac:dyDescent="0.3">
      <c r="A385" s="1">
        <v>44197</v>
      </c>
      <c r="B385" t="s">
        <v>6</v>
      </c>
      <c r="C385" t="s">
        <v>7</v>
      </c>
      <c r="D385" t="s">
        <v>178</v>
      </c>
      <c r="E385" t="s">
        <v>9</v>
      </c>
      <c r="F385">
        <v>81.569999999999993</v>
      </c>
      <c r="G385" s="4">
        <v>0</v>
      </c>
      <c r="H385">
        <f t="shared" si="5"/>
        <v>0</v>
      </c>
      <c r="I385">
        <v>1</v>
      </c>
    </row>
    <row r="386" spans="1:9" ht="15.75" thickBot="1" x14ac:dyDescent="0.3">
      <c r="A386" s="1">
        <v>44197</v>
      </c>
      <c r="B386" t="s">
        <v>6</v>
      </c>
      <c r="C386" t="s">
        <v>7</v>
      </c>
      <c r="D386" t="s">
        <v>179</v>
      </c>
      <c r="E386" t="s">
        <v>12</v>
      </c>
      <c r="F386">
        <v>321.89999999999998</v>
      </c>
      <c r="G386" s="5">
        <v>12000</v>
      </c>
      <c r="H386">
        <f t="shared" si="5"/>
        <v>12</v>
      </c>
      <c r="I386">
        <v>2</v>
      </c>
    </row>
    <row r="387" spans="1:9" ht="15.75" thickBot="1" x14ac:dyDescent="0.3">
      <c r="A387" s="1">
        <v>44197</v>
      </c>
      <c r="B387" t="s">
        <v>6</v>
      </c>
      <c r="C387" t="s">
        <v>7</v>
      </c>
      <c r="D387" t="s">
        <v>179</v>
      </c>
      <c r="E387" t="s">
        <v>9</v>
      </c>
      <c r="F387">
        <v>81.569999999999993</v>
      </c>
      <c r="G387" s="4">
        <v>0</v>
      </c>
      <c r="H387">
        <f t="shared" ref="H387:H450" si="6">IF(ISNUMBER(SEARCH("Domestic customer", E387)),G387/1000,G387)</f>
        <v>0</v>
      </c>
      <c r="I387">
        <v>1</v>
      </c>
    </row>
    <row r="388" spans="1:9" ht="15.75" thickBot="1" x14ac:dyDescent="0.3">
      <c r="A388" s="1">
        <v>44197</v>
      </c>
      <c r="B388" t="s">
        <v>6</v>
      </c>
      <c r="C388" t="s">
        <v>7</v>
      </c>
      <c r="D388" t="s">
        <v>180</v>
      </c>
      <c r="E388" t="s">
        <v>14</v>
      </c>
      <c r="F388">
        <v>870.88</v>
      </c>
      <c r="G388" s="3">
        <v>9</v>
      </c>
      <c r="H388">
        <f t="shared" si="6"/>
        <v>9</v>
      </c>
      <c r="I388">
        <v>1</v>
      </c>
    </row>
    <row r="389" spans="1:9" ht="15.75" thickBot="1" x14ac:dyDescent="0.3">
      <c r="A389" s="1">
        <v>44197</v>
      </c>
      <c r="B389" t="s">
        <v>6</v>
      </c>
      <c r="C389" t="s">
        <v>7</v>
      </c>
      <c r="D389" t="s">
        <v>180</v>
      </c>
      <c r="E389" t="s">
        <v>24</v>
      </c>
      <c r="F389">
        <v>4547.4399999999996</v>
      </c>
      <c r="G389" s="3">
        <v>42</v>
      </c>
      <c r="H389">
        <f t="shared" si="6"/>
        <v>42</v>
      </c>
      <c r="I389">
        <v>1</v>
      </c>
    </row>
    <row r="390" spans="1:9" ht="15.75" thickBot="1" x14ac:dyDescent="0.3">
      <c r="A390" s="1">
        <v>44197</v>
      </c>
      <c r="B390" t="s">
        <v>6</v>
      </c>
      <c r="C390" t="s">
        <v>7</v>
      </c>
      <c r="D390" t="s">
        <v>180</v>
      </c>
      <c r="E390" t="s">
        <v>12</v>
      </c>
      <c r="F390">
        <v>1676.14</v>
      </c>
      <c r="G390" s="5">
        <v>21000</v>
      </c>
      <c r="H390">
        <f t="shared" si="6"/>
        <v>21</v>
      </c>
      <c r="I390">
        <v>4</v>
      </c>
    </row>
    <row r="391" spans="1:9" ht="15.75" thickBot="1" x14ac:dyDescent="0.3">
      <c r="A391" s="1">
        <v>44197</v>
      </c>
      <c r="B391" t="s">
        <v>6</v>
      </c>
      <c r="C391" t="s">
        <v>7</v>
      </c>
      <c r="D391" t="s">
        <v>180</v>
      </c>
      <c r="E391" t="s">
        <v>9</v>
      </c>
      <c r="F391">
        <v>163.13999999999999</v>
      </c>
      <c r="G391" s="4">
        <v>0</v>
      </c>
      <c r="H391">
        <f t="shared" si="6"/>
        <v>0</v>
      </c>
      <c r="I391">
        <v>2</v>
      </c>
    </row>
    <row r="392" spans="1:9" ht="15.75" thickBot="1" x14ac:dyDescent="0.3">
      <c r="A392" s="1">
        <v>44197</v>
      </c>
      <c r="B392" t="s">
        <v>6</v>
      </c>
      <c r="C392" t="s">
        <v>7</v>
      </c>
      <c r="D392" t="s">
        <v>181</v>
      </c>
      <c r="E392" t="s">
        <v>14</v>
      </c>
      <c r="F392">
        <v>400</v>
      </c>
      <c r="G392" s="3">
        <v>0</v>
      </c>
      <c r="H392">
        <f t="shared" si="6"/>
        <v>0</v>
      </c>
      <c r="I392">
        <v>1</v>
      </c>
    </row>
    <row r="393" spans="1:9" ht="15.75" thickBot="1" x14ac:dyDescent="0.3">
      <c r="A393" s="1">
        <v>44197</v>
      </c>
      <c r="B393" t="s">
        <v>6</v>
      </c>
      <c r="C393" t="s">
        <v>7</v>
      </c>
      <c r="D393" t="s">
        <v>181</v>
      </c>
      <c r="E393" t="s">
        <v>12</v>
      </c>
      <c r="F393">
        <v>9887.08</v>
      </c>
      <c r="G393" s="5">
        <v>382000</v>
      </c>
      <c r="H393">
        <f t="shared" si="6"/>
        <v>382</v>
      </c>
      <c r="I393">
        <v>3</v>
      </c>
    </row>
    <row r="394" spans="1:9" ht="15.75" thickBot="1" x14ac:dyDescent="0.3">
      <c r="A394" s="1">
        <v>44197</v>
      </c>
      <c r="B394" t="s">
        <v>6</v>
      </c>
      <c r="C394" t="s">
        <v>7</v>
      </c>
      <c r="D394" t="s">
        <v>182</v>
      </c>
      <c r="E394" t="s">
        <v>12</v>
      </c>
      <c r="F394">
        <v>188.41</v>
      </c>
      <c r="G394" s="5">
        <v>21831.688999999998</v>
      </c>
      <c r="H394">
        <f t="shared" si="6"/>
        <v>21.831688999999997</v>
      </c>
      <c r="I394">
        <v>2</v>
      </c>
    </row>
    <row r="395" spans="1:9" ht="15.75" thickBot="1" x14ac:dyDescent="0.3">
      <c r="A395" s="1">
        <v>44197</v>
      </c>
      <c r="B395" t="s">
        <v>6</v>
      </c>
      <c r="C395" t="s">
        <v>7</v>
      </c>
      <c r="D395" t="s">
        <v>183</v>
      </c>
      <c r="E395" t="s">
        <v>12</v>
      </c>
      <c r="F395">
        <v>81.569999999999993</v>
      </c>
      <c r="G395" s="4">
        <v>0</v>
      </c>
      <c r="H395">
        <f t="shared" si="6"/>
        <v>0</v>
      </c>
      <c r="I395">
        <v>1</v>
      </c>
    </row>
    <row r="396" spans="1:9" ht="15.75" thickBot="1" x14ac:dyDescent="0.3">
      <c r="A396" s="1">
        <v>44197</v>
      </c>
      <c r="B396" t="s">
        <v>6</v>
      </c>
      <c r="C396" t="s">
        <v>7</v>
      </c>
      <c r="D396" t="s">
        <v>183</v>
      </c>
      <c r="E396" t="s">
        <v>9</v>
      </c>
      <c r="F396">
        <v>244.71</v>
      </c>
      <c r="G396" s="4">
        <v>0</v>
      </c>
      <c r="H396">
        <f t="shared" si="6"/>
        <v>0</v>
      </c>
      <c r="I396">
        <v>3</v>
      </c>
    </row>
    <row r="397" spans="1:9" ht="15.75" thickBot="1" x14ac:dyDescent="0.3">
      <c r="A397" s="1">
        <v>44197</v>
      </c>
      <c r="B397" t="s">
        <v>6</v>
      </c>
      <c r="C397" t="s">
        <v>7</v>
      </c>
      <c r="D397" t="s">
        <v>183</v>
      </c>
      <c r="E397" t="s">
        <v>17</v>
      </c>
      <c r="F397">
        <v>2508.11</v>
      </c>
      <c r="G397" s="5">
        <v>32303.25</v>
      </c>
      <c r="H397">
        <f t="shared" si="6"/>
        <v>32303.25</v>
      </c>
      <c r="I397">
        <v>2</v>
      </c>
    </row>
    <row r="398" spans="1:9" ht="15.75" thickBot="1" x14ac:dyDescent="0.3">
      <c r="A398" s="1">
        <v>44197</v>
      </c>
      <c r="B398" t="s">
        <v>6</v>
      </c>
      <c r="C398" t="s">
        <v>7</v>
      </c>
      <c r="D398" t="s">
        <v>184</v>
      </c>
      <c r="E398" t="s">
        <v>14</v>
      </c>
      <c r="F398">
        <v>5560.88</v>
      </c>
      <c r="G398" s="3">
        <v>134</v>
      </c>
      <c r="H398">
        <f t="shared" si="6"/>
        <v>134</v>
      </c>
      <c r="I398">
        <v>1</v>
      </c>
    </row>
    <row r="399" spans="1:9" ht="15.75" thickBot="1" x14ac:dyDescent="0.3">
      <c r="A399" s="1">
        <v>44197</v>
      </c>
      <c r="B399" t="s">
        <v>6</v>
      </c>
      <c r="C399" t="s">
        <v>7</v>
      </c>
      <c r="D399" t="s">
        <v>184</v>
      </c>
      <c r="E399" t="s">
        <v>12</v>
      </c>
      <c r="F399">
        <v>26881.17</v>
      </c>
      <c r="G399" s="5">
        <v>1178054.0549999999</v>
      </c>
      <c r="H399">
        <f t="shared" si="6"/>
        <v>1178.0540549999998</v>
      </c>
      <c r="I399">
        <v>31</v>
      </c>
    </row>
    <row r="400" spans="1:9" ht="15.75" thickBot="1" x14ac:dyDescent="0.3">
      <c r="A400" s="1">
        <v>44197</v>
      </c>
      <c r="B400" t="s">
        <v>6</v>
      </c>
      <c r="C400" t="s">
        <v>7</v>
      </c>
      <c r="D400" t="s">
        <v>184</v>
      </c>
      <c r="E400" t="s">
        <v>15</v>
      </c>
      <c r="F400">
        <v>28828.44</v>
      </c>
      <c r="G400" s="3">
        <v>842</v>
      </c>
      <c r="H400">
        <f t="shared" si="6"/>
        <v>842</v>
      </c>
      <c r="I400">
        <v>1</v>
      </c>
    </row>
    <row r="401" spans="1:9" ht="15.75" thickBot="1" x14ac:dyDescent="0.3">
      <c r="A401" s="1">
        <v>44197</v>
      </c>
      <c r="B401" t="s">
        <v>6</v>
      </c>
      <c r="C401" t="s">
        <v>7</v>
      </c>
      <c r="D401" t="s">
        <v>184</v>
      </c>
      <c r="E401" t="s">
        <v>9</v>
      </c>
      <c r="F401">
        <v>14122.36</v>
      </c>
      <c r="G401" s="6">
        <v>74268.479000000007</v>
      </c>
      <c r="H401">
        <f t="shared" si="6"/>
        <v>74268.479000000007</v>
      </c>
      <c r="I401">
        <v>12</v>
      </c>
    </row>
    <row r="402" spans="1:9" ht="15.75" thickBot="1" x14ac:dyDescent="0.3">
      <c r="A402" s="1">
        <v>44197</v>
      </c>
      <c r="B402" t="s">
        <v>6</v>
      </c>
      <c r="C402" t="s">
        <v>7</v>
      </c>
      <c r="D402" t="s">
        <v>185</v>
      </c>
      <c r="E402" t="s">
        <v>12</v>
      </c>
      <c r="F402">
        <v>1268.82</v>
      </c>
      <c r="G402" s="5">
        <v>57000</v>
      </c>
      <c r="H402">
        <f t="shared" si="6"/>
        <v>57</v>
      </c>
      <c r="I402">
        <v>4</v>
      </c>
    </row>
    <row r="403" spans="1:9" ht="15.75" thickBot="1" x14ac:dyDescent="0.3">
      <c r="A403" s="1">
        <v>44197</v>
      </c>
      <c r="B403" t="s">
        <v>6</v>
      </c>
      <c r="C403" t="s">
        <v>7</v>
      </c>
      <c r="D403" t="s">
        <v>185</v>
      </c>
      <c r="E403" t="s">
        <v>9</v>
      </c>
      <c r="F403">
        <v>163.13999999999999</v>
      </c>
      <c r="G403" s="4">
        <v>0</v>
      </c>
      <c r="H403">
        <f t="shared" si="6"/>
        <v>0</v>
      </c>
      <c r="I403">
        <v>2</v>
      </c>
    </row>
    <row r="404" spans="1:9" ht="15.75" thickBot="1" x14ac:dyDescent="0.3">
      <c r="A404" s="1">
        <v>44197</v>
      </c>
      <c r="B404" t="s">
        <v>6</v>
      </c>
      <c r="C404" t="s">
        <v>7</v>
      </c>
      <c r="D404" t="s">
        <v>186</v>
      </c>
      <c r="E404" t="s">
        <v>14</v>
      </c>
      <c r="F404">
        <v>23020.19</v>
      </c>
      <c r="G404" s="3">
        <v>660</v>
      </c>
      <c r="H404">
        <f t="shared" si="6"/>
        <v>660</v>
      </c>
      <c r="I404">
        <v>1</v>
      </c>
    </row>
    <row r="405" spans="1:9" ht="15.75" thickBot="1" x14ac:dyDescent="0.3">
      <c r="A405" s="1">
        <v>44197</v>
      </c>
      <c r="B405" t="s">
        <v>6</v>
      </c>
      <c r="C405" t="s">
        <v>7</v>
      </c>
      <c r="D405" t="s">
        <v>186</v>
      </c>
      <c r="E405" t="s">
        <v>15</v>
      </c>
      <c r="F405">
        <v>2018.32</v>
      </c>
      <c r="G405" s="3">
        <v>51</v>
      </c>
      <c r="H405">
        <f t="shared" si="6"/>
        <v>51</v>
      </c>
      <c r="I405">
        <v>1</v>
      </c>
    </row>
    <row r="406" spans="1:9" ht="15.75" thickBot="1" x14ac:dyDescent="0.3">
      <c r="A406" s="1">
        <v>44197</v>
      </c>
      <c r="B406" t="s">
        <v>6</v>
      </c>
      <c r="C406" t="s">
        <v>7</v>
      </c>
      <c r="D406" t="s">
        <v>186</v>
      </c>
      <c r="E406" t="s">
        <v>9</v>
      </c>
      <c r="F406">
        <v>81.569999999999993</v>
      </c>
      <c r="G406" s="4">
        <v>0</v>
      </c>
      <c r="H406">
        <f t="shared" si="6"/>
        <v>0</v>
      </c>
      <c r="I406">
        <v>1</v>
      </c>
    </row>
    <row r="407" spans="1:9" ht="15.75" thickBot="1" x14ac:dyDescent="0.3">
      <c r="A407" s="1">
        <v>44197</v>
      </c>
      <c r="B407" t="s">
        <v>6</v>
      </c>
      <c r="C407" t="s">
        <v>7</v>
      </c>
      <c r="D407" t="s">
        <v>187</v>
      </c>
      <c r="E407" t="s">
        <v>24</v>
      </c>
      <c r="F407">
        <v>1854.86</v>
      </c>
      <c r="G407" s="3">
        <v>53</v>
      </c>
      <c r="H407">
        <f t="shared" si="6"/>
        <v>53</v>
      </c>
      <c r="I407">
        <v>1</v>
      </c>
    </row>
    <row r="408" spans="1:9" ht="15.75" thickBot="1" x14ac:dyDescent="0.3">
      <c r="A408" s="1">
        <v>44197</v>
      </c>
      <c r="B408" t="s">
        <v>6</v>
      </c>
      <c r="C408" t="s">
        <v>7</v>
      </c>
      <c r="D408" t="s">
        <v>187</v>
      </c>
      <c r="E408" t="s">
        <v>12</v>
      </c>
      <c r="F408">
        <v>5316.69</v>
      </c>
      <c r="G408" s="5">
        <v>145040.75399999999</v>
      </c>
      <c r="H408">
        <f t="shared" si="6"/>
        <v>145.04075399999999</v>
      </c>
      <c r="I408">
        <v>25</v>
      </c>
    </row>
    <row r="409" spans="1:9" ht="15.75" thickBot="1" x14ac:dyDescent="0.3">
      <c r="A409" s="1">
        <v>44197</v>
      </c>
      <c r="B409" t="s">
        <v>6</v>
      </c>
      <c r="C409" t="s">
        <v>7</v>
      </c>
      <c r="D409" t="s">
        <v>187</v>
      </c>
      <c r="E409" t="s">
        <v>9</v>
      </c>
      <c r="F409">
        <v>648.53</v>
      </c>
      <c r="G409" s="5">
        <v>35000</v>
      </c>
      <c r="H409">
        <f t="shared" si="6"/>
        <v>35000</v>
      </c>
      <c r="I409">
        <v>4</v>
      </c>
    </row>
    <row r="410" spans="1:9" ht="15.75" thickBot="1" x14ac:dyDescent="0.3">
      <c r="A410" s="1">
        <v>44197</v>
      </c>
      <c r="B410" t="s">
        <v>6</v>
      </c>
      <c r="C410" t="s">
        <v>7</v>
      </c>
      <c r="D410" t="s">
        <v>187</v>
      </c>
      <c r="E410" t="s">
        <v>17</v>
      </c>
      <c r="F410">
        <v>152.47999999999999</v>
      </c>
      <c r="G410" s="5">
        <v>1000</v>
      </c>
      <c r="H410">
        <f t="shared" si="6"/>
        <v>1000</v>
      </c>
      <c r="I410">
        <v>2</v>
      </c>
    </row>
    <row r="411" spans="1:9" ht="15.75" thickBot="1" x14ac:dyDescent="0.3">
      <c r="A411" s="1">
        <v>44197</v>
      </c>
      <c r="B411" t="s">
        <v>6</v>
      </c>
      <c r="C411" t="s">
        <v>7</v>
      </c>
      <c r="D411" t="s">
        <v>188</v>
      </c>
      <c r="E411" t="s">
        <v>12</v>
      </c>
      <c r="F411">
        <v>6141852.4500000002</v>
      </c>
      <c r="G411" s="5">
        <v>102870212.33499999</v>
      </c>
      <c r="H411">
        <f t="shared" si="6"/>
        <v>102870.21233499999</v>
      </c>
      <c r="I411">
        <v>522</v>
      </c>
    </row>
    <row r="412" spans="1:9" ht="15.75" thickBot="1" x14ac:dyDescent="0.3">
      <c r="A412" s="1">
        <v>44197</v>
      </c>
      <c r="B412" t="s">
        <v>6</v>
      </c>
      <c r="C412" t="s">
        <v>7</v>
      </c>
      <c r="D412" t="s">
        <v>188</v>
      </c>
      <c r="E412" t="s">
        <v>9</v>
      </c>
      <c r="F412">
        <v>81.569999999999993</v>
      </c>
      <c r="G412" s="4">
        <v>0</v>
      </c>
      <c r="H412">
        <f t="shared" si="6"/>
        <v>0</v>
      </c>
      <c r="I412">
        <v>1</v>
      </c>
    </row>
    <row r="413" spans="1:9" ht="15.75" thickBot="1" x14ac:dyDescent="0.3">
      <c r="A413" s="1">
        <v>44197</v>
      </c>
      <c r="B413" t="s">
        <v>6</v>
      </c>
      <c r="C413" t="s">
        <v>7</v>
      </c>
      <c r="D413" t="s">
        <v>189</v>
      </c>
      <c r="E413" t="s">
        <v>24</v>
      </c>
      <c r="F413">
        <v>3414.72</v>
      </c>
      <c r="G413" s="3">
        <v>4</v>
      </c>
      <c r="H413">
        <f t="shared" si="6"/>
        <v>4</v>
      </c>
      <c r="I413">
        <v>2</v>
      </c>
    </row>
    <row r="414" spans="1:9" ht="15.75" thickBot="1" x14ac:dyDescent="0.3">
      <c r="A414" s="1">
        <v>44197</v>
      </c>
      <c r="B414" t="s">
        <v>6</v>
      </c>
      <c r="C414" t="s">
        <v>7</v>
      </c>
      <c r="D414" t="s">
        <v>189</v>
      </c>
      <c r="E414" t="s">
        <v>12</v>
      </c>
      <c r="F414">
        <v>54815.11</v>
      </c>
      <c r="G414" s="6">
        <v>12653418.07</v>
      </c>
      <c r="H414">
        <f t="shared" si="6"/>
        <v>12653.41807</v>
      </c>
      <c r="I414">
        <v>1406</v>
      </c>
    </row>
    <row r="415" spans="1:9" ht="15.75" thickBot="1" x14ac:dyDescent="0.3">
      <c r="A415" s="1">
        <v>44197</v>
      </c>
      <c r="B415" t="s">
        <v>6</v>
      </c>
      <c r="C415" t="s">
        <v>7</v>
      </c>
      <c r="D415" t="s">
        <v>189</v>
      </c>
      <c r="E415" t="s">
        <v>9</v>
      </c>
      <c r="F415">
        <v>13762.86</v>
      </c>
      <c r="G415" s="6">
        <v>1915605.541</v>
      </c>
      <c r="H415">
        <f t="shared" si="6"/>
        <v>1915605.541</v>
      </c>
      <c r="I415">
        <v>289</v>
      </c>
    </row>
    <row r="416" spans="1:9" ht="15.75" thickBot="1" x14ac:dyDescent="0.3">
      <c r="A416" s="1">
        <v>44197</v>
      </c>
      <c r="B416" t="s">
        <v>6</v>
      </c>
      <c r="C416" t="s">
        <v>7</v>
      </c>
      <c r="D416" t="s">
        <v>189</v>
      </c>
      <c r="E416" t="s">
        <v>17</v>
      </c>
      <c r="F416">
        <v>0</v>
      </c>
      <c r="G416" s="5">
        <v>9000</v>
      </c>
      <c r="H416">
        <f t="shared" si="6"/>
        <v>9000</v>
      </c>
      <c r="I416">
        <v>2</v>
      </c>
    </row>
    <row r="417" spans="1:9" ht="15.75" thickBot="1" x14ac:dyDescent="0.3">
      <c r="A417" s="1">
        <v>44197</v>
      </c>
      <c r="B417" t="s">
        <v>6</v>
      </c>
      <c r="C417" t="s">
        <v>7</v>
      </c>
      <c r="D417" t="s">
        <v>190</v>
      </c>
      <c r="E417" t="s">
        <v>24</v>
      </c>
      <c r="F417">
        <v>100</v>
      </c>
      <c r="G417" s="3">
        <v>0</v>
      </c>
      <c r="H417">
        <f t="shared" si="6"/>
        <v>0</v>
      </c>
      <c r="I417">
        <v>1</v>
      </c>
    </row>
    <row r="418" spans="1:9" ht="15.75" thickBot="1" x14ac:dyDescent="0.3">
      <c r="A418" s="1">
        <v>44197</v>
      </c>
      <c r="B418" t="s">
        <v>6</v>
      </c>
      <c r="C418" t="s">
        <v>7</v>
      </c>
      <c r="D418" t="s">
        <v>191</v>
      </c>
      <c r="E418" t="s">
        <v>14</v>
      </c>
      <c r="F418">
        <v>1520.12</v>
      </c>
      <c r="G418" s="3">
        <v>41</v>
      </c>
      <c r="H418">
        <f t="shared" si="6"/>
        <v>41</v>
      </c>
      <c r="I418">
        <v>1</v>
      </c>
    </row>
    <row r="419" spans="1:9" ht="15.75" thickBot="1" x14ac:dyDescent="0.3">
      <c r="A419" s="1">
        <v>44197</v>
      </c>
      <c r="B419" t="s">
        <v>6</v>
      </c>
      <c r="C419" t="s">
        <v>7</v>
      </c>
      <c r="D419" t="s">
        <v>191</v>
      </c>
      <c r="E419" t="s">
        <v>12</v>
      </c>
      <c r="F419">
        <v>25223.16</v>
      </c>
      <c r="G419" s="5">
        <v>519280.8</v>
      </c>
      <c r="H419">
        <f t="shared" si="6"/>
        <v>519.2808</v>
      </c>
      <c r="I419">
        <v>15</v>
      </c>
    </row>
    <row r="420" spans="1:9" ht="15.75" thickBot="1" x14ac:dyDescent="0.3">
      <c r="A420" s="1">
        <v>44197</v>
      </c>
      <c r="B420" t="s">
        <v>6</v>
      </c>
      <c r="C420" t="s">
        <v>7</v>
      </c>
      <c r="D420" t="s">
        <v>191</v>
      </c>
      <c r="E420" t="s">
        <v>9</v>
      </c>
      <c r="F420">
        <v>1859.45</v>
      </c>
      <c r="G420" s="5">
        <v>37000</v>
      </c>
      <c r="H420">
        <f t="shared" si="6"/>
        <v>37000</v>
      </c>
      <c r="I420">
        <v>4</v>
      </c>
    </row>
    <row r="421" spans="1:9" ht="15.75" thickBot="1" x14ac:dyDescent="0.3">
      <c r="A421" s="1">
        <v>44197</v>
      </c>
      <c r="B421" t="s">
        <v>6</v>
      </c>
      <c r="C421" t="s">
        <v>7</v>
      </c>
      <c r="D421" t="s">
        <v>191</v>
      </c>
      <c r="E421" t="s">
        <v>17</v>
      </c>
      <c r="F421">
        <v>1543.23</v>
      </c>
      <c r="G421" s="5">
        <v>34695.550000000003</v>
      </c>
      <c r="H421">
        <f t="shared" si="6"/>
        <v>34695.550000000003</v>
      </c>
      <c r="I421">
        <v>2</v>
      </c>
    </row>
    <row r="422" spans="1:9" ht="15.75" thickBot="1" x14ac:dyDescent="0.3">
      <c r="A422" s="1">
        <v>44197</v>
      </c>
      <c r="B422" t="s">
        <v>6</v>
      </c>
      <c r="C422" t="s">
        <v>7</v>
      </c>
      <c r="D422" t="s">
        <v>192</v>
      </c>
      <c r="E422" t="s">
        <v>14</v>
      </c>
      <c r="F422">
        <v>1573975.48</v>
      </c>
      <c r="G422" s="6">
        <v>260868.639</v>
      </c>
      <c r="H422">
        <f t="shared" si="6"/>
        <v>260868.639</v>
      </c>
      <c r="I422">
        <v>759</v>
      </c>
    </row>
    <row r="423" spans="1:9" ht="15.75" thickBot="1" x14ac:dyDescent="0.3">
      <c r="A423" s="1">
        <v>44197</v>
      </c>
      <c r="B423" t="s">
        <v>6</v>
      </c>
      <c r="C423" t="s">
        <v>7</v>
      </c>
      <c r="D423" t="s">
        <v>192</v>
      </c>
      <c r="E423" t="s">
        <v>24</v>
      </c>
      <c r="F423">
        <v>7429432.6299999999</v>
      </c>
      <c r="G423" s="6">
        <v>102815633.616</v>
      </c>
      <c r="H423">
        <f t="shared" si="6"/>
        <v>102815633.616</v>
      </c>
      <c r="I423">
        <v>1940</v>
      </c>
    </row>
    <row r="424" spans="1:9" ht="15.75" thickBot="1" x14ac:dyDescent="0.3">
      <c r="A424" s="1">
        <v>44197</v>
      </c>
      <c r="B424" t="s">
        <v>6</v>
      </c>
      <c r="C424" t="s">
        <v>7</v>
      </c>
      <c r="D424" t="s">
        <v>192</v>
      </c>
      <c r="E424" t="s">
        <v>12</v>
      </c>
      <c r="F424">
        <v>21498614.359999999</v>
      </c>
      <c r="G424" s="6">
        <v>786725326.62699997</v>
      </c>
      <c r="H424">
        <f t="shared" si="6"/>
        <v>786725.326627</v>
      </c>
      <c r="I424">
        <v>80632</v>
      </c>
    </row>
    <row r="425" spans="1:9" ht="15.75" thickBot="1" x14ac:dyDescent="0.3">
      <c r="A425" s="1">
        <v>44197</v>
      </c>
      <c r="B425" t="s">
        <v>6</v>
      </c>
      <c r="C425" t="s">
        <v>7</v>
      </c>
      <c r="D425" t="s">
        <v>192</v>
      </c>
      <c r="E425" t="s">
        <v>15</v>
      </c>
      <c r="F425">
        <v>975078.92</v>
      </c>
      <c r="G425" s="6">
        <v>4842380.5240000002</v>
      </c>
      <c r="H425">
        <f t="shared" si="6"/>
        <v>4842380.5240000002</v>
      </c>
      <c r="I425">
        <v>325</v>
      </c>
    </row>
    <row r="426" spans="1:9" ht="15.75" thickBot="1" x14ac:dyDescent="0.3">
      <c r="A426" s="1">
        <v>44197</v>
      </c>
      <c r="B426" t="s">
        <v>6</v>
      </c>
      <c r="C426" t="s">
        <v>7</v>
      </c>
      <c r="D426" t="s">
        <v>192</v>
      </c>
      <c r="E426" t="s">
        <v>9</v>
      </c>
      <c r="F426">
        <v>1932002.76</v>
      </c>
      <c r="G426" s="6">
        <v>1631522.1170000001</v>
      </c>
      <c r="H426">
        <f t="shared" si="6"/>
        <v>1631522.1170000001</v>
      </c>
      <c r="I426">
        <v>1370</v>
      </c>
    </row>
    <row r="427" spans="1:9" ht="15.75" thickBot="1" x14ac:dyDescent="0.3">
      <c r="A427" s="1">
        <v>44197</v>
      </c>
      <c r="B427" t="s">
        <v>6</v>
      </c>
      <c r="C427" t="s">
        <v>7</v>
      </c>
      <c r="D427" t="s">
        <v>192</v>
      </c>
      <c r="E427" t="s">
        <v>17</v>
      </c>
      <c r="F427">
        <v>175702.3</v>
      </c>
      <c r="G427" s="6">
        <v>5578211.3420000002</v>
      </c>
      <c r="H427">
        <f t="shared" si="6"/>
        <v>5578211.3420000002</v>
      </c>
      <c r="I427">
        <v>458</v>
      </c>
    </row>
    <row r="428" spans="1:9" ht="15.75" thickBot="1" x14ac:dyDescent="0.3">
      <c r="A428" s="1">
        <v>44197</v>
      </c>
      <c r="B428" t="s">
        <v>6</v>
      </c>
      <c r="C428" t="s">
        <v>7</v>
      </c>
      <c r="D428" t="s">
        <v>193</v>
      </c>
      <c r="E428" t="s">
        <v>14</v>
      </c>
      <c r="F428">
        <v>4373.28</v>
      </c>
      <c r="G428" s="3">
        <v>29</v>
      </c>
      <c r="H428">
        <f t="shared" si="6"/>
        <v>29</v>
      </c>
      <c r="I428">
        <v>5</v>
      </c>
    </row>
    <row r="429" spans="1:9" ht="15.75" thickBot="1" x14ac:dyDescent="0.3">
      <c r="A429" s="1">
        <v>44197</v>
      </c>
      <c r="B429" t="s">
        <v>6</v>
      </c>
      <c r="C429" t="s">
        <v>7</v>
      </c>
      <c r="D429" t="s">
        <v>194</v>
      </c>
      <c r="E429" t="s">
        <v>12</v>
      </c>
      <c r="F429">
        <v>491.43</v>
      </c>
      <c r="G429" s="5">
        <v>18000</v>
      </c>
      <c r="H429">
        <f t="shared" si="6"/>
        <v>18</v>
      </c>
      <c r="I429">
        <v>1</v>
      </c>
    </row>
    <row r="430" spans="1:9" ht="15.75" thickBot="1" x14ac:dyDescent="0.3">
      <c r="A430" s="1">
        <v>44197</v>
      </c>
      <c r="B430" t="s">
        <v>6</v>
      </c>
      <c r="C430" t="s">
        <v>7</v>
      </c>
      <c r="D430" t="s">
        <v>195</v>
      </c>
      <c r="E430" t="s">
        <v>14</v>
      </c>
      <c r="F430">
        <v>11351.5</v>
      </c>
      <c r="G430" s="6">
        <v>343171.777</v>
      </c>
      <c r="H430">
        <f t="shared" si="6"/>
        <v>343171.777</v>
      </c>
      <c r="I430">
        <v>3</v>
      </c>
    </row>
    <row r="431" spans="1:9" ht="15.75" thickBot="1" x14ac:dyDescent="0.3">
      <c r="A431" s="1">
        <v>44197</v>
      </c>
      <c r="B431" t="s">
        <v>6</v>
      </c>
      <c r="C431" t="s">
        <v>7</v>
      </c>
      <c r="D431" t="s">
        <v>195</v>
      </c>
      <c r="E431" t="s">
        <v>24</v>
      </c>
      <c r="F431">
        <v>276.10000000000002</v>
      </c>
      <c r="G431" s="5">
        <v>7000</v>
      </c>
      <c r="H431">
        <f t="shared" si="6"/>
        <v>7000</v>
      </c>
      <c r="I431">
        <v>1</v>
      </c>
    </row>
    <row r="432" spans="1:9" ht="15.75" thickBot="1" x14ac:dyDescent="0.3">
      <c r="A432" s="1">
        <v>44197</v>
      </c>
      <c r="B432" t="s">
        <v>6</v>
      </c>
      <c r="C432" t="s">
        <v>7</v>
      </c>
      <c r="D432" t="s">
        <v>195</v>
      </c>
      <c r="E432" t="s">
        <v>12</v>
      </c>
      <c r="F432">
        <v>50113.3</v>
      </c>
      <c r="G432" s="6">
        <v>1468963.534</v>
      </c>
      <c r="H432">
        <f t="shared" si="6"/>
        <v>1468.963534</v>
      </c>
      <c r="I432">
        <v>23</v>
      </c>
    </row>
    <row r="433" spans="1:9" ht="15.75" thickBot="1" x14ac:dyDescent="0.3">
      <c r="A433" s="1">
        <v>44197</v>
      </c>
      <c r="B433" t="s">
        <v>6</v>
      </c>
      <c r="C433" t="s">
        <v>7</v>
      </c>
      <c r="D433" t="s">
        <v>195</v>
      </c>
      <c r="E433" t="s">
        <v>9</v>
      </c>
      <c r="F433">
        <v>19353.759999999998</v>
      </c>
      <c r="G433" s="6">
        <v>53608</v>
      </c>
      <c r="H433">
        <f t="shared" si="6"/>
        <v>53608</v>
      </c>
      <c r="I433">
        <v>13</v>
      </c>
    </row>
    <row r="434" spans="1:9" ht="15.75" thickBot="1" x14ac:dyDescent="0.3">
      <c r="A434" s="1">
        <v>44197</v>
      </c>
      <c r="B434" t="s">
        <v>6</v>
      </c>
      <c r="C434" t="s">
        <v>7</v>
      </c>
      <c r="D434" t="s">
        <v>195</v>
      </c>
      <c r="E434" t="s">
        <v>17</v>
      </c>
      <c r="F434">
        <v>2954.38</v>
      </c>
      <c r="G434" s="5">
        <v>64000</v>
      </c>
      <c r="H434">
        <f t="shared" si="6"/>
        <v>64000</v>
      </c>
      <c r="I434">
        <v>1</v>
      </c>
    </row>
    <row r="435" spans="1:9" ht="15.75" thickBot="1" x14ac:dyDescent="0.3">
      <c r="A435" s="1">
        <v>44197</v>
      </c>
      <c r="B435" t="s">
        <v>6</v>
      </c>
      <c r="C435" t="s">
        <v>7</v>
      </c>
      <c r="D435" t="s">
        <v>196</v>
      </c>
      <c r="E435" t="s">
        <v>14</v>
      </c>
      <c r="F435">
        <v>3299.16</v>
      </c>
      <c r="G435" s="3">
        <v>113</v>
      </c>
      <c r="H435">
        <f t="shared" si="6"/>
        <v>113</v>
      </c>
      <c r="I435">
        <v>2</v>
      </c>
    </row>
    <row r="436" spans="1:9" ht="15.75" thickBot="1" x14ac:dyDescent="0.3">
      <c r="A436" s="1">
        <v>44197</v>
      </c>
      <c r="B436" t="s">
        <v>6</v>
      </c>
      <c r="C436" t="s">
        <v>7</v>
      </c>
      <c r="D436" t="s">
        <v>196</v>
      </c>
      <c r="E436" t="s">
        <v>24</v>
      </c>
      <c r="F436">
        <v>81.569999999999993</v>
      </c>
      <c r="G436" s="4">
        <v>0</v>
      </c>
      <c r="H436">
        <f t="shared" si="6"/>
        <v>0</v>
      </c>
      <c r="I436">
        <v>1</v>
      </c>
    </row>
    <row r="437" spans="1:9" ht="15.75" thickBot="1" x14ac:dyDescent="0.3">
      <c r="A437" s="1">
        <v>44197</v>
      </c>
      <c r="B437" t="s">
        <v>6</v>
      </c>
      <c r="C437" t="s">
        <v>7</v>
      </c>
      <c r="D437" t="s">
        <v>196</v>
      </c>
      <c r="E437" t="s">
        <v>12</v>
      </c>
      <c r="F437">
        <v>14287.94</v>
      </c>
      <c r="G437" s="5">
        <v>658302</v>
      </c>
      <c r="H437">
        <f t="shared" si="6"/>
        <v>658.30200000000002</v>
      </c>
      <c r="I437">
        <v>13</v>
      </c>
    </row>
    <row r="438" spans="1:9" ht="15.75" thickBot="1" x14ac:dyDescent="0.3">
      <c r="A438" s="1">
        <v>44197</v>
      </c>
      <c r="B438" t="s">
        <v>6</v>
      </c>
      <c r="C438" t="s">
        <v>7</v>
      </c>
      <c r="D438" t="s">
        <v>196</v>
      </c>
      <c r="E438" t="s">
        <v>9</v>
      </c>
      <c r="F438">
        <v>81.569999999999993</v>
      </c>
      <c r="G438" s="4">
        <v>0</v>
      </c>
      <c r="H438">
        <f t="shared" si="6"/>
        <v>0</v>
      </c>
      <c r="I438">
        <v>1</v>
      </c>
    </row>
    <row r="439" spans="1:9" ht="15.75" thickBot="1" x14ac:dyDescent="0.3">
      <c r="A439" s="1">
        <v>44197</v>
      </c>
      <c r="B439" t="s">
        <v>6</v>
      </c>
      <c r="C439" t="s">
        <v>7</v>
      </c>
      <c r="D439" t="s">
        <v>197</v>
      </c>
      <c r="E439" t="s">
        <v>24</v>
      </c>
      <c r="F439">
        <v>564.44000000000005</v>
      </c>
      <c r="G439" s="3">
        <v>17</v>
      </c>
      <c r="H439">
        <f t="shared" si="6"/>
        <v>17</v>
      </c>
      <c r="I439">
        <v>1</v>
      </c>
    </row>
    <row r="440" spans="1:9" ht="15.75" thickBot="1" x14ac:dyDescent="0.3">
      <c r="A440" s="1">
        <v>44197</v>
      </c>
      <c r="B440" t="s">
        <v>6</v>
      </c>
      <c r="C440" t="s">
        <v>7</v>
      </c>
      <c r="D440" t="s">
        <v>197</v>
      </c>
      <c r="E440" t="s">
        <v>12</v>
      </c>
      <c r="F440">
        <v>407.85</v>
      </c>
      <c r="G440" s="5">
        <v>15000</v>
      </c>
      <c r="H440">
        <f t="shared" si="6"/>
        <v>15</v>
      </c>
      <c r="I440">
        <v>6</v>
      </c>
    </row>
    <row r="441" spans="1:9" ht="15.75" thickBot="1" x14ac:dyDescent="0.3">
      <c r="A441" s="1">
        <v>44197</v>
      </c>
      <c r="B441" t="s">
        <v>6</v>
      </c>
      <c r="C441" t="s">
        <v>7</v>
      </c>
      <c r="D441" t="s">
        <v>197</v>
      </c>
      <c r="E441" t="s">
        <v>9</v>
      </c>
      <c r="F441">
        <v>9279.7099999999991</v>
      </c>
      <c r="G441" s="3">
        <v>325</v>
      </c>
      <c r="H441">
        <f t="shared" si="6"/>
        <v>325</v>
      </c>
      <c r="I441">
        <v>4</v>
      </c>
    </row>
    <row r="442" spans="1:9" ht="15.75" thickBot="1" x14ac:dyDescent="0.3">
      <c r="A442" s="1">
        <v>44197</v>
      </c>
      <c r="B442" t="s">
        <v>6</v>
      </c>
      <c r="C442" t="s">
        <v>7</v>
      </c>
      <c r="D442" t="s">
        <v>198</v>
      </c>
      <c r="E442" t="s">
        <v>14</v>
      </c>
      <c r="F442">
        <v>1678</v>
      </c>
      <c r="G442" s="3">
        <v>50</v>
      </c>
      <c r="H442">
        <f t="shared" si="6"/>
        <v>50</v>
      </c>
      <c r="I442">
        <v>2</v>
      </c>
    </row>
    <row r="443" spans="1:9" ht="15.75" thickBot="1" x14ac:dyDescent="0.3">
      <c r="A443" s="1">
        <v>44197</v>
      </c>
      <c r="B443" t="s">
        <v>6</v>
      </c>
      <c r="C443" t="s">
        <v>7</v>
      </c>
      <c r="D443" t="s">
        <v>198</v>
      </c>
      <c r="E443" t="s">
        <v>12</v>
      </c>
      <c r="F443">
        <v>175.07</v>
      </c>
      <c r="G443" s="5">
        <v>5000</v>
      </c>
      <c r="H443">
        <f t="shared" si="6"/>
        <v>5</v>
      </c>
      <c r="I443">
        <v>1</v>
      </c>
    </row>
    <row r="444" spans="1:9" ht="15.75" thickBot="1" x14ac:dyDescent="0.3">
      <c r="A444" s="1">
        <v>44197</v>
      </c>
      <c r="B444" t="s">
        <v>6</v>
      </c>
      <c r="C444" t="s">
        <v>7</v>
      </c>
      <c r="D444" t="s">
        <v>198</v>
      </c>
      <c r="E444" t="s">
        <v>15</v>
      </c>
      <c r="F444">
        <v>966.32</v>
      </c>
      <c r="G444" s="3">
        <v>26</v>
      </c>
      <c r="H444">
        <f t="shared" si="6"/>
        <v>26</v>
      </c>
      <c r="I444">
        <v>2</v>
      </c>
    </row>
    <row r="445" spans="1:9" ht="15.75" thickBot="1" x14ac:dyDescent="0.3">
      <c r="A445" s="1">
        <v>44197</v>
      </c>
      <c r="B445" t="s">
        <v>6</v>
      </c>
      <c r="C445" t="s">
        <v>7</v>
      </c>
      <c r="D445" t="s">
        <v>198</v>
      </c>
      <c r="E445" t="s">
        <v>9</v>
      </c>
      <c r="F445">
        <v>13919.37</v>
      </c>
      <c r="G445" s="3">
        <v>415</v>
      </c>
      <c r="H445">
        <f t="shared" si="6"/>
        <v>415</v>
      </c>
      <c r="I445">
        <v>2</v>
      </c>
    </row>
    <row r="446" spans="1:9" ht="15.75" thickBot="1" x14ac:dyDescent="0.3">
      <c r="A446" s="1">
        <v>44197</v>
      </c>
      <c r="B446" t="s">
        <v>6</v>
      </c>
      <c r="C446" t="s">
        <v>7</v>
      </c>
      <c r="D446" t="s">
        <v>199</v>
      </c>
      <c r="E446" t="s">
        <v>12</v>
      </c>
      <c r="F446">
        <v>8681.73</v>
      </c>
      <c r="G446" s="5">
        <v>232797.2</v>
      </c>
      <c r="H446">
        <f t="shared" si="6"/>
        <v>232.7972</v>
      </c>
      <c r="I446">
        <v>45</v>
      </c>
    </row>
    <row r="447" spans="1:9" ht="15.75" thickBot="1" x14ac:dyDescent="0.3">
      <c r="A447" s="1">
        <v>44197</v>
      </c>
      <c r="B447" t="s">
        <v>6</v>
      </c>
      <c r="C447" t="s">
        <v>7</v>
      </c>
      <c r="D447" t="s">
        <v>199</v>
      </c>
      <c r="E447" t="s">
        <v>9</v>
      </c>
      <c r="F447">
        <v>1712.28</v>
      </c>
      <c r="G447" s="5">
        <v>37000</v>
      </c>
      <c r="H447">
        <f t="shared" si="6"/>
        <v>37000</v>
      </c>
      <c r="I447">
        <v>12</v>
      </c>
    </row>
    <row r="448" spans="1:9" ht="15.75" thickBot="1" x14ac:dyDescent="0.3">
      <c r="A448" s="1">
        <v>44197</v>
      </c>
      <c r="B448" t="s">
        <v>6</v>
      </c>
      <c r="C448" t="s">
        <v>7</v>
      </c>
      <c r="D448" t="s">
        <v>199</v>
      </c>
      <c r="E448" t="s">
        <v>17</v>
      </c>
      <c r="F448">
        <v>228.78</v>
      </c>
      <c r="G448" s="5">
        <v>8000</v>
      </c>
      <c r="H448">
        <f t="shared" si="6"/>
        <v>8000</v>
      </c>
      <c r="I448">
        <v>1</v>
      </c>
    </row>
    <row r="449" spans="1:9" ht="15.75" thickBot="1" x14ac:dyDescent="0.3">
      <c r="A449" s="1">
        <v>44197</v>
      </c>
      <c r="B449" t="s">
        <v>6</v>
      </c>
      <c r="C449" t="s">
        <v>7</v>
      </c>
      <c r="D449" t="s">
        <v>200</v>
      </c>
      <c r="E449" t="s">
        <v>12</v>
      </c>
      <c r="F449">
        <v>12763.51</v>
      </c>
      <c r="G449" s="5">
        <v>300000</v>
      </c>
      <c r="H449">
        <f t="shared" si="6"/>
        <v>300</v>
      </c>
      <c r="I449">
        <v>18</v>
      </c>
    </row>
    <row r="450" spans="1:9" ht="15.75" thickBot="1" x14ac:dyDescent="0.3">
      <c r="A450" s="1">
        <v>44197</v>
      </c>
      <c r="B450" t="s">
        <v>6</v>
      </c>
      <c r="C450" t="s">
        <v>7</v>
      </c>
      <c r="D450" t="s">
        <v>200</v>
      </c>
      <c r="E450" t="s">
        <v>9</v>
      </c>
      <c r="F450">
        <v>138703.45000000001</v>
      </c>
      <c r="G450" s="3">
        <v>4843</v>
      </c>
      <c r="H450">
        <f t="shared" si="6"/>
        <v>4843</v>
      </c>
      <c r="I450">
        <v>3</v>
      </c>
    </row>
    <row r="451" spans="1:9" ht="15.75" thickBot="1" x14ac:dyDescent="0.3">
      <c r="A451" s="1">
        <v>44197</v>
      </c>
      <c r="B451" t="s">
        <v>6</v>
      </c>
      <c r="C451" t="s">
        <v>7</v>
      </c>
      <c r="D451" t="s">
        <v>201</v>
      </c>
      <c r="E451" t="s">
        <v>12</v>
      </c>
      <c r="F451">
        <v>275.8</v>
      </c>
      <c r="G451" s="5">
        <v>8000</v>
      </c>
      <c r="H451">
        <f t="shared" ref="H451:H514" si="7">IF(ISNUMBER(SEARCH("Domestic customer", E451)),G451/1000,G451)</f>
        <v>8</v>
      </c>
      <c r="I451">
        <v>2</v>
      </c>
    </row>
    <row r="452" spans="1:9" ht="15.75" thickBot="1" x14ac:dyDescent="0.3">
      <c r="A452" s="1">
        <v>44197</v>
      </c>
      <c r="B452" t="s">
        <v>6</v>
      </c>
      <c r="C452" t="s">
        <v>7</v>
      </c>
      <c r="D452" t="s">
        <v>201</v>
      </c>
      <c r="E452" t="s">
        <v>9</v>
      </c>
      <c r="F452">
        <v>81.569999999999993</v>
      </c>
      <c r="G452" s="4">
        <v>0</v>
      </c>
      <c r="H452">
        <f t="shared" si="7"/>
        <v>0</v>
      </c>
      <c r="I452">
        <v>1</v>
      </c>
    </row>
    <row r="453" spans="1:9" ht="15.75" thickBot="1" x14ac:dyDescent="0.3">
      <c r="A453" s="1">
        <v>44197</v>
      </c>
      <c r="B453" t="s">
        <v>6</v>
      </c>
      <c r="C453" t="s">
        <v>7</v>
      </c>
      <c r="D453" t="s">
        <v>201</v>
      </c>
      <c r="E453" t="s">
        <v>17</v>
      </c>
      <c r="F453">
        <v>323.63</v>
      </c>
      <c r="G453" s="5">
        <v>12000</v>
      </c>
      <c r="H453">
        <f t="shared" si="7"/>
        <v>12000</v>
      </c>
      <c r="I453">
        <v>1</v>
      </c>
    </row>
    <row r="454" spans="1:9" ht="15.75" thickBot="1" x14ac:dyDescent="0.3">
      <c r="A454" s="1">
        <v>44197</v>
      </c>
      <c r="B454" t="s">
        <v>6</v>
      </c>
      <c r="C454" t="s">
        <v>7</v>
      </c>
      <c r="D454" t="s">
        <v>202</v>
      </c>
      <c r="E454" t="s">
        <v>14</v>
      </c>
      <c r="F454">
        <v>673.72</v>
      </c>
      <c r="G454" s="3">
        <v>21</v>
      </c>
      <c r="H454">
        <f t="shared" si="7"/>
        <v>21</v>
      </c>
      <c r="I454">
        <v>1</v>
      </c>
    </row>
    <row r="455" spans="1:9" ht="15.75" thickBot="1" x14ac:dyDescent="0.3">
      <c r="A455" s="1">
        <v>44197</v>
      </c>
      <c r="B455" t="s">
        <v>6</v>
      </c>
      <c r="C455" t="s">
        <v>7</v>
      </c>
      <c r="D455" t="s">
        <v>202</v>
      </c>
      <c r="E455" t="s">
        <v>24</v>
      </c>
      <c r="F455">
        <v>7446.48</v>
      </c>
      <c r="G455" s="3">
        <v>214</v>
      </c>
      <c r="H455">
        <f t="shared" si="7"/>
        <v>214</v>
      </c>
      <c r="I455">
        <v>1</v>
      </c>
    </row>
    <row r="456" spans="1:9" ht="15.75" thickBot="1" x14ac:dyDescent="0.3">
      <c r="A456" s="1">
        <v>44197</v>
      </c>
      <c r="B456" t="s">
        <v>6</v>
      </c>
      <c r="C456" t="s">
        <v>7</v>
      </c>
      <c r="D456" t="s">
        <v>202</v>
      </c>
      <c r="E456" t="s">
        <v>12</v>
      </c>
      <c r="F456">
        <v>7094.2</v>
      </c>
      <c r="G456" s="5">
        <v>294000</v>
      </c>
      <c r="H456">
        <f t="shared" si="7"/>
        <v>294</v>
      </c>
      <c r="I456">
        <v>6</v>
      </c>
    </row>
    <row r="457" spans="1:9" ht="15.75" thickBot="1" x14ac:dyDescent="0.3">
      <c r="A457" s="1">
        <v>44197</v>
      </c>
      <c r="B457" t="s">
        <v>6</v>
      </c>
      <c r="C457" t="s">
        <v>7</v>
      </c>
      <c r="D457" t="s">
        <v>202</v>
      </c>
      <c r="E457" t="s">
        <v>9</v>
      </c>
      <c r="F457">
        <v>219.53</v>
      </c>
      <c r="G457" s="3">
        <v>3</v>
      </c>
      <c r="H457">
        <f t="shared" si="7"/>
        <v>3</v>
      </c>
      <c r="I457">
        <v>2</v>
      </c>
    </row>
    <row r="458" spans="1:9" ht="15.75" thickBot="1" x14ac:dyDescent="0.3">
      <c r="A458" s="1">
        <v>44197</v>
      </c>
      <c r="B458" t="s">
        <v>6</v>
      </c>
      <c r="C458" t="s">
        <v>7</v>
      </c>
      <c r="D458" t="s">
        <v>203</v>
      </c>
      <c r="E458" t="s">
        <v>12</v>
      </c>
      <c r="F458">
        <v>837.56</v>
      </c>
      <c r="G458" s="5">
        <v>27209.599999999999</v>
      </c>
      <c r="H458">
        <f t="shared" si="7"/>
        <v>27.209599999999998</v>
      </c>
      <c r="I458">
        <v>2</v>
      </c>
    </row>
    <row r="459" spans="1:9" ht="15.75" thickBot="1" x14ac:dyDescent="0.3">
      <c r="A459" s="1">
        <v>44197</v>
      </c>
      <c r="B459" t="s">
        <v>6</v>
      </c>
      <c r="C459" t="s">
        <v>7</v>
      </c>
      <c r="D459" t="s">
        <v>204</v>
      </c>
      <c r="E459" t="s">
        <v>12</v>
      </c>
      <c r="F459">
        <v>957.07</v>
      </c>
      <c r="G459" s="5">
        <v>34000</v>
      </c>
      <c r="H459">
        <f t="shared" si="7"/>
        <v>34</v>
      </c>
      <c r="I459">
        <v>2</v>
      </c>
    </row>
    <row r="460" spans="1:9" ht="15.75" thickBot="1" x14ac:dyDescent="0.3">
      <c r="A460" s="1">
        <v>44197</v>
      </c>
      <c r="B460" t="s">
        <v>6</v>
      </c>
      <c r="C460" t="s">
        <v>7</v>
      </c>
      <c r="D460" t="s">
        <v>204</v>
      </c>
      <c r="E460" t="s">
        <v>17</v>
      </c>
      <c r="F460">
        <v>129.82</v>
      </c>
      <c r="G460" s="5">
        <v>2000</v>
      </c>
      <c r="H460">
        <f t="shared" si="7"/>
        <v>2000</v>
      </c>
      <c r="I460">
        <v>1</v>
      </c>
    </row>
    <row r="461" spans="1:9" ht="15.75" thickBot="1" x14ac:dyDescent="0.3">
      <c r="A461" s="1">
        <v>44197</v>
      </c>
      <c r="B461" t="s">
        <v>6</v>
      </c>
      <c r="C461" t="s">
        <v>7</v>
      </c>
      <c r="D461" t="s">
        <v>205</v>
      </c>
      <c r="E461" t="s">
        <v>9</v>
      </c>
      <c r="F461">
        <v>81.569999999999993</v>
      </c>
      <c r="G461" s="4">
        <v>0</v>
      </c>
      <c r="H461">
        <f t="shared" si="7"/>
        <v>0</v>
      </c>
      <c r="I461">
        <v>1</v>
      </c>
    </row>
    <row r="462" spans="1:9" ht="15.75" thickBot="1" x14ac:dyDescent="0.3">
      <c r="A462" s="1">
        <v>44197</v>
      </c>
      <c r="B462" t="s">
        <v>6</v>
      </c>
      <c r="C462" t="s">
        <v>7</v>
      </c>
      <c r="D462" t="s">
        <v>206</v>
      </c>
      <c r="E462" t="s">
        <v>14</v>
      </c>
      <c r="F462">
        <v>568.9</v>
      </c>
      <c r="G462" s="6">
        <v>2376.5</v>
      </c>
      <c r="H462">
        <f t="shared" si="7"/>
        <v>2376.5</v>
      </c>
      <c r="I462">
        <v>1</v>
      </c>
    </row>
    <row r="463" spans="1:9" ht="15.75" thickBot="1" x14ac:dyDescent="0.3">
      <c r="A463" s="1">
        <v>44197</v>
      </c>
      <c r="B463" t="s">
        <v>6</v>
      </c>
      <c r="C463" t="s">
        <v>7</v>
      </c>
      <c r="D463" t="s">
        <v>207</v>
      </c>
      <c r="E463" t="s">
        <v>14</v>
      </c>
      <c r="F463">
        <v>8817.23</v>
      </c>
      <c r="G463" s="3">
        <v>275</v>
      </c>
      <c r="H463">
        <f t="shared" si="7"/>
        <v>275</v>
      </c>
      <c r="I463">
        <v>2</v>
      </c>
    </row>
    <row r="464" spans="1:9" ht="15.75" thickBot="1" x14ac:dyDescent="0.3">
      <c r="A464" s="1">
        <v>44197</v>
      </c>
      <c r="B464" t="s">
        <v>6</v>
      </c>
      <c r="C464" t="s">
        <v>7</v>
      </c>
      <c r="D464" t="s">
        <v>207</v>
      </c>
      <c r="E464" t="s">
        <v>24</v>
      </c>
      <c r="F464">
        <v>88673.77</v>
      </c>
      <c r="G464" s="3">
        <v>2842</v>
      </c>
      <c r="H464">
        <f t="shared" si="7"/>
        <v>2842</v>
      </c>
      <c r="I464">
        <v>10</v>
      </c>
    </row>
    <row r="465" spans="1:9" ht="15.75" thickBot="1" x14ac:dyDescent="0.3">
      <c r="A465" s="1">
        <v>44197</v>
      </c>
      <c r="B465" t="s">
        <v>6</v>
      </c>
      <c r="C465" t="s">
        <v>7</v>
      </c>
      <c r="D465" t="s">
        <v>207</v>
      </c>
      <c r="E465" t="s">
        <v>12</v>
      </c>
      <c r="F465">
        <v>4319.95</v>
      </c>
      <c r="G465" s="5">
        <v>228408</v>
      </c>
      <c r="H465">
        <f t="shared" si="7"/>
        <v>228.40799999999999</v>
      </c>
      <c r="I465">
        <v>3</v>
      </c>
    </row>
    <row r="466" spans="1:9" ht="15.75" thickBot="1" x14ac:dyDescent="0.3">
      <c r="A466" s="1">
        <v>44197</v>
      </c>
      <c r="B466" t="s">
        <v>6</v>
      </c>
      <c r="C466" t="s">
        <v>7</v>
      </c>
      <c r="D466" t="s">
        <v>207</v>
      </c>
      <c r="E466" t="s">
        <v>9</v>
      </c>
      <c r="F466">
        <v>163.13999999999999</v>
      </c>
      <c r="G466" s="4">
        <v>0</v>
      </c>
      <c r="H466">
        <f t="shared" si="7"/>
        <v>0</v>
      </c>
      <c r="I466">
        <v>2</v>
      </c>
    </row>
    <row r="467" spans="1:9" ht="15.75" thickBot="1" x14ac:dyDescent="0.3">
      <c r="A467" s="1">
        <v>44197</v>
      </c>
      <c r="B467" t="s">
        <v>6</v>
      </c>
      <c r="C467" t="s">
        <v>7</v>
      </c>
      <c r="D467" t="s">
        <v>208</v>
      </c>
      <c r="E467" t="s">
        <v>14</v>
      </c>
      <c r="F467">
        <v>992.28</v>
      </c>
      <c r="G467" s="3">
        <v>29</v>
      </c>
      <c r="H467">
        <f t="shared" si="7"/>
        <v>29</v>
      </c>
      <c r="I467">
        <v>1</v>
      </c>
    </row>
    <row r="468" spans="1:9" ht="15.75" thickBot="1" x14ac:dyDescent="0.3">
      <c r="A468" s="1">
        <v>44197</v>
      </c>
      <c r="B468" t="s">
        <v>6</v>
      </c>
      <c r="C468" t="s">
        <v>7</v>
      </c>
      <c r="D468" t="s">
        <v>208</v>
      </c>
      <c r="E468" t="s">
        <v>12</v>
      </c>
      <c r="F468">
        <v>8021.36</v>
      </c>
      <c r="G468" s="5">
        <v>194876.92300000001</v>
      </c>
      <c r="H468">
        <f t="shared" si="7"/>
        <v>194.87692300000001</v>
      </c>
      <c r="I468">
        <v>10</v>
      </c>
    </row>
    <row r="469" spans="1:9" ht="15.75" thickBot="1" x14ac:dyDescent="0.3">
      <c r="A469" s="1">
        <v>44197</v>
      </c>
      <c r="B469" t="s">
        <v>6</v>
      </c>
      <c r="C469" t="s">
        <v>7</v>
      </c>
      <c r="D469" t="s">
        <v>208</v>
      </c>
      <c r="E469" t="s">
        <v>9</v>
      </c>
      <c r="F469">
        <v>409.09</v>
      </c>
      <c r="G469" s="3">
        <v>8</v>
      </c>
      <c r="H469">
        <f t="shared" si="7"/>
        <v>8</v>
      </c>
      <c r="I469">
        <v>17</v>
      </c>
    </row>
    <row r="470" spans="1:9" ht="15.75" thickBot="1" x14ac:dyDescent="0.3">
      <c r="A470" s="1">
        <v>44197</v>
      </c>
      <c r="B470" t="s">
        <v>6</v>
      </c>
      <c r="C470" t="s">
        <v>7</v>
      </c>
      <c r="D470" t="s">
        <v>209</v>
      </c>
      <c r="E470" t="s">
        <v>12</v>
      </c>
      <c r="F470">
        <v>567.9</v>
      </c>
      <c r="G470" s="5">
        <v>19000</v>
      </c>
      <c r="H470">
        <f t="shared" si="7"/>
        <v>19</v>
      </c>
      <c r="I470">
        <v>2</v>
      </c>
    </row>
    <row r="471" spans="1:9" ht="15.75" thickBot="1" x14ac:dyDescent="0.3">
      <c r="A471" s="1">
        <v>44197</v>
      </c>
      <c r="B471" t="s">
        <v>6</v>
      </c>
      <c r="C471" t="s">
        <v>7</v>
      </c>
      <c r="D471" t="s">
        <v>210</v>
      </c>
      <c r="E471" t="s">
        <v>14</v>
      </c>
      <c r="F471">
        <v>1001.56</v>
      </c>
      <c r="G471" s="3">
        <v>33</v>
      </c>
      <c r="H471">
        <f t="shared" si="7"/>
        <v>33</v>
      </c>
      <c r="I471">
        <v>1</v>
      </c>
    </row>
    <row r="472" spans="1:9" ht="15.75" thickBot="1" x14ac:dyDescent="0.3">
      <c r="A472" s="1">
        <v>44197</v>
      </c>
      <c r="B472" t="s">
        <v>6</v>
      </c>
      <c r="C472" t="s">
        <v>7</v>
      </c>
      <c r="D472" t="s">
        <v>210</v>
      </c>
      <c r="E472" t="s">
        <v>24</v>
      </c>
      <c r="F472">
        <v>2686.12</v>
      </c>
      <c r="G472" s="3">
        <v>91</v>
      </c>
      <c r="H472">
        <f t="shared" si="7"/>
        <v>91</v>
      </c>
      <c r="I472">
        <v>2</v>
      </c>
    </row>
    <row r="473" spans="1:9" ht="15.75" thickBot="1" x14ac:dyDescent="0.3">
      <c r="A473" s="1">
        <v>44197</v>
      </c>
      <c r="B473" t="s">
        <v>6</v>
      </c>
      <c r="C473" t="s">
        <v>7</v>
      </c>
      <c r="D473" t="s">
        <v>210</v>
      </c>
      <c r="E473" t="s">
        <v>12</v>
      </c>
      <c r="F473">
        <v>5918.61</v>
      </c>
      <c r="G473" s="5">
        <v>153827.58600000001</v>
      </c>
      <c r="H473">
        <f t="shared" si="7"/>
        <v>153.827586</v>
      </c>
      <c r="I473">
        <v>7</v>
      </c>
    </row>
    <row r="474" spans="1:9" ht="15.75" thickBot="1" x14ac:dyDescent="0.3">
      <c r="A474" s="1">
        <v>44197</v>
      </c>
      <c r="B474" t="s">
        <v>6</v>
      </c>
      <c r="C474" t="s">
        <v>7</v>
      </c>
      <c r="D474" t="s">
        <v>210</v>
      </c>
      <c r="E474" t="s">
        <v>9</v>
      </c>
      <c r="F474">
        <v>676.37</v>
      </c>
      <c r="G474" s="5">
        <v>18000</v>
      </c>
      <c r="H474">
        <f t="shared" si="7"/>
        <v>18000</v>
      </c>
      <c r="I474">
        <v>2</v>
      </c>
    </row>
    <row r="475" spans="1:9" ht="15.75" thickBot="1" x14ac:dyDescent="0.3">
      <c r="A475" s="1">
        <v>44197</v>
      </c>
      <c r="B475" t="s">
        <v>6</v>
      </c>
      <c r="C475" t="s">
        <v>7</v>
      </c>
      <c r="D475" t="s">
        <v>211</v>
      </c>
      <c r="E475" t="s">
        <v>14</v>
      </c>
      <c r="F475">
        <v>8748.36</v>
      </c>
      <c r="G475" s="3">
        <v>223</v>
      </c>
      <c r="H475">
        <f t="shared" si="7"/>
        <v>223</v>
      </c>
      <c r="I475">
        <v>2</v>
      </c>
    </row>
    <row r="476" spans="1:9" ht="15.75" thickBot="1" x14ac:dyDescent="0.3">
      <c r="A476" s="1">
        <v>44197</v>
      </c>
      <c r="B476" t="s">
        <v>6</v>
      </c>
      <c r="C476" t="s">
        <v>7</v>
      </c>
      <c r="D476" t="s">
        <v>212</v>
      </c>
      <c r="E476" t="s">
        <v>12</v>
      </c>
      <c r="F476">
        <v>79132.69</v>
      </c>
      <c r="G476" s="5">
        <v>2902614.5720000002</v>
      </c>
      <c r="H476">
        <f t="shared" si="7"/>
        <v>2902.614572</v>
      </c>
      <c r="I476">
        <v>132</v>
      </c>
    </row>
    <row r="477" spans="1:9" ht="15.75" thickBot="1" x14ac:dyDescent="0.3">
      <c r="A477" s="1">
        <v>44197</v>
      </c>
      <c r="B477" t="s">
        <v>6</v>
      </c>
      <c r="C477" t="s">
        <v>7</v>
      </c>
      <c r="D477" t="s">
        <v>212</v>
      </c>
      <c r="E477" t="s">
        <v>9</v>
      </c>
      <c r="F477">
        <v>1697.19</v>
      </c>
      <c r="G477" s="5">
        <v>36000</v>
      </c>
      <c r="H477">
        <f t="shared" si="7"/>
        <v>36000</v>
      </c>
      <c r="I477">
        <v>8</v>
      </c>
    </row>
    <row r="478" spans="1:9" ht="15.75" thickBot="1" x14ac:dyDescent="0.3">
      <c r="A478" s="1">
        <v>44197</v>
      </c>
      <c r="B478" t="s">
        <v>6</v>
      </c>
      <c r="C478" t="s">
        <v>7</v>
      </c>
      <c r="D478" t="s">
        <v>212</v>
      </c>
      <c r="E478" t="s">
        <v>17</v>
      </c>
      <c r="F478">
        <v>440.25</v>
      </c>
      <c r="G478" s="5">
        <v>14000</v>
      </c>
      <c r="H478">
        <f t="shared" si="7"/>
        <v>14000</v>
      </c>
      <c r="I478">
        <v>2</v>
      </c>
    </row>
    <row r="479" spans="1:9" ht="15.75" thickBot="1" x14ac:dyDescent="0.3">
      <c r="A479" s="1">
        <v>44197</v>
      </c>
      <c r="B479" t="s">
        <v>6</v>
      </c>
      <c r="C479" t="s">
        <v>7</v>
      </c>
      <c r="D479" t="s">
        <v>213</v>
      </c>
      <c r="E479" t="s">
        <v>14</v>
      </c>
      <c r="F479">
        <v>2123.04</v>
      </c>
      <c r="G479" s="3">
        <v>72</v>
      </c>
      <c r="H479">
        <f t="shared" si="7"/>
        <v>72</v>
      </c>
      <c r="I479">
        <v>1</v>
      </c>
    </row>
    <row r="480" spans="1:9" ht="15.75" thickBot="1" x14ac:dyDescent="0.3">
      <c r="A480" s="1">
        <v>44197</v>
      </c>
      <c r="B480" t="s">
        <v>6</v>
      </c>
      <c r="C480" t="s">
        <v>7</v>
      </c>
      <c r="D480" t="s">
        <v>213</v>
      </c>
      <c r="E480" t="s">
        <v>12</v>
      </c>
      <c r="F480">
        <v>29061.02</v>
      </c>
      <c r="G480" s="5">
        <v>960301.85</v>
      </c>
      <c r="H480">
        <f t="shared" si="7"/>
        <v>960.30184999999994</v>
      </c>
      <c r="I480">
        <v>46</v>
      </c>
    </row>
    <row r="481" spans="1:9" ht="15.75" thickBot="1" x14ac:dyDescent="0.3">
      <c r="A481" s="1">
        <v>44197</v>
      </c>
      <c r="B481" t="s">
        <v>6</v>
      </c>
      <c r="C481" t="s">
        <v>7</v>
      </c>
      <c r="D481" t="s">
        <v>213</v>
      </c>
      <c r="E481" t="s">
        <v>9</v>
      </c>
      <c r="F481">
        <v>2365.84</v>
      </c>
      <c r="G481" s="5">
        <v>68219.178</v>
      </c>
      <c r="H481">
        <f t="shared" si="7"/>
        <v>68219.178</v>
      </c>
      <c r="I481">
        <v>10</v>
      </c>
    </row>
    <row r="482" spans="1:9" ht="15.75" thickBot="1" x14ac:dyDescent="0.3">
      <c r="A482" s="1">
        <v>44197</v>
      </c>
      <c r="B482" t="s">
        <v>6</v>
      </c>
      <c r="C482" t="s">
        <v>7</v>
      </c>
      <c r="D482" t="s">
        <v>214</v>
      </c>
      <c r="E482" t="s">
        <v>14</v>
      </c>
      <c r="F482">
        <v>5171.25</v>
      </c>
      <c r="G482" s="3">
        <v>72</v>
      </c>
      <c r="H482">
        <f t="shared" si="7"/>
        <v>72</v>
      </c>
      <c r="I482">
        <v>4</v>
      </c>
    </row>
    <row r="483" spans="1:9" ht="15.75" thickBot="1" x14ac:dyDescent="0.3">
      <c r="A483" s="1">
        <v>44197</v>
      </c>
      <c r="B483" t="s">
        <v>6</v>
      </c>
      <c r="C483" t="s">
        <v>7</v>
      </c>
      <c r="D483" t="s">
        <v>214</v>
      </c>
      <c r="E483" t="s">
        <v>12</v>
      </c>
      <c r="F483">
        <v>53544.37</v>
      </c>
      <c r="G483" s="6">
        <v>787602.81799999997</v>
      </c>
      <c r="H483">
        <f t="shared" si="7"/>
        <v>787.60281799999996</v>
      </c>
      <c r="I483">
        <v>22</v>
      </c>
    </row>
    <row r="484" spans="1:9" ht="15.75" thickBot="1" x14ac:dyDescent="0.3">
      <c r="A484" s="1">
        <v>44197</v>
      </c>
      <c r="B484" t="s">
        <v>6</v>
      </c>
      <c r="C484" t="s">
        <v>7</v>
      </c>
      <c r="D484" t="s">
        <v>214</v>
      </c>
      <c r="E484" t="s">
        <v>9</v>
      </c>
      <c r="F484">
        <v>97769.19</v>
      </c>
      <c r="G484" s="6">
        <v>425888.08399999997</v>
      </c>
      <c r="H484">
        <f t="shared" si="7"/>
        <v>425888.08399999997</v>
      </c>
      <c r="I484">
        <v>9</v>
      </c>
    </row>
    <row r="485" spans="1:9" ht="15.75" thickBot="1" x14ac:dyDescent="0.3">
      <c r="A485" s="1">
        <v>44197</v>
      </c>
      <c r="B485" t="s">
        <v>6</v>
      </c>
      <c r="C485" t="s">
        <v>7</v>
      </c>
      <c r="D485" t="s">
        <v>214</v>
      </c>
      <c r="E485" t="s">
        <v>17</v>
      </c>
      <c r="F485">
        <v>680.71</v>
      </c>
      <c r="G485" s="5">
        <v>26000</v>
      </c>
      <c r="H485">
        <f t="shared" si="7"/>
        <v>26000</v>
      </c>
      <c r="I485">
        <v>1</v>
      </c>
    </row>
    <row r="486" spans="1:9" ht="15.75" thickBot="1" x14ac:dyDescent="0.3">
      <c r="A486" s="1">
        <v>44197</v>
      </c>
      <c r="B486" t="s">
        <v>6</v>
      </c>
      <c r="C486" t="s">
        <v>7</v>
      </c>
      <c r="D486" t="s">
        <v>215</v>
      </c>
      <c r="E486" t="s">
        <v>12</v>
      </c>
      <c r="F486">
        <v>18403.36</v>
      </c>
      <c r="G486" s="5">
        <v>977000</v>
      </c>
      <c r="H486">
        <f t="shared" si="7"/>
        <v>977</v>
      </c>
      <c r="I486">
        <v>1</v>
      </c>
    </row>
    <row r="487" spans="1:9" ht="15.75" thickBot="1" x14ac:dyDescent="0.3">
      <c r="A487" s="1">
        <v>44197</v>
      </c>
      <c r="B487" t="s">
        <v>6</v>
      </c>
      <c r="C487" t="s">
        <v>7</v>
      </c>
      <c r="D487" t="s">
        <v>215</v>
      </c>
      <c r="E487" t="s">
        <v>9</v>
      </c>
      <c r="F487">
        <v>978.84</v>
      </c>
      <c r="G487" s="4">
        <v>0</v>
      </c>
      <c r="H487">
        <f t="shared" si="7"/>
        <v>0</v>
      </c>
      <c r="I487">
        <v>12</v>
      </c>
    </row>
    <row r="488" spans="1:9" ht="15.75" thickBot="1" x14ac:dyDescent="0.3">
      <c r="A488" s="1">
        <v>44197</v>
      </c>
      <c r="B488" t="s">
        <v>6</v>
      </c>
      <c r="C488" t="s">
        <v>7</v>
      </c>
      <c r="D488" t="s">
        <v>216</v>
      </c>
      <c r="E488" t="s">
        <v>12</v>
      </c>
      <c r="F488">
        <v>606.64</v>
      </c>
      <c r="G488" s="5">
        <v>48000</v>
      </c>
      <c r="H488">
        <f t="shared" si="7"/>
        <v>48</v>
      </c>
      <c r="I488">
        <v>3</v>
      </c>
    </row>
    <row r="489" spans="1:9" ht="15.75" thickBot="1" x14ac:dyDescent="0.3">
      <c r="A489" s="1">
        <v>44197</v>
      </c>
      <c r="B489" t="s">
        <v>6</v>
      </c>
      <c r="C489" t="s">
        <v>7</v>
      </c>
      <c r="D489" t="s">
        <v>217</v>
      </c>
      <c r="E489" t="s">
        <v>24</v>
      </c>
      <c r="F489">
        <v>448.74</v>
      </c>
      <c r="G489" s="5">
        <v>3269.2130000000002</v>
      </c>
      <c r="H489">
        <f t="shared" si="7"/>
        <v>3269.2130000000002</v>
      </c>
      <c r="I489">
        <v>1</v>
      </c>
    </row>
    <row r="490" spans="1:9" ht="15.75" thickBot="1" x14ac:dyDescent="0.3">
      <c r="A490" s="1">
        <v>44197</v>
      </c>
      <c r="B490" t="s">
        <v>6</v>
      </c>
      <c r="C490" t="s">
        <v>7</v>
      </c>
      <c r="D490" t="s">
        <v>217</v>
      </c>
      <c r="E490" t="s">
        <v>12</v>
      </c>
      <c r="F490">
        <v>43249.34</v>
      </c>
      <c r="G490" s="5">
        <v>5411420.2079999996</v>
      </c>
      <c r="H490">
        <f t="shared" si="7"/>
        <v>5411.4202079999995</v>
      </c>
      <c r="I490">
        <v>806</v>
      </c>
    </row>
    <row r="491" spans="1:9" ht="15.75" thickBot="1" x14ac:dyDescent="0.3">
      <c r="A491" s="1">
        <v>44197</v>
      </c>
      <c r="B491" t="s">
        <v>6</v>
      </c>
      <c r="C491" t="s">
        <v>7</v>
      </c>
      <c r="D491" t="s">
        <v>217</v>
      </c>
      <c r="E491" t="s">
        <v>9</v>
      </c>
      <c r="F491">
        <v>3069.06</v>
      </c>
      <c r="G491" s="5">
        <v>166770.45000000001</v>
      </c>
      <c r="H491">
        <f t="shared" si="7"/>
        <v>166770.45000000001</v>
      </c>
      <c r="I491">
        <v>40</v>
      </c>
    </row>
    <row r="492" spans="1:9" ht="15.75" thickBot="1" x14ac:dyDescent="0.3">
      <c r="A492" s="1">
        <v>44197</v>
      </c>
      <c r="B492" t="s">
        <v>6</v>
      </c>
      <c r="C492" t="s">
        <v>7</v>
      </c>
      <c r="D492" t="s">
        <v>217</v>
      </c>
      <c r="E492" t="s">
        <v>17</v>
      </c>
      <c r="F492">
        <v>7891.04</v>
      </c>
      <c r="G492" s="5">
        <v>1274424.628</v>
      </c>
      <c r="H492">
        <f t="shared" si="7"/>
        <v>1274424.628</v>
      </c>
      <c r="I492">
        <v>186</v>
      </c>
    </row>
    <row r="493" spans="1:9" ht="15.75" thickBot="1" x14ac:dyDescent="0.3">
      <c r="A493" s="1">
        <v>44197</v>
      </c>
      <c r="B493" t="s">
        <v>6</v>
      </c>
      <c r="C493" t="s">
        <v>7</v>
      </c>
      <c r="D493" t="s">
        <v>218</v>
      </c>
      <c r="E493" t="s">
        <v>12</v>
      </c>
      <c r="F493">
        <v>383.89</v>
      </c>
      <c r="G493" s="5">
        <v>13000</v>
      </c>
      <c r="H493">
        <f t="shared" si="7"/>
        <v>13</v>
      </c>
      <c r="I493">
        <v>1</v>
      </c>
    </row>
    <row r="494" spans="1:9" ht="15.75" thickBot="1" x14ac:dyDescent="0.3">
      <c r="A494" s="1">
        <v>44197</v>
      </c>
      <c r="B494" t="s">
        <v>6</v>
      </c>
      <c r="C494" t="s">
        <v>7</v>
      </c>
      <c r="D494" t="s">
        <v>219</v>
      </c>
      <c r="E494" t="s">
        <v>24</v>
      </c>
      <c r="F494">
        <v>156</v>
      </c>
      <c r="G494" s="3">
        <v>0</v>
      </c>
      <c r="H494">
        <f t="shared" si="7"/>
        <v>0</v>
      </c>
      <c r="I494">
        <v>1</v>
      </c>
    </row>
    <row r="495" spans="1:9" ht="15.75" thickBot="1" x14ac:dyDescent="0.3">
      <c r="A495" s="1">
        <v>44197</v>
      </c>
      <c r="B495" t="s">
        <v>6</v>
      </c>
      <c r="C495" t="s">
        <v>7</v>
      </c>
      <c r="D495" t="s">
        <v>219</v>
      </c>
      <c r="E495" t="s">
        <v>12</v>
      </c>
      <c r="F495">
        <v>269.95999999999998</v>
      </c>
      <c r="G495" s="5">
        <v>10000</v>
      </c>
      <c r="H495">
        <f t="shared" si="7"/>
        <v>10</v>
      </c>
      <c r="I495">
        <v>1</v>
      </c>
    </row>
    <row r="496" spans="1:9" ht="15.75" thickBot="1" x14ac:dyDescent="0.3">
      <c r="A496" s="1">
        <v>44197</v>
      </c>
      <c r="B496" t="s">
        <v>6</v>
      </c>
      <c r="C496" t="s">
        <v>7</v>
      </c>
      <c r="D496" t="s">
        <v>220</v>
      </c>
      <c r="E496" t="s">
        <v>24</v>
      </c>
      <c r="F496">
        <v>568.61</v>
      </c>
      <c r="G496" s="3">
        <v>15</v>
      </c>
      <c r="H496">
        <f t="shared" si="7"/>
        <v>15</v>
      </c>
      <c r="I496">
        <v>1</v>
      </c>
    </row>
    <row r="497" spans="1:9" ht="15.75" thickBot="1" x14ac:dyDescent="0.3">
      <c r="A497" s="1">
        <v>44197</v>
      </c>
      <c r="B497" t="s">
        <v>6</v>
      </c>
      <c r="C497" t="s">
        <v>7</v>
      </c>
      <c r="D497" t="s">
        <v>220</v>
      </c>
      <c r="E497" t="s">
        <v>12</v>
      </c>
      <c r="F497">
        <v>1315.73</v>
      </c>
      <c r="G497" s="5">
        <v>61373.413</v>
      </c>
      <c r="H497">
        <f t="shared" si="7"/>
        <v>61.373412999999999</v>
      </c>
      <c r="I497">
        <v>7</v>
      </c>
    </row>
    <row r="498" spans="1:9" ht="15.75" thickBot="1" x14ac:dyDescent="0.3">
      <c r="A498" s="1">
        <v>44197</v>
      </c>
      <c r="B498" t="s">
        <v>6</v>
      </c>
      <c r="C498" t="s">
        <v>7</v>
      </c>
      <c r="D498" t="s">
        <v>220</v>
      </c>
      <c r="E498" t="s">
        <v>9</v>
      </c>
      <c r="F498">
        <v>1330.87</v>
      </c>
      <c r="G498" s="3">
        <v>20</v>
      </c>
      <c r="H498">
        <f t="shared" si="7"/>
        <v>20</v>
      </c>
      <c r="I498">
        <v>9</v>
      </c>
    </row>
    <row r="499" spans="1:9" ht="15.75" thickBot="1" x14ac:dyDescent="0.3">
      <c r="A499" s="1">
        <v>44197</v>
      </c>
      <c r="B499" t="s">
        <v>6</v>
      </c>
      <c r="C499" t="s">
        <v>7</v>
      </c>
      <c r="D499" t="s">
        <v>221</v>
      </c>
      <c r="E499" t="s">
        <v>12</v>
      </c>
      <c r="F499">
        <v>198.96</v>
      </c>
      <c r="G499" s="5">
        <v>5832</v>
      </c>
      <c r="H499">
        <f t="shared" si="7"/>
        <v>5.8319999999999999</v>
      </c>
      <c r="I499">
        <v>1</v>
      </c>
    </row>
    <row r="500" spans="1:9" ht="15.75" thickBot="1" x14ac:dyDescent="0.3">
      <c r="A500" s="1">
        <v>44197</v>
      </c>
      <c r="B500" t="s">
        <v>6</v>
      </c>
      <c r="C500" t="s">
        <v>7</v>
      </c>
      <c r="D500" t="s">
        <v>222</v>
      </c>
      <c r="E500" t="s">
        <v>14</v>
      </c>
      <c r="F500">
        <v>1456.75</v>
      </c>
      <c r="G500" s="3">
        <v>8</v>
      </c>
      <c r="H500">
        <f t="shared" si="7"/>
        <v>8</v>
      </c>
      <c r="I500">
        <v>1</v>
      </c>
    </row>
    <row r="501" spans="1:9" ht="15.75" thickBot="1" x14ac:dyDescent="0.3">
      <c r="A501" s="1">
        <v>44197</v>
      </c>
      <c r="B501" t="s">
        <v>6</v>
      </c>
      <c r="C501" t="s">
        <v>7</v>
      </c>
      <c r="D501" t="s">
        <v>222</v>
      </c>
      <c r="E501" t="s">
        <v>12</v>
      </c>
      <c r="F501">
        <v>58307.63</v>
      </c>
      <c r="G501" s="5">
        <v>2068490.8559999999</v>
      </c>
      <c r="H501">
        <f t="shared" si="7"/>
        <v>2068.4908559999999</v>
      </c>
      <c r="I501">
        <v>220</v>
      </c>
    </row>
    <row r="502" spans="1:9" ht="15.75" thickBot="1" x14ac:dyDescent="0.3">
      <c r="A502" s="1">
        <v>44197</v>
      </c>
      <c r="B502" t="s">
        <v>6</v>
      </c>
      <c r="C502" t="s">
        <v>7</v>
      </c>
      <c r="D502" t="s">
        <v>222</v>
      </c>
      <c r="E502" t="s">
        <v>9</v>
      </c>
      <c r="F502">
        <v>11604.02</v>
      </c>
      <c r="G502" s="5">
        <v>352000</v>
      </c>
      <c r="H502">
        <f t="shared" si="7"/>
        <v>352000</v>
      </c>
      <c r="I502">
        <v>55</v>
      </c>
    </row>
    <row r="503" spans="1:9" ht="15.75" thickBot="1" x14ac:dyDescent="0.3">
      <c r="A503" s="1">
        <v>44197</v>
      </c>
      <c r="B503" t="s">
        <v>6</v>
      </c>
      <c r="C503" t="s">
        <v>7</v>
      </c>
      <c r="D503" t="s">
        <v>222</v>
      </c>
      <c r="E503" t="s">
        <v>17</v>
      </c>
      <c r="F503">
        <v>1098.05</v>
      </c>
      <c r="G503" s="5">
        <v>36000</v>
      </c>
      <c r="H503">
        <f t="shared" si="7"/>
        <v>36000</v>
      </c>
      <c r="I503">
        <v>3</v>
      </c>
    </row>
    <row r="504" spans="1:9" ht="15.75" thickBot="1" x14ac:dyDescent="0.3">
      <c r="A504" s="1">
        <v>44197</v>
      </c>
      <c r="B504" t="s">
        <v>6</v>
      </c>
      <c r="C504" t="s">
        <v>7</v>
      </c>
      <c r="D504" t="s">
        <v>223</v>
      </c>
      <c r="E504" t="s">
        <v>12</v>
      </c>
      <c r="F504">
        <v>2172.7399999999998</v>
      </c>
      <c r="G504" s="5">
        <v>93289.002999999997</v>
      </c>
      <c r="H504">
        <f t="shared" si="7"/>
        <v>93.289002999999994</v>
      </c>
      <c r="I504">
        <v>8</v>
      </c>
    </row>
    <row r="505" spans="1:9" ht="15.75" thickBot="1" x14ac:dyDescent="0.3">
      <c r="A505" s="1">
        <v>44197</v>
      </c>
      <c r="B505" t="s">
        <v>6</v>
      </c>
      <c r="C505" t="s">
        <v>7</v>
      </c>
      <c r="D505" t="s">
        <v>223</v>
      </c>
      <c r="E505" t="s">
        <v>9</v>
      </c>
      <c r="F505">
        <v>263.52999999999997</v>
      </c>
      <c r="G505" s="3">
        <v>3</v>
      </c>
      <c r="H505">
        <f t="shared" si="7"/>
        <v>3</v>
      </c>
      <c r="I505">
        <v>2</v>
      </c>
    </row>
    <row r="506" spans="1:9" ht="15.75" thickBot="1" x14ac:dyDescent="0.3">
      <c r="A506" s="1">
        <v>44197</v>
      </c>
      <c r="B506" t="s">
        <v>6</v>
      </c>
      <c r="C506" t="s">
        <v>7</v>
      </c>
      <c r="D506" t="s">
        <v>224</v>
      </c>
      <c r="E506" t="s">
        <v>24</v>
      </c>
      <c r="F506">
        <v>7143.94</v>
      </c>
      <c r="G506" s="3">
        <v>247</v>
      </c>
      <c r="H506">
        <f t="shared" si="7"/>
        <v>247</v>
      </c>
      <c r="I506">
        <v>1</v>
      </c>
    </row>
    <row r="507" spans="1:9" ht="15.75" thickBot="1" x14ac:dyDescent="0.3">
      <c r="A507" s="1">
        <v>44197</v>
      </c>
      <c r="B507" t="s">
        <v>6</v>
      </c>
      <c r="C507" t="s">
        <v>7</v>
      </c>
      <c r="D507" t="s">
        <v>225</v>
      </c>
      <c r="E507" t="s">
        <v>24</v>
      </c>
      <c r="F507">
        <v>704.46</v>
      </c>
      <c r="G507" s="3">
        <v>20</v>
      </c>
      <c r="H507">
        <f t="shared" si="7"/>
        <v>20</v>
      </c>
      <c r="I507">
        <v>2</v>
      </c>
    </row>
    <row r="508" spans="1:9" ht="15.75" thickBot="1" x14ac:dyDescent="0.3">
      <c r="A508" s="1">
        <v>44197</v>
      </c>
      <c r="B508" t="s">
        <v>6</v>
      </c>
      <c r="C508" t="s">
        <v>7</v>
      </c>
      <c r="D508" t="s">
        <v>226</v>
      </c>
      <c r="E508" t="s">
        <v>14</v>
      </c>
      <c r="F508">
        <v>5451.36</v>
      </c>
      <c r="G508" s="3">
        <v>173</v>
      </c>
      <c r="H508">
        <f t="shared" si="7"/>
        <v>173</v>
      </c>
      <c r="I508">
        <v>2</v>
      </c>
    </row>
    <row r="509" spans="1:9" ht="15.75" thickBot="1" x14ac:dyDescent="0.3">
      <c r="A509" s="1">
        <v>44197</v>
      </c>
      <c r="B509" t="s">
        <v>6</v>
      </c>
      <c r="C509" t="s">
        <v>7</v>
      </c>
      <c r="D509" t="s">
        <v>226</v>
      </c>
      <c r="E509" t="s">
        <v>12</v>
      </c>
      <c r="F509">
        <v>42764.32</v>
      </c>
      <c r="G509" s="5">
        <v>1889000</v>
      </c>
      <c r="H509">
        <f t="shared" si="7"/>
        <v>1889</v>
      </c>
      <c r="I509">
        <v>15</v>
      </c>
    </row>
    <row r="510" spans="1:9" ht="15.75" thickBot="1" x14ac:dyDescent="0.3">
      <c r="A510" s="1">
        <v>44197</v>
      </c>
      <c r="B510" t="s">
        <v>6</v>
      </c>
      <c r="C510" t="s">
        <v>7</v>
      </c>
      <c r="D510" t="s">
        <v>226</v>
      </c>
      <c r="E510" t="s">
        <v>9</v>
      </c>
      <c r="F510">
        <v>1492.41</v>
      </c>
      <c r="G510" s="3">
        <v>37</v>
      </c>
      <c r="H510">
        <f t="shared" si="7"/>
        <v>37</v>
      </c>
      <c r="I510">
        <v>5</v>
      </c>
    </row>
    <row r="511" spans="1:9" ht="15.75" thickBot="1" x14ac:dyDescent="0.3">
      <c r="A511" s="1">
        <v>44197</v>
      </c>
      <c r="B511" t="s">
        <v>6</v>
      </c>
      <c r="C511" t="s">
        <v>7</v>
      </c>
      <c r="D511" t="s">
        <v>227</v>
      </c>
      <c r="E511" t="s">
        <v>24</v>
      </c>
      <c r="F511">
        <v>1359.28</v>
      </c>
      <c r="G511" s="3">
        <v>4</v>
      </c>
      <c r="H511">
        <f t="shared" si="7"/>
        <v>4</v>
      </c>
      <c r="I511">
        <v>2</v>
      </c>
    </row>
    <row r="512" spans="1:9" ht="15.75" thickBot="1" x14ac:dyDescent="0.3">
      <c r="A512" s="1">
        <v>44197</v>
      </c>
      <c r="B512" t="s">
        <v>6</v>
      </c>
      <c r="C512" t="s">
        <v>7</v>
      </c>
      <c r="D512" t="s">
        <v>228</v>
      </c>
      <c r="E512" t="s">
        <v>24</v>
      </c>
      <c r="F512">
        <v>7758.92</v>
      </c>
      <c r="G512" s="3">
        <v>231</v>
      </c>
      <c r="H512">
        <f t="shared" si="7"/>
        <v>231</v>
      </c>
      <c r="I512">
        <v>17</v>
      </c>
    </row>
    <row r="513" spans="1:9" ht="15.75" thickBot="1" x14ac:dyDescent="0.3">
      <c r="A513" s="1">
        <v>44197</v>
      </c>
      <c r="B513" t="s">
        <v>6</v>
      </c>
      <c r="C513" t="s">
        <v>7</v>
      </c>
      <c r="D513" t="s">
        <v>228</v>
      </c>
      <c r="E513" t="s">
        <v>12</v>
      </c>
      <c r="F513">
        <v>195183.91</v>
      </c>
      <c r="G513" s="5">
        <v>7089968.358</v>
      </c>
      <c r="H513">
        <f t="shared" si="7"/>
        <v>7089.9683580000001</v>
      </c>
      <c r="I513">
        <v>753</v>
      </c>
    </row>
    <row r="514" spans="1:9" ht="15.75" thickBot="1" x14ac:dyDescent="0.3">
      <c r="A514" s="1">
        <v>44197</v>
      </c>
      <c r="B514" t="s">
        <v>6</v>
      </c>
      <c r="C514" t="s">
        <v>7</v>
      </c>
      <c r="D514" t="s">
        <v>228</v>
      </c>
      <c r="E514" t="s">
        <v>9</v>
      </c>
      <c r="F514">
        <v>59.51</v>
      </c>
      <c r="G514" s="5">
        <v>235.2</v>
      </c>
      <c r="H514">
        <f t="shared" si="7"/>
        <v>235.2</v>
      </c>
      <c r="I514">
        <v>1</v>
      </c>
    </row>
    <row r="515" spans="1:9" ht="15.75" thickBot="1" x14ac:dyDescent="0.3">
      <c r="A515" s="1">
        <v>44197</v>
      </c>
      <c r="B515" t="s">
        <v>6</v>
      </c>
      <c r="C515" t="s">
        <v>7</v>
      </c>
      <c r="D515" t="s">
        <v>228</v>
      </c>
      <c r="E515" t="s">
        <v>17</v>
      </c>
      <c r="F515">
        <v>307.79000000000002</v>
      </c>
      <c r="G515" s="5">
        <v>13000</v>
      </c>
      <c r="H515">
        <f t="shared" ref="H515:H578" si="8">IF(ISNUMBER(SEARCH("Domestic customer", E515)),G515/1000,G515)</f>
        <v>13000</v>
      </c>
      <c r="I515">
        <v>2</v>
      </c>
    </row>
    <row r="516" spans="1:9" ht="15.75" thickBot="1" x14ac:dyDescent="0.3">
      <c r="A516" s="1">
        <v>44197</v>
      </c>
      <c r="B516" t="s">
        <v>6</v>
      </c>
      <c r="C516" t="s">
        <v>7</v>
      </c>
      <c r="D516" t="s">
        <v>229</v>
      </c>
      <c r="E516" t="s">
        <v>15</v>
      </c>
      <c r="F516">
        <v>2548.29</v>
      </c>
      <c r="G516" s="3">
        <v>50</v>
      </c>
      <c r="H516">
        <f t="shared" si="8"/>
        <v>50</v>
      </c>
      <c r="I516">
        <v>1</v>
      </c>
    </row>
    <row r="517" spans="1:9" ht="15.75" thickBot="1" x14ac:dyDescent="0.3">
      <c r="A517" s="1">
        <v>44197</v>
      </c>
      <c r="B517" t="s">
        <v>6</v>
      </c>
      <c r="C517" t="s">
        <v>7</v>
      </c>
      <c r="D517" t="s">
        <v>229</v>
      </c>
      <c r="E517" t="s">
        <v>9</v>
      </c>
      <c r="F517">
        <v>163.13999999999999</v>
      </c>
      <c r="G517" s="4">
        <v>0</v>
      </c>
      <c r="H517">
        <f t="shared" si="8"/>
        <v>0</v>
      </c>
      <c r="I517">
        <v>2</v>
      </c>
    </row>
    <row r="518" spans="1:9" ht="15.75" thickBot="1" x14ac:dyDescent="0.3">
      <c r="A518" s="1">
        <v>44197</v>
      </c>
      <c r="B518" t="s">
        <v>6</v>
      </c>
      <c r="C518" t="s">
        <v>7</v>
      </c>
      <c r="D518" t="s">
        <v>230</v>
      </c>
      <c r="E518" t="s">
        <v>14</v>
      </c>
      <c r="F518">
        <v>303.24</v>
      </c>
      <c r="G518" s="3">
        <v>7</v>
      </c>
      <c r="H518">
        <f t="shared" si="8"/>
        <v>7</v>
      </c>
      <c r="I518">
        <v>2</v>
      </c>
    </row>
    <row r="519" spans="1:9" ht="15.75" thickBot="1" x14ac:dyDescent="0.3">
      <c r="A519" s="1">
        <v>44197</v>
      </c>
      <c r="B519" t="s">
        <v>6</v>
      </c>
      <c r="C519" t="s">
        <v>7</v>
      </c>
      <c r="D519" t="s">
        <v>230</v>
      </c>
      <c r="E519" t="s">
        <v>24</v>
      </c>
      <c r="F519">
        <v>249.5</v>
      </c>
      <c r="G519" s="3">
        <v>5</v>
      </c>
      <c r="H519">
        <f t="shared" si="8"/>
        <v>5</v>
      </c>
      <c r="I519">
        <v>2</v>
      </c>
    </row>
    <row r="520" spans="1:9" ht="15.75" thickBot="1" x14ac:dyDescent="0.3">
      <c r="A520" s="1">
        <v>44197</v>
      </c>
      <c r="B520" t="s">
        <v>6</v>
      </c>
      <c r="C520" t="s">
        <v>7</v>
      </c>
      <c r="D520" t="s">
        <v>230</v>
      </c>
      <c r="E520" t="s">
        <v>12</v>
      </c>
      <c r="F520">
        <v>15369.18</v>
      </c>
      <c r="G520" s="6">
        <v>168563.514</v>
      </c>
      <c r="H520">
        <f t="shared" si="8"/>
        <v>168.563514</v>
      </c>
      <c r="I520">
        <v>52</v>
      </c>
    </row>
    <row r="521" spans="1:9" ht="15.75" thickBot="1" x14ac:dyDescent="0.3">
      <c r="A521" s="1">
        <v>44197</v>
      </c>
      <c r="B521" t="s">
        <v>6</v>
      </c>
      <c r="C521" t="s">
        <v>7</v>
      </c>
      <c r="D521" t="s">
        <v>230</v>
      </c>
      <c r="E521" t="s">
        <v>9</v>
      </c>
      <c r="F521">
        <v>4187.3</v>
      </c>
      <c r="G521" s="3">
        <v>128</v>
      </c>
      <c r="H521">
        <f t="shared" si="8"/>
        <v>128</v>
      </c>
      <c r="I521">
        <v>12</v>
      </c>
    </row>
    <row r="522" spans="1:9" ht="15.75" thickBot="1" x14ac:dyDescent="0.3">
      <c r="A522" s="1">
        <v>44197</v>
      </c>
      <c r="B522" t="s">
        <v>6</v>
      </c>
      <c r="C522" t="s">
        <v>7</v>
      </c>
      <c r="D522" t="s">
        <v>230</v>
      </c>
      <c r="E522" t="s">
        <v>17</v>
      </c>
      <c r="F522">
        <v>2833.14</v>
      </c>
      <c r="G522" s="3">
        <v>77</v>
      </c>
      <c r="H522">
        <f t="shared" si="8"/>
        <v>77</v>
      </c>
      <c r="I522">
        <v>14</v>
      </c>
    </row>
    <row r="523" spans="1:9" ht="15.75" thickBot="1" x14ac:dyDescent="0.3">
      <c r="A523" s="1">
        <v>44197</v>
      </c>
      <c r="B523" t="s">
        <v>6</v>
      </c>
      <c r="C523" t="s">
        <v>7</v>
      </c>
      <c r="D523" t="s">
        <v>231</v>
      </c>
      <c r="E523" t="s">
        <v>14</v>
      </c>
      <c r="F523">
        <v>5679.64</v>
      </c>
      <c r="G523" s="3">
        <v>2</v>
      </c>
      <c r="H523">
        <f t="shared" si="8"/>
        <v>2</v>
      </c>
      <c r="I523">
        <v>1</v>
      </c>
    </row>
    <row r="524" spans="1:9" ht="15.75" thickBot="1" x14ac:dyDescent="0.3">
      <c r="A524" s="1">
        <v>44197</v>
      </c>
      <c r="B524" t="s">
        <v>6</v>
      </c>
      <c r="C524" t="s">
        <v>7</v>
      </c>
      <c r="D524" t="s">
        <v>231</v>
      </c>
      <c r="E524" t="s">
        <v>9</v>
      </c>
      <c r="F524">
        <v>7509.3</v>
      </c>
      <c r="G524" s="3">
        <v>63</v>
      </c>
      <c r="H524">
        <f t="shared" si="8"/>
        <v>63</v>
      </c>
      <c r="I524">
        <v>3</v>
      </c>
    </row>
    <row r="525" spans="1:9" ht="15.75" thickBot="1" x14ac:dyDescent="0.3">
      <c r="A525" s="1">
        <v>44197</v>
      </c>
      <c r="B525" t="s">
        <v>6</v>
      </c>
      <c r="C525" t="s">
        <v>7</v>
      </c>
      <c r="D525" t="s">
        <v>232</v>
      </c>
      <c r="E525" t="s">
        <v>14</v>
      </c>
      <c r="F525">
        <v>9849.36</v>
      </c>
      <c r="G525" s="3">
        <v>323</v>
      </c>
      <c r="H525">
        <f t="shared" si="8"/>
        <v>323</v>
      </c>
      <c r="I525">
        <v>2</v>
      </c>
    </row>
    <row r="526" spans="1:9" ht="15.75" thickBot="1" x14ac:dyDescent="0.3">
      <c r="A526" s="1">
        <v>44197</v>
      </c>
      <c r="B526" t="s">
        <v>6</v>
      </c>
      <c r="C526" t="s">
        <v>7</v>
      </c>
      <c r="D526" t="s">
        <v>232</v>
      </c>
      <c r="E526" t="s">
        <v>12</v>
      </c>
      <c r="F526">
        <v>66311.28</v>
      </c>
      <c r="G526" s="5">
        <v>2705000</v>
      </c>
      <c r="H526">
        <f t="shared" si="8"/>
        <v>2705</v>
      </c>
      <c r="I526">
        <v>6</v>
      </c>
    </row>
    <row r="527" spans="1:9" ht="15.75" thickBot="1" x14ac:dyDescent="0.3">
      <c r="A527" s="1">
        <v>44197</v>
      </c>
      <c r="B527" t="s">
        <v>6</v>
      </c>
      <c r="C527" t="s">
        <v>7</v>
      </c>
      <c r="D527" t="s">
        <v>232</v>
      </c>
      <c r="E527" t="s">
        <v>9</v>
      </c>
      <c r="F527">
        <v>18345.07</v>
      </c>
      <c r="G527" s="6">
        <v>859010</v>
      </c>
      <c r="H527">
        <f t="shared" si="8"/>
        <v>859010</v>
      </c>
      <c r="I527">
        <v>7</v>
      </c>
    </row>
    <row r="528" spans="1:9" ht="15.75" thickBot="1" x14ac:dyDescent="0.3">
      <c r="A528" s="1">
        <v>44197</v>
      </c>
      <c r="B528" t="s">
        <v>6</v>
      </c>
      <c r="C528" t="s">
        <v>7</v>
      </c>
      <c r="D528" t="s">
        <v>232</v>
      </c>
      <c r="E528" t="s">
        <v>17</v>
      </c>
      <c r="F528">
        <v>261.10000000000002</v>
      </c>
      <c r="G528" s="5">
        <v>7000</v>
      </c>
      <c r="H528">
        <f t="shared" si="8"/>
        <v>7000</v>
      </c>
      <c r="I528">
        <v>1</v>
      </c>
    </row>
    <row r="529" spans="1:9" ht="15.75" thickBot="1" x14ac:dyDescent="0.3">
      <c r="A529" s="1">
        <v>44197</v>
      </c>
      <c r="B529" t="s">
        <v>6</v>
      </c>
      <c r="C529" t="s">
        <v>7</v>
      </c>
      <c r="D529" t="s">
        <v>233</v>
      </c>
      <c r="E529" t="s">
        <v>24</v>
      </c>
      <c r="F529">
        <v>100</v>
      </c>
      <c r="G529" s="3">
        <v>0</v>
      </c>
      <c r="H529">
        <f t="shared" si="8"/>
        <v>0</v>
      </c>
      <c r="I529">
        <v>1</v>
      </c>
    </row>
    <row r="530" spans="1:9" ht="15.75" thickBot="1" x14ac:dyDescent="0.3">
      <c r="A530" s="1">
        <v>44197</v>
      </c>
      <c r="B530" t="s">
        <v>6</v>
      </c>
      <c r="C530" t="s">
        <v>7</v>
      </c>
      <c r="D530" t="s">
        <v>233</v>
      </c>
      <c r="E530" t="s">
        <v>12</v>
      </c>
      <c r="F530">
        <v>11709.88</v>
      </c>
      <c r="G530" s="6">
        <v>367759.03899999999</v>
      </c>
      <c r="H530">
        <f t="shared" si="8"/>
        <v>367.75903899999997</v>
      </c>
      <c r="I530">
        <v>18</v>
      </c>
    </row>
    <row r="531" spans="1:9" ht="15.75" thickBot="1" x14ac:dyDescent="0.3">
      <c r="A531" s="1">
        <v>44197</v>
      </c>
      <c r="B531" t="s">
        <v>6</v>
      </c>
      <c r="C531" t="s">
        <v>7</v>
      </c>
      <c r="D531" t="s">
        <v>233</v>
      </c>
      <c r="E531" t="s">
        <v>9</v>
      </c>
      <c r="F531">
        <v>595.22</v>
      </c>
      <c r="G531" s="5">
        <v>14000</v>
      </c>
      <c r="H531">
        <f t="shared" si="8"/>
        <v>14000</v>
      </c>
      <c r="I531">
        <v>4</v>
      </c>
    </row>
    <row r="532" spans="1:9" ht="15.75" thickBot="1" x14ac:dyDescent="0.3">
      <c r="A532" s="1">
        <v>44197</v>
      </c>
      <c r="B532" t="s">
        <v>6</v>
      </c>
      <c r="C532" t="s">
        <v>7</v>
      </c>
      <c r="D532" t="s">
        <v>233</v>
      </c>
      <c r="E532" t="s">
        <v>17</v>
      </c>
      <c r="F532">
        <v>1928.21</v>
      </c>
      <c r="G532" s="3">
        <v>12</v>
      </c>
      <c r="H532">
        <f t="shared" si="8"/>
        <v>12</v>
      </c>
      <c r="I532">
        <v>1</v>
      </c>
    </row>
    <row r="533" spans="1:9" ht="15.75" thickBot="1" x14ac:dyDescent="0.3">
      <c r="A533" s="1">
        <v>44197</v>
      </c>
      <c r="B533" t="s">
        <v>6</v>
      </c>
      <c r="C533" t="s">
        <v>7</v>
      </c>
      <c r="D533" t="s">
        <v>234</v>
      </c>
      <c r="E533" t="s">
        <v>12</v>
      </c>
      <c r="F533">
        <v>129.82</v>
      </c>
      <c r="G533" s="5">
        <v>2000</v>
      </c>
      <c r="H533">
        <f t="shared" si="8"/>
        <v>2</v>
      </c>
      <c r="I533">
        <v>1</v>
      </c>
    </row>
    <row r="534" spans="1:9" ht="15.75" thickBot="1" x14ac:dyDescent="0.3">
      <c r="A534" s="1">
        <v>44197</v>
      </c>
      <c r="B534" t="s">
        <v>6</v>
      </c>
      <c r="C534" t="s">
        <v>7</v>
      </c>
      <c r="D534" t="s">
        <v>235</v>
      </c>
      <c r="E534" t="s">
        <v>24</v>
      </c>
      <c r="F534">
        <v>419123.56</v>
      </c>
      <c r="G534" s="6">
        <v>6809620.2019999996</v>
      </c>
      <c r="H534">
        <f t="shared" si="8"/>
        <v>6809620.2019999996</v>
      </c>
      <c r="I534">
        <v>24</v>
      </c>
    </row>
    <row r="535" spans="1:9" ht="15.75" thickBot="1" x14ac:dyDescent="0.3">
      <c r="A535" s="1">
        <v>44197</v>
      </c>
      <c r="B535" t="s">
        <v>6</v>
      </c>
      <c r="C535" t="s">
        <v>7</v>
      </c>
      <c r="D535" t="s">
        <v>235</v>
      </c>
      <c r="E535" t="s">
        <v>12</v>
      </c>
      <c r="F535">
        <v>59719.61</v>
      </c>
      <c r="G535" s="6">
        <v>5618461.727</v>
      </c>
      <c r="H535">
        <f t="shared" si="8"/>
        <v>5618.4617269999999</v>
      </c>
      <c r="I535">
        <v>617</v>
      </c>
    </row>
    <row r="536" spans="1:9" ht="15.75" thickBot="1" x14ac:dyDescent="0.3">
      <c r="A536" s="1">
        <v>44197</v>
      </c>
      <c r="B536" t="s">
        <v>6</v>
      </c>
      <c r="C536" t="s">
        <v>7</v>
      </c>
      <c r="D536" t="s">
        <v>235</v>
      </c>
      <c r="E536" t="s">
        <v>15</v>
      </c>
      <c r="F536">
        <v>329.2</v>
      </c>
      <c r="G536" s="3">
        <v>10</v>
      </c>
      <c r="H536">
        <f t="shared" si="8"/>
        <v>10</v>
      </c>
      <c r="I536">
        <v>1</v>
      </c>
    </row>
    <row r="537" spans="1:9" ht="15.75" thickBot="1" x14ac:dyDescent="0.3">
      <c r="A537" s="1">
        <v>44197</v>
      </c>
      <c r="B537" t="s">
        <v>6</v>
      </c>
      <c r="C537" t="s">
        <v>7</v>
      </c>
      <c r="D537" t="s">
        <v>235</v>
      </c>
      <c r="E537" t="s">
        <v>9</v>
      </c>
      <c r="F537">
        <v>19364.78</v>
      </c>
      <c r="G537" s="6">
        <v>76463.322</v>
      </c>
      <c r="H537">
        <f t="shared" si="8"/>
        <v>76463.322</v>
      </c>
      <c r="I537">
        <v>81</v>
      </c>
    </row>
    <row r="538" spans="1:9" ht="15.75" thickBot="1" x14ac:dyDescent="0.3">
      <c r="A538" s="1">
        <v>44197</v>
      </c>
      <c r="B538" t="s">
        <v>6</v>
      </c>
      <c r="C538" t="s">
        <v>7</v>
      </c>
      <c r="D538" t="s">
        <v>235</v>
      </c>
      <c r="E538" t="s">
        <v>17</v>
      </c>
      <c r="F538">
        <v>36214.839999999997</v>
      </c>
      <c r="G538" s="6">
        <v>447770.348</v>
      </c>
      <c r="H538">
        <f t="shared" si="8"/>
        <v>447770.348</v>
      </c>
      <c r="I538">
        <v>116</v>
      </c>
    </row>
    <row r="539" spans="1:9" ht="15.75" thickBot="1" x14ac:dyDescent="0.3">
      <c r="A539" s="1">
        <v>44197</v>
      </c>
      <c r="B539" t="s">
        <v>6</v>
      </c>
      <c r="C539" t="s">
        <v>7</v>
      </c>
      <c r="D539" t="s">
        <v>236</v>
      </c>
      <c r="E539" t="s">
        <v>12</v>
      </c>
      <c r="F539">
        <v>3567.45</v>
      </c>
      <c r="G539" s="5">
        <v>98000</v>
      </c>
      <c r="H539">
        <f t="shared" si="8"/>
        <v>98</v>
      </c>
      <c r="I539">
        <v>3</v>
      </c>
    </row>
    <row r="540" spans="1:9" ht="15.75" thickBot="1" x14ac:dyDescent="0.3">
      <c r="A540" s="1">
        <v>44197</v>
      </c>
      <c r="B540" t="s">
        <v>6</v>
      </c>
      <c r="C540" t="s">
        <v>7</v>
      </c>
      <c r="D540" t="s">
        <v>237</v>
      </c>
      <c r="E540" t="s">
        <v>12</v>
      </c>
      <c r="F540">
        <v>81.569999999999993</v>
      </c>
      <c r="G540" s="4">
        <v>0</v>
      </c>
      <c r="H540">
        <f t="shared" si="8"/>
        <v>0</v>
      </c>
      <c r="I540">
        <v>1</v>
      </c>
    </row>
    <row r="541" spans="1:9" ht="15.75" thickBot="1" x14ac:dyDescent="0.3">
      <c r="A541" s="1">
        <v>44197</v>
      </c>
      <c r="B541" t="s">
        <v>6</v>
      </c>
      <c r="C541" t="s">
        <v>7</v>
      </c>
      <c r="D541" t="s">
        <v>238</v>
      </c>
      <c r="E541" t="s">
        <v>9</v>
      </c>
      <c r="F541">
        <v>1957.24</v>
      </c>
      <c r="G541" s="3">
        <v>57</v>
      </c>
      <c r="H541">
        <f t="shared" si="8"/>
        <v>57</v>
      </c>
      <c r="I541">
        <v>1</v>
      </c>
    </row>
    <row r="542" spans="1:9" ht="15.75" thickBot="1" x14ac:dyDescent="0.3">
      <c r="A542" s="1">
        <v>44197</v>
      </c>
      <c r="B542" t="s">
        <v>6</v>
      </c>
      <c r="C542" t="s">
        <v>7</v>
      </c>
      <c r="D542" t="s">
        <v>239</v>
      </c>
      <c r="E542" t="s">
        <v>12</v>
      </c>
      <c r="F542">
        <v>389.45</v>
      </c>
      <c r="G542" s="5">
        <v>8000</v>
      </c>
      <c r="H542">
        <f t="shared" si="8"/>
        <v>8</v>
      </c>
      <c r="I542">
        <v>3</v>
      </c>
    </row>
    <row r="543" spans="1:9" ht="15.75" thickBot="1" x14ac:dyDescent="0.3">
      <c r="A543" s="1">
        <v>44197</v>
      </c>
      <c r="B543" t="s">
        <v>6</v>
      </c>
      <c r="C543" t="s">
        <v>7</v>
      </c>
      <c r="D543" t="s">
        <v>239</v>
      </c>
      <c r="E543" t="s">
        <v>9</v>
      </c>
      <c r="F543">
        <v>407.85</v>
      </c>
      <c r="G543" s="4">
        <v>0</v>
      </c>
      <c r="H543">
        <f t="shared" si="8"/>
        <v>0</v>
      </c>
      <c r="I543">
        <v>5</v>
      </c>
    </row>
    <row r="544" spans="1:9" ht="15.75" thickBot="1" x14ac:dyDescent="0.3">
      <c r="A544" s="1">
        <v>44197</v>
      </c>
      <c r="B544" t="s">
        <v>6</v>
      </c>
      <c r="C544" t="s">
        <v>7</v>
      </c>
      <c r="D544" t="s">
        <v>240</v>
      </c>
      <c r="E544" t="s">
        <v>12</v>
      </c>
      <c r="F544">
        <v>19249.38</v>
      </c>
      <c r="G544" s="5">
        <v>734000</v>
      </c>
      <c r="H544">
        <f t="shared" si="8"/>
        <v>734</v>
      </c>
      <c r="I544">
        <v>9</v>
      </c>
    </row>
    <row r="545" spans="1:9" ht="15.75" thickBot="1" x14ac:dyDescent="0.3">
      <c r="A545" s="1">
        <v>44197</v>
      </c>
      <c r="B545" t="s">
        <v>6</v>
      </c>
      <c r="C545" t="s">
        <v>7</v>
      </c>
      <c r="D545" t="s">
        <v>240</v>
      </c>
      <c r="E545" t="s">
        <v>9</v>
      </c>
      <c r="F545">
        <v>380.84</v>
      </c>
      <c r="G545" s="6">
        <v>19017</v>
      </c>
      <c r="H545">
        <f t="shared" si="8"/>
        <v>19017</v>
      </c>
      <c r="I545">
        <v>8</v>
      </c>
    </row>
    <row r="546" spans="1:9" ht="15.75" thickBot="1" x14ac:dyDescent="0.3">
      <c r="A546" s="1">
        <v>44197</v>
      </c>
      <c r="B546" t="s">
        <v>6</v>
      </c>
      <c r="C546" t="s">
        <v>7</v>
      </c>
      <c r="D546" t="s">
        <v>241</v>
      </c>
      <c r="E546" t="s">
        <v>12</v>
      </c>
      <c r="F546">
        <v>2363.71</v>
      </c>
      <c r="G546" s="5">
        <v>74000</v>
      </c>
      <c r="H546">
        <f t="shared" si="8"/>
        <v>74</v>
      </c>
      <c r="I546">
        <v>6</v>
      </c>
    </row>
    <row r="547" spans="1:9" ht="15.75" thickBot="1" x14ac:dyDescent="0.3">
      <c r="A547" s="1">
        <v>44197</v>
      </c>
      <c r="B547" t="s">
        <v>6</v>
      </c>
      <c r="C547" t="s">
        <v>7</v>
      </c>
      <c r="D547" t="s">
        <v>242</v>
      </c>
      <c r="E547" t="s">
        <v>12</v>
      </c>
      <c r="F547">
        <v>623.05999999999995</v>
      </c>
      <c r="G547" s="5">
        <v>18000</v>
      </c>
      <c r="H547">
        <f t="shared" si="8"/>
        <v>18</v>
      </c>
      <c r="I547">
        <v>3</v>
      </c>
    </row>
    <row r="548" spans="1:9" ht="15.75" thickBot="1" x14ac:dyDescent="0.3">
      <c r="A548" s="1">
        <v>44197</v>
      </c>
      <c r="B548" t="s">
        <v>6</v>
      </c>
      <c r="C548" t="s">
        <v>7</v>
      </c>
      <c r="D548" t="s">
        <v>242</v>
      </c>
      <c r="E548" t="s">
        <v>9</v>
      </c>
      <c r="F548">
        <v>326.27999999999997</v>
      </c>
      <c r="G548" s="4">
        <v>0</v>
      </c>
      <c r="H548">
        <f t="shared" si="8"/>
        <v>0</v>
      </c>
      <c r="I548">
        <v>4</v>
      </c>
    </row>
    <row r="549" spans="1:9" ht="15.75" thickBot="1" x14ac:dyDescent="0.3">
      <c r="A549" s="1">
        <v>44197</v>
      </c>
      <c r="B549" t="s">
        <v>6</v>
      </c>
      <c r="C549" t="s">
        <v>7</v>
      </c>
      <c r="D549" t="s">
        <v>243</v>
      </c>
      <c r="E549" t="s">
        <v>12</v>
      </c>
      <c r="F549">
        <v>275.32</v>
      </c>
      <c r="G549" s="5">
        <v>12000</v>
      </c>
      <c r="H549">
        <f t="shared" si="8"/>
        <v>12</v>
      </c>
      <c r="I549">
        <v>1</v>
      </c>
    </row>
    <row r="550" spans="1:9" ht="15.75" thickBot="1" x14ac:dyDescent="0.3">
      <c r="A550" s="1">
        <v>44197</v>
      </c>
      <c r="B550" t="s">
        <v>6</v>
      </c>
      <c r="C550" t="s">
        <v>7</v>
      </c>
      <c r="D550" t="s">
        <v>244</v>
      </c>
      <c r="E550" t="s">
        <v>12</v>
      </c>
      <c r="F550">
        <v>159.63999999999999</v>
      </c>
      <c r="G550" s="5">
        <v>4000</v>
      </c>
      <c r="H550">
        <f t="shared" si="8"/>
        <v>4</v>
      </c>
      <c r="I550">
        <v>1</v>
      </c>
    </row>
    <row r="551" spans="1:9" ht="15.75" thickBot="1" x14ac:dyDescent="0.3">
      <c r="A551" s="1">
        <v>44197</v>
      </c>
      <c r="B551" t="s">
        <v>6</v>
      </c>
      <c r="C551" t="s">
        <v>7</v>
      </c>
      <c r="D551" t="s">
        <v>245</v>
      </c>
      <c r="E551" t="s">
        <v>12</v>
      </c>
      <c r="F551">
        <v>381.04</v>
      </c>
      <c r="G551" s="5">
        <v>14806.216</v>
      </c>
      <c r="H551">
        <f t="shared" si="8"/>
        <v>14.806216000000001</v>
      </c>
      <c r="I551">
        <v>2</v>
      </c>
    </row>
    <row r="552" spans="1:9" ht="15.75" thickBot="1" x14ac:dyDescent="0.3">
      <c r="A552" s="1">
        <v>44197</v>
      </c>
      <c r="B552" t="s">
        <v>6</v>
      </c>
      <c r="C552" t="s">
        <v>7</v>
      </c>
      <c r="D552" t="s">
        <v>246</v>
      </c>
      <c r="E552" t="s">
        <v>12</v>
      </c>
      <c r="F552">
        <v>14323.67</v>
      </c>
      <c r="G552" s="5">
        <v>421000</v>
      </c>
      <c r="H552">
        <f t="shared" si="8"/>
        <v>421</v>
      </c>
      <c r="I552">
        <v>75</v>
      </c>
    </row>
    <row r="553" spans="1:9" ht="15.75" thickBot="1" x14ac:dyDescent="0.3">
      <c r="A553" s="1">
        <v>44197</v>
      </c>
      <c r="B553" t="s">
        <v>6</v>
      </c>
      <c r="C553" t="s">
        <v>7</v>
      </c>
      <c r="D553" t="s">
        <v>246</v>
      </c>
      <c r="E553" t="s">
        <v>9</v>
      </c>
      <c r="F553">
        <v>174.55</v>
      </c>
      <c r="G553" s="5">
        <v>5000</v>
      </c>
      <c r="H553">
        <f t="shared" si="8"/>
        <v>5000</v>
      </c>
      <c r="I553">
        <v>1</v>
      </c>
    </row>
    <row r="554" spans="1:9" ht="15.75" thickBot="1" x14ac:dyDescent="0.3">
      <c r="A554" s="1">
        <v>44197</v>
      </c>
      <c r="B554" t="s">
        <v>6</v>
      </c>
      <c r="C554" t="s">
        <v>7</v>
      </c>
      <c r="D554" t="s">
        <v>247</v>
      </c>
      <c r="E554" t="s">
        <v>12</v>
      </c>
      <c r="F554">
        <v>144.72999999999999</v>
      </c>
      <c r="G554" s="5">
        <v>3000</v>
      </c>
      <c r="H554">
        <f t="shared" si="8"/>
        <v>3</v>
      </c>
      <c r="I554">
        <v>1</v>
      </c>
    </row>
    <row r="555" spans="1:9" ht="15.75" thickBot="1" x14ac:dyDescent="0.3">
      <c r="A555" s="1">
        <v>44197</v>
      </c>
      <c r="B555" t="s">
        <v>6</v>
      </c>
      <c r="C555" t="s">
        <v>7</v>
      </c>
      <c r="D555" t="s">
        <v>248</v>
      </c>
      <c r="E555" t="s">
        <v>9</v>
      </c>
      <c r="F555">
        <v>81.569999999999993</v>
      </c>
      <c r="G555" s="4">
        <v>0</v>
      </c>
      <c r="H555">
        <f t="shared" si="8"/>
        <v>0</v>
      </c>
      <c r="I555">
        <v>1</v>
      </c>
    </row>
    <row r="556" spans="1:9" ht="15.75" thickBot="1" x14ac:dyDescent="0.3">
      <c r="A556" s="1">
        <v>44197</v>
      </c>
      <c r="B556" t="s">
        <v>6</v>
      </c>
      <c r="C556" t="s">
        <v>7</v>
      </c>
      <c r="D556" t="s">
        <v>249</v>
      </c>
      <c r="E556" t="s">
        <v>14</v>
      </c>
      <c r="F556">
        <v>4883.1000000000004</v>
      </c>
      <c r="G556" s="3">
        <v>171</v>
      </c>
      <c r="H556">
        <f t="shared" si="8"/>
        <v>171</v>
      </c>
      <c r="I556">
        <v>3</v>
      </c>
    </row>
    <row r="557" spans="1:9" ht="15.75" thickBot="1" x14ac:dyDescent="0.3">
      <c r="A557" s="1">
        <v>44197</v>
      </c>
      <c r="B557" t="s">
        <v>6</v>
      </c>
      <c r="C557" t="s">
        <v>7</v>
      </c>
      <c r="D557" t="s">
        <v>249</v>
      </c>
      <c r="E557" t="s">
        <v>24</v>
      </c>
      <c r="F557">
        <v>41747.47</v>
      </c>
      <c r="G557" s="3">
        <v>1384</v>
      </c>
      <c r="H557">
        <f t="shared" si="8"/>
        <v>1384</v>
      </c>
      <c r="I557">
        <v>58</v>
      </c>
    </row>
    <row r="558" spans="1:9" ht="15.75" thickBot="1" x14ac:dyDescent="0.3">
      <c r="A558" s="1">
        <v>44197</v>
      </c>
      <c r="B558" t="s">
        <v>6</v>
      </c>
      <c r="C558" t="s">
        <v>7</v>
      </c>
      <c r="D558" t="s">
        <v>249</v>
      </c>
      <c r="E558" t="s">
        <v>12</v>
      </c>
      <c r="F558">
        <v>68701.16</v>
      </c>
      <c r="G558" s="6">
        <v>2156409.3450000002</v>
      </c>
      <c r="H558">
        <f t="shared" si="8"/>
        <v>2156.409345</v>
      </c>
      <c r="I558">
        <v>76</v>
      </c>
    </row>
    <row r="559" spans="1:9" ht="15.75" thickBot="1" x14ac:dyDescent="0.3">
      <c r="A559" s="1">
        <v>44197</v>
      </c>
      <c r="B559" t="s">
        <v>6</v>
      </c>
      <c r="C559" t="s">
        <v>7</v>
      </c>
      <c r="D559" t="s">
        <v>249</v>
      </c>
      <c r="E559" t="s">
        <v>15</v>
      </c>
      <c r="F559">
        <v>129.63</v>
      </c>
      <c r="G559" s="3">
        <v>1</v>
      </c>
      <c r="H559">
        <f t="shared" si="8"/>
        <v>1</v>
      </c>
      <c r="I559">
        <v>1</v>
      </c>
    </row>
    <row r="560" spans="1:9" ht="15.75" thickBot="1" x14ac:dyDescent="0.3">
      <c r="A560" s="1">
        <v>44197</v>
      </c>
      <c r="B560" t="s">
        <v>6</v>
      </c>
      <c r="C560" t="s">
        <v>7</v>
      </c>
      <c r="D560" t="s">
        <v>249</v>
      </c>
      <c r="E560" t="s">
        <v>9</v>
      </c>
      <c r="F560">
        <v>27339.01</v>
      </c>
      <c r="G560" s="6">
        <v>319844.07799999998</v>
      </c>
      <c r="H560">
        <f t="shared" si="8"/>
        <v>319844.07799999998</v>
      </c>
      <c r="I560">
        <v>77</v>
      </c>
    </row>
    <row r="561" spans="1:9" ht="15.75" thickBot="1" x14ac:dyDescent="0.3">
      <c r="A561" s="1">
        <v>44197</v>
      </c>
      <c r="B561" t="s">
        <v>6</v>
      </c>
      <c r="C561" t="s">
        <v>7</v>
      </c>
      <c r="D561" t="s">
        <v>249</v>
      </c>
      <c r="E561" t="s">
        <v>17</v>
      </c>
      <c r="F561">
        <v>1532.64</v>
      </c>
      <c r="G561" s="3">
        <v>52</v>
      </c>
      <c r="H561">
        <f t="shared" si="8"/>
        <v>52</v>
      </c>
      <c r="I561">
        <v>2</v>
      </c>
    </row>
    <row r="562" spans="1:9" ht="15.75" thickBot="1" x14ac:dyDescent="0.3">
      <c r="A562" s="1">
        <v>44197</v>
      </c>
      <c r="B562" t="s">
        <v>6</v>
      </c>
      <c r="C562" t="s">
        <v>7</v>
      </c>
      <c r="D562" t="s">
        <v>250</v>
      </c>
      <c r="E562" t="s">
        <v>12</v>
      </c>
      <c r="F562">
        <v>291.17</v>
      </c>
      <c r="G562" s="5">
        <v>11000</v>
      </c>
      <c r="H562">
        <f t="shared" si="8"/>
        <v>11</v>
      </c>
      <c r="I562">
        <v>1</v>
      </c>
    </row>
    <row r="563" spans="1:9" ht="15.75" thickBot="1" x14ac:dyDescent="0.3">
      <c r="A563" s="1">
        <v>44197</v>
      </c>
      <c r="B563" t="s">
        <v>6</v>
      </c>
      <c r="C563" t="s">
        <v>7</v>
      </c>
      <c r="D563" t="s">
        <v>250</v>
      </c>
      <c r="E563" t="s">
        <v>9</v>
      </c>
      <c r="F563">
        <v>15014.12</v>
      </c>
      <c r="G563" s="3">
        <v>491</v>
      </c>
      <c r="H563">
        <f t="shared" si="8"/>
        <v>491</v>
      </c>
      <c r="I563">
        <v>1</v>
      </c>
    </row>
    <row r="564" spans="1:9" ht="15.75" thickBot="1" x14ac:dyDescent="0.3">
      <c r="A564" s="1">
        <v>44197</v>
      </c>
      <c r="B564" t="s">
        <v>6</v>
      </c>
      <c r="C564" t="s">
        <v>7</v>
      </c>
      <c r="D564" t="s">
        <v>251</v>
      </c>
      <c r="E564" t="s">
        <v>12</v>
      </c>
      <c r="F564">
        <v>62189.27</v>
      </c>
      <c r="G564" s="5">
        <v>2042024.6</v>
      </c>
      <c r="H564">
        <f t="shared" si="8"/>
        <v>2042.0246000000002</v>
      </c>
      <c r="I564">
        <v>338</v>
      </c>
    </row>
    <row r="565" spans="1:9" ht="15.75" thickBot="1" x14ac:dyDescent="0.3">
      <c r="A565" s="1">
        <v>44197</v>
      </c>
      <c r="B565" t="s">
        <v>6</v>
      </c>
      <c r="C565" t="s">
        <v>7</v>
      </c>
      <c r="D565" t="s">
        <v>251</v>
      </c>
      <c r="E565" t="s">
        <v>9</v>
      </c>
      <c r="F565">
        <v>23169.39</v>
      </c>
      <c r="G565" s="6">
        <v>531049.83600000001</v>
      </c>
      <c r="H565">
        <f t="shared" si="8"/>
        <v>531049.83600000001</v>
      </c>
      <c r="I565">
        <v>137</v>
      </c>
    </row>
    <row r="566" spans="1:9" ht="15.75" thickBot="1" x14ac:dyDescent="0.3">
      <c r="A566" s="1">
        <v>44197</v>
      </c>
      <c r="B566" t="s">
        <v>6</v>
      </c>
      <c r="C566" t="s">
        <v>7</v>
      </c>
      <c r="D566" t="s">
        <v>251</v>
      </c>
      <c r="E566" t="s">
        <v>17</v>
      </c>
      <c r="F566">
        <v>938.42</v>
      </c>
      <c r="G566" s="6">
        <v>25010</v>
      </c>
      <c r="H566">
        <f t="shared" si="8"/>
        <v>25010</v>
      </c>
      <c r="I566">
        <v>4</v>
      </c>
    </row>
    <row r="567" spans="1:9" ht="15.75" thickBot="1" x14ac:dyDescent="0.3">
      <c r="A567" s="1">
        <v>44197</v>
      </c>
      <c r="B567" t="s">
        <v>6</v>
      </c>
      <c r="C567" t="s">
        <v>7</v>
      </c>
      <c r="D567" t="s">
        <v>252</v>
      </c>
      <c r="E567" t="s">
        <v>12</v>
      </c>
      <c r="F567">
        <v>10406.42</v>
      </c>
      <c r="G567" s="6">
        <v>293358.14299999998</v>
      </c>
      <c r="H567">
        <f t="shared" si="8"/>
        <v>293.35814299999998</v>
      </c>
      <c r="I567">
        <v>45</v>
      </c>
    </row>
    <row r="568" spans="1:9" ht="15.75" thickBot="1" x14ac:dyDescent="0.3">
      <c r="A568" s="1">
        <v>44197</v>
      </c>
      <c r="B568" t="s">
        <v>6</v>
      </c>
      <c r="C568" t="s">
        <v>7</v>
      </c>
      <c r="D568" t="s">
        <v>252</v>
      </c>
      <c r="E568" t="s">
        <v>9</v>
      </c>
      <c r="F568">
        <v>7807.85</v>
      </c>
      <c r="G568" s="6">
        <v>9829.8979999999992</v>
      </c>
      <c r="H568">
        <f t="shared" si="8"/>
        <v>9829.8979999999992</v>
      </c>
      <c r="I568">
        <v>17</v>
      </c>
    </row>
    <row r="569" spans="1:9" ht="15.75" thickBot="1" x14ac:dyDescent="0.3">
      <c r="A569" s="1">
        <v>44197</v>
      </c>
      <c r="B569" t="s">
        <v>6</v>
      </c>
      <c r="C569" t="s">
        <v>7</v>
      </c>
      <c r="D569" t="s">
        <v>253</v>
      </c>
      <c r="E569" t="s">
        <v>12</v>
      </c>
      <c r="F569">
        <v>8824.6299999999992</v>
      </c>
      <c r="G569" s="5">
        <v>300000</v>
      </c>
      <c r="H569">
        <f t="shared" si="8"/>
        <v>300</v>
      </c>
      <c r="I569">
        <v>26</v>
      </c>
    </row>
    <row r="570" spans="1:9" ht="15.75" thickBot="1" x14ac:dyDescent="0.3">
      <c r="A570" s="1">
        <v>44197</v>
      </c>
      <c r="B570" t="s">
        <v>6</v>
      </c>
      <c r="C570" t="s">
        <v>7</v>
      </c>
      <c r="D570" t="s">
        <v>253</v>
      </c>
      <c r="E570" t="s">
        <v>9</v>
      </c>
      <c r="F570">
        <v>5608.92</v>
      </c>
      <c r="G570" s="6">
        <v>34072</v>
      </c>
      <c r="H570">
        <f t="shared" si="8"/>
        <v>34072</v>
      </c>
      <c r="I570">
        <v>6</v>
      </c>
    </row>
    <row r="571" spans="1:9" ht="15.75" thickBot="1" x14ac:dyDescent="0.3">
      <c r="A571" s="1">
        <v>44197</v>
      </c>
      <c r="B571" t="s">
        <v>6</v>
      </c>
      <c r="C571" t="s">
        <v>7</v>
      </c>
      <c r="D571" t="s">
        <v>253</v>
      </c>
      <c r="E571" t="s">
        <v>17</v>
      </c>
      <c r="F571">
        <v>547.36</v>
      </c>
      <c r="G571" s="5">
        <v>20000</v>
      </c>
      <c r="H571">
        <f t="shared" si="8"/>
        <v>20000</v>
      </c>
      <c r="I571">
        <v>1</v>
      </c>
    </row>
    <row r="572" spans="1:9" ht="15.75" thickBot="1" x14ac:dyDescent="0.3">
      <c r="A572" s="1">
        <v>44197</v>
      </c>
      <c r="B572" t="s">
        <v>6</v>
      </c>
      <c r="C572" t="s">
        <v>7</v>
      </c>
      <c r="D572" t="s">
        <v>254</v>
      </c>
      <c r="E572" t="s">
        <v>12</v>
      </c>
      <c r="F572">
        <v>81.569999999999993</v>
      </c>
      <c r="G572" s="4">
        <v>0</v>
      </c>
      <c r="H572">
        <f t="shared" si="8"/>
        <v>0</v>
      </c>
      <c r="I572">
        <v>1</v>
      </c>
    </row>
    <row r="573" spans="1:9" ht="15.75" thickBot="1" x14ac:dyDescent="0.3">
      <c r="A573" s="1">
        <v>44197</v>
      </c>
      <c r="B573" t="s">
        <v>6</v>
      </c>
      <c r="C573" t="s">
        <v>7</v>
      </c>
      <c r="D573" t="s">
        <v>255</v>
      </c>
      <c r="E573" t="s">
        <v>12</v>
      </c>
      <c r="F573">
        <v>1056.51</v>
      </c>
      <c r="G573" s="5">
        <v>36000</v>
      </c>
      <c r="H573">
        <f t="shared" si="8"/>
        <v>36</v>
      </c>
      <c r="I573">
        <v>3</v>
      </c>
    </row>
    <row r="574" spans="1:9" ht="15.75" thickBot="1" x14ac:dyDescent="0.3">
      <c r="A574" s="1">
        <v>44197</v>
      </c>
      <c r="B574" t="s">
        <v>6</v>
      </c>
      <c r="C574" t="s">
        <v>7</v>
      </c>
      <c r="D574" t="s">
        <v>255</v>
      </c>
      <c r="E574" t="s">
        <v>9</v>
      </c>
      <c r="F574">
        <v>81.569999999999993</v>
      </c>
      <c r="G574" s="4">
        <v>0</v>
      </c>
      <c r="H574">
        <f t="shared" si="8"/>
        <v>0</v>
      </c>
      <c r="I574">
        <v>1</v>
      </c>
    </row>
    <row r="575" spans="1:9" ht="15.75" thickBot="1" x14ac:dyDescent="0.3">
      <c r="A575" s="1">
        <v>44197</v>
      </c>
      <c r="B575" t="s">
        <v>6</v>
      </c>
      <c r="C575" t="s">
        <v>7</v>
      </c>
      <c r="D575" t="s">
        <v>255</v>
      </c>
      <c r="E575" t="s">
        <v>17</v>
      </c>
      <c r="F575">
        <v>816.88</v>
      </c>
      <c r="G575" s="5">
        <v>27000</v>
      </c>
      <c r="H575">
        <f t="shared" si="8"/>
        <v>27000</v>
      </c>
      <c r="I575">
        <v>2</v>
      </c>
    </row>
    <row r="576" spans="1:9" ht="15.75" thickBot="1" x14ac:dyDescent="0.3">
      <c r="A576" s="1">
        <v>44197</v>
      </c>
      <c r="B576" t="s">
        <v>6</v>
      </c>
      <c r="C576" t="s">
        <v>7</v>
      </c>
      <c r="D576" t="s">
        <v>256</v>
      </c>
      <c r="E576" t="s">
        <v>24</v>
      </c>
      <c r="F576">
        <v>0</v>
      </c>
      <c r="G576" s="3">
        <v>361</v>
      </c>
      <c r="H576">
        <f t="shared" si="8"/>
        <v>361</v>
      </c>
      <c r="I576">
        <v>2</v>
      </c>
    </row>
    <row r="577" spans="1:9" ht="15.75" thickBot="1" x14ac:dyDescent="0.3">
      <c r="A577" s="1">
        <v>44197</v>
      </c>
      <c r="B577" t="s">
        <v>6</v>
      </c>
      <c r="C577" t="s">
        <v>7</v>
      </c>
      <c r="D577" t="s">
        <v>257</v>
      </c>
      <c r="E577" t="s">
        <v>12</v>
      </c>
      <c r="F577">
        <v>215.64</v>
      </c>
      <c r="G577" s="5">
        <v>4000</v>
      </c>
      <c r="H577">
        <f t="shared" si="8"/>
        <v>4</v>
      </c>
      <c r="I577">
        <v>1</v>
      </c>
    </row>
    <row r="578" spans="1:9" ht="15.75" thickBot="1" x14ac:dyDescent="0.3">
      <c r="A578" s="1">
        <v>44197</v>
      </c>
      <c r="B578" t="s">
        <v>6</v>
      </c>
      <c r="C578" t="s">
        <v>7</v>
      </c>
      <c r="D578" t="s">
        <v>258</v>
      </c>
      <c r="E578" t="s">
        <v>12</v>
      </c>
      <c r="F578">
        <v>6254.56</v>
      </c>
      <c r="G578" s="5">
        <v>120000</v>
      </c>
      <c r="H578">
        <f t="shared" si="8"/>
        <v>120</v>
      </c>
      <c r="I578">
        <v>2</v>
      </c>
    </row>
    <row r="579" spans="1:9" ht="15.75" thickBot="1" x14ac:dyDescent="0.3">
      <c r="A579" s="1">
        <v>44197</v>
      </c>
      <c r="B579" t="s">
        <v>6</v>
      </c>
      <c r="C579" t="s">
        <v>7</v>
      </c>
      <c r="D579" t="s">
        <v>258</v>
      </c>
      <c r="E579" t="s">
        <v>9</v>
      </c>
      <c r="F579">
        <v>684.36</v>
      </c>
      <c r="G579" s="3">
        <v>23</v>
      </c>
      <c r="H579">
        <f t="shared" ref="H579:H642" si="9">IF(ISNUMBER(SEARCH("Domestic customer", E579)),G579/1000,G579)</f>
        <v>23</v>
      </c>
      <c r="I579">
        <v>1</v>
      </c>
    </row>
    <row r="580" spans="1:9" ht="15.75" thickBot="1" x14ac:dyDescent="0.3">
      <c r="A580" s="1">
        <v>44197</v>
      </c>
      <c r="B580" t="s">
        <v>6</v>
      </c>
      <c r="C580" t="s">
        <v>7</v>
      </c>
      <c r="D580" t="s">
        <v>258</v>
      </c>
      <c r="E580" t="s">
        <v>17</v>
      </c>
      <c r="F580">
        <v>684.36</v>
      </c>
      <c r="G580" s="3">
        <v>23</v>
      </c>
      <c r="H580">
        <f t="shared" si="9"/>
        <v>23</v>
      </c>
      <c r="I580">
        <v>1</v>
      </c>
    </row>
    <row r="581" spans="1:9" ht="15.75" thickBot="1" x14ac:dyDescent="0.3">
      <c r="A581" s="1">
        <v>44197</v>
      </c>
      <c r="B581" t="s">
        <v>6</v>
      </c>
      <c r="C581" t="s">
        <v>7</v>
      </c>
      <c r="D581" t="s">
        <v>259</v>
      </c>
      <c r="E581" t="s">
        <v>12</v>
      </c>
      <c r="F581">
        <v>403.6</v>
      </c>
      <c r="G581" s="5">
        <v>12000</v>
      </c>
      <c r="H581">
        <f t="shared" si="9"/>
        <v>12</v>
      </c>
      <c r="I581">
        <v>2</v>
      </c>
    </row>
    <row r="582" spans="1:9" ht="15.75" thickBot="1" x14ac:dyDescent="0.3">
      <c r="A582" s="1">
        <v>44197</v>
      </c>
      <c r="B582" t="s">
        <v>6</v>
      </c>
      <c r="C582" t="s">
        <v>7</v>
      </c>
      <c r="D582" t="s">
        <v>259</v>
      </c>
      <c r="E582" t="s">
        <v>9</v>
      </c>
      <c r="F582">
        <v>181.57</v>
      </c>
      <c r="G582" s="5">
        <v>0</v>
      </c>
      <c r="H582">
        <f t="shared" si="9"/>
        <v>0</v>
      </c>
      <c r="I582">
        <v>2</v>
      </c>
    </row>
    <row r="583" spans="1:9" ht="15.75" thickBot="1" x14ac:dyDescent="0.3">
      <c r="A583" s="1">
        <v>44197</v>
      </c>
      <c r="B583" t="s">
        <v>6</v>
      </c>
      <c r="C583" t="s">
        <v>7</v>
      </c>
      <c r="D583" t="s">
        <v>260</v>
      </c>
      <c r="E583" t="s">
        <v>14</v>
      </c>
      <c r="F583">
        <v>1377.52</v>
      </c>
      <c r="G583" s="3">
        <v>28</v>
      </c>
      <c r="H583">
        <f t="shared" si="9"/>
        <v>28</v>
      </c>
      <c r="I583">
        <v>1</v>
      </c>
    </row>
    <row r="584" spans="1:9" ht="15.75" thickBot="1" x14ac:dyDescent="0.3">
      <c r="A584" s="1">
        <v>44197</v>
      </c>
      <c r="B584" t="s">
        <v>6</v>
      </c>
      <c r="C584" t="s">
        <v>7</v>
      </c>
      <c r="D584" t="s">
        <v>260</v>
      </c>
      <c r="E584" t="s">
        <v>12</v>
      </c>
      <c r="F584">
        <v>5237.4399999999996</v>
      </c>
      <c r="G584" s="6">
        <v>150049</v>
      </c>
      <c r="H584">
        <f t="shared" si="9"/>
        <v>150.04900000000001</v>
      </c>
      <c r="I584">
        <v>8</v>
      </c>
    </row>
    <row r="585" spans="1:9" ht="15.75" thickBot="1" x14ac:dyDescent="0.3">
      <c r="A585" s="1">
        <v>44197</v>
      </c>
      <c r="B585" t="s">
        <v>6</v>
      </c>
      <c r="C585" t="s">
        <v>7</v>
      </c>
      <c r="D585" t="s">
        <v>261</v>
      </c>
      <c r="E585" t="s">
        <v>9</v>
      </c>
      <c r="F585">
        <v>154.63999999999999</v>
      </c>
      <c r="G585" s="3">
        <v>2</v>
      </c>
      <c r="H585">
        <f t="shared" si="9"/>
        <v>2</v>
      </c>
      <c r="I585">
        <v>1</v>
      </c>
    </row>
    <row r="586" spans="1:9" ht="15.75" thickBot="1" x14ac:dyDescent="0.3">
      <c r="A586" s="1">
        <v>44197</v>
      </c>
      <c r="B586" t="s">
        <v>6</v>
      </c>
      <c r="C586" t="s">
        <v>7</v>
      </c>
      <c r="D586" t="s">
        <v>262</v>
      </c>
      <c r="E586" t="s">
        <v>12</v>
      </c>
      <c r="F586">
        <v>14470.64</v>
      </c>
      <c r="G586" s="5">
        <v>482000</v>
      </c>
      <c r="H586">
        <f t="shared" si="9"/>
        <v>482</v>
      </c>
      <c r="I586">
        <v>37</v>
      </c>
    </row>
    <row r="587" spans="1:9" ht="15.75" thickBot="1" x14ac:dyDescent="0.3">
      <c r="A587" s="1">
        <v>44197</v>
      </c>
      <c r="B587" t="s">
        <v>6</v>
      </c>
      <c r="C587" t="s">
        <v>7</v>
      </c>
      <c r="D587" t="s">
        <v>262</v>
      </c>
      <c r="E587" t="s">
        <v>9</v>
      </c>
      <c r="F587">
        <v>805.41</v>
      </c>
      <c r="G587" s="5">
        <v>24000</v>
      </c>
      <c r="H587">
        <f t="shared" si="9"/>
        <v>24000</v>
      </c>
      <c r="I587">
        <v>2</v>
      </c>
    </row>
    <row r="588" spans="1:9" ht="15.75" thickBot="1" x14ac:dyDescent="0.3">
      <c r="A588" s="1">
        <v>44197</v>
      </c>
      <c r="B588" t="s">
        <v>6</v>
      </c>
      <c r="C588" t="s">
        <v>7</v>
      </c>
      <c r="D588" t="s">
        <v>262</v>
      </c>
      <c r="E588" t="s">
        <v>17</v>
      </c>
      <c r="F588">
        <v>281.06</v>
      </c>
      <c r="G588" s="5">
        <v>8000</v>
      </c>
      <c r="H588">
        <f t="shared" si="9"/>
        <v>8000</v>
      </c>
      <c r="I588">
        <v>1</v>
      </c>
    </row>
    <row r="589" spans="1:9" ht="15.75" thickBot="1" x14ac:dyDescent="0.3">
      <c r="A589" s="1">
        <v>44197</v>
      </c>
      <c r="B589" t="s">
        <v>6</v>
      </c>
      <c r="C589" t="s">
        <v>7</v>
      </c>
      <c r="D589" t="s">
        <v>263</v>
      </c>
      <c r="E589" t="s">
        <v>14</v>
      </c>
      <c r="F589">
        <v>4199.3599999999997</v>
      </c>
      <c r="G589" s="3">
        <v>148</v>
      </c>
      <c r="H589">
        <f t="shared" si="9"/>
        <v>148</v>
      </c>
      <c r="I589">
        <v>1</v>
      </c>
    </row>
    <row r="590" spans="1:9" ht="15.75" thickBot="1" x14ac:dyDescent="0.3">
      <c r="A590" s="1">
        <v>44197</v>
      </c>
      <c r="B590" t="s">
        <v>6</v>
      </c>
      <c r="C590" t="s">
        <v>7</v>
      </c>
      <c r="D590" t="s">
        <v>263</v>
      </c>
      <c r="E590" t="s">
        <v>24</v>
      </c>
      <c r="F590">
        <v>2758.29</v>
      </c>
      <c r="G590" s="3">
        <v>31</v>
      </c>
      <c r="H590">
        <f t="shared" si="9"/>
        <v>31</v>
      </c>
      <c r="I590">
        <v>3</v>
      </c>
    </row>
    <row r="591" spans="1:9" ht="15.75" thickBot="1" x14ac:dyDescent="0.3">
      <c r="A591" s="1">
        <v>44197</v>
      </c>
      <c r="B591" t="s">
        <v>6</v>
      </c>
      <c r="C591" t="s">
        <v>7</v>
      </c>
      <c r="D591" t="s">
        <v>263</v>
      </c>
      <c r="E591" t="s">
        <v>12</v>
      </c>
      <c r="F591">
        <v>1701.21</v>
      </c>
      <c r="G591" s="5">
        <v>89000</v>
      </c>
      <c r="H591">
        <f t="shared" si="9"/>
        <v>89</v>
      </c>
      <c r="I591">
        <v>2</v>
      </c>
    </row>
    <row r="592" spans="1:9" ht="15.75" thickBot="1" x14ac:dyDescent="0.3">
      <c r="A592" s="1">
        <v>44197</v>
      </c>
      <c r="B592" t="s">
        <v>6</v>
      </c>
      <c r="C592" t="s">
        <v>7</v>
      </c>
      <c r="D592" t="s">
        <v>263</v>
      </c>
      <c r="E592" t="s">
        <v>9</v>
      </c>
      <c r="F592">
        <v>81.569999999999993</v>
      </c>
      <c r="G592" s="4">
        <v>0</v>
      </c>
      <c r="H592">
        <f t="shared" si="9"/>
        <v>0</v>
      </c>
      <c r="I592">
        <v>1</v>
      </c>
    </row>
    <row r="593" spans="1:9" ht="15.75" thickBot="1" x14ac:dyDescent="0.3">
      <c r="A593" s="1">
        <v>44197</v>
      </c>
      <c r="B593" t="s">
        <v>6</v>
      </c>
      <c r="C593" t="s">
        <v>7</v>
      </c>
      <c r="D593" t="s">
        <v>264</v>
      </c>
      <c r="E593" t="s">
        <v>12</v>
      </c>
      <c r="F593">
        <v>8860.26</v>
      </c>
      <c r="G593" s="5">
        <v>567834.24199999997</v>
      </c>
      <c r="H593">
        <f t="shared" si="9"/>
        <v>567.83424200000002</v>
      </c>
      <c r="I593">
        <v>21</v>
      </c>
    </row>
    <row r="594" spans="1:9" ht="15.75" thickBot="1" x14ac:dyDescent="0.3">
      <c r="A594" s="1">
        <v>44197</v>
      </c>
      <c r="B594" t="s">
        <v>6</v>
      </c>
      <c r="C594" t="s">
        <v>7</v>
      </c>
      <c r="D594" t="s">
        <v>264</v>
      </c>
      <c r="E594" t="s">
        <v>9</v>
      </c>
      <c r="F594">
        <v>21241.63</v>
      </c>
      <c r="G594" s="6">
        <v>122484.18</v>
      </c>
      <c r="H594">
        <f t="shared" si="9"/>
        <v>122484.18</v>
      </c>
      <c r="I594">
        <v>9</v>
      </c>
    </row>
    <row r="595" spans="1:9" ht="15.75" thickBot="1" x14ac:dyDescent="0.3">
      <c r="A595" s="1">
        <v>44197</v>
      </c>
      <c r="B595" t="s">
        <v>6</v>
      </c>
      <c r="C595" t="s">
        <v>7</v>
      </c>
      <c r="D595" t="s">
        <v>264</v>
      </c>
      <c r="E595" t="s">
        <v>17</v>
      </c>
      <c r="F595">
        <v>418.08</v>
      </c>
      <c r="G595" s="5">
        <v>12000</v>
      </c>
      <c r="H595">
        <f t="shared" si="9"/>
        <v>12000</v>
      </c>
      <c r="I595">
        <v>2</v>
      </c>
    </row>
    <row r="596" spans="1:9" ht="15.75" thickBot="1" x14ac:dyDescent="0.3">
      <c r="A596" s="1">
        <v>44197</v>
      </c>
      <c r="B596" t="s">
        <v>6</v>
      </c>
      <c r="C596" t="s">
        <v>7</v>
      </c>
      <c r="D596" t="s">
        <v>265</v>
      </c>
      <c r="E596" t="s">
        <v>12</v>
      </c>
      <c r="F596">
        <v>685.65</v>
      </c>
      <c r="G596" s="5">
        <v>22000</v>
      </c>
      <c r="H596">
        <f t="shared" si="9"/>
        <v>22</v>
      </c>
      <c r="I596">
        <v>3</v>
      </c>
    </row>
    <row r="597" spans="1:9" ht="15.75" thickBot="1" x14ac:dyDescent="0.3">
      <c r="A597" s="1">
        <v>44197</v>
      </c>
      <c r="B597" t="s">
        <v>6</v>
      </c>
      <c r="C597" t="s">
        <v>7</v>
      </c>
      <c r="D597" t="s">
        <v>266</v>
      </c>
      <c r="E597" t="s">
        <v>12</v>
      </c>
      <c r="F597">
        <v>559.32000000000005</v>
      </c>
      <c r="G597" s="5">
        <v>21000</v>
      </c>
      <c r="H597">
        <f t="shared" si="9"/>
        <v>21</v>
      </c>
      <c r="I597">
        <v>1</v>
      </c>
    </row>
    <row r="598" spans="1:9" ht="15.75" thickBot="1" x14ac:dyDescent="0.3">
      <c r="A598" s="1">
        <v>44197</v>
      </c>
      <c r="B598" t="s">
        <v>6</v>
      </c>
      <c r="C598" t="s">
        <v>7</v>
      </c>
      <c r="D598" t="s">
        <v>267</v>
      </c>
      <c r="E598" t="s">
        <v>12</v>
      </c>
      <c r="F598">
        <v>8432.2099999999991</v>
      </c>
      <c r="G598" s="5">
        <v>329889.40000000002</v>
      </c>
      <c r="H598">
        <f t="shared" si="9"/>
        <v>329.88940000000002</v>
      </c>
      <c r="I598">
        <v>35</v>
      </c>
    </row>
    <row r="599" spans="1:9" ht="15.75" thickBot="1" x14ac:dyDescent="0.3">
      <c r="A599" s="1">
        <v>44197</v>
      </c>
      <c r="B599" t="s">
        <v>6</v>
      </c>
      <c r="C599" t="s">
        <v>7</v>
      </c>
      <c r="D599" t="s">
        <v>267</v>
      </c>
      <c r="E599" t="s">
        <v>9</v>
      </c>
      <c r="F599">
        <v>862.67</v>
      </c>
      <c r="G599" s="6">
        <v>4736.6099999999997</v>
      </c>
      <c r="H599">
        <f t="shared" si="9"/>
        <v>4736.6099999999997</v>
      </c>
      <c r="I599">
        <v>6</v>
      </c>
    </row>
    <row r="600" spans="1:9" ht="15.75" thickBot="1" x14ac:dyDescent="0.3">
      <c r="A600" s="1">
        <v>44197</v>
      </c>
      <c r="B600" t="s">
        <v>6</v>
      </c>
      <c r="C600" t="s">
        <v>7</v>
      </c>
      <c r="D600" t="s">
        <v>267</v>
      </c>
      <c r="E600" t="s">
        <v>17</v>
      </c>
      <c r="F600">
        <v>975.21</v>
      </c>
      <c r="G600" s="3">
        <v>27</v>
      </c>
      <c r="H600">
        <f t="shared" si="9"/>
        <v>27</v>
      </c>
      <c r="I600">
        <v>2</v>
      </c>
    </row>
    <row r="601" spans="1:9" ht="15.75" thickBot="1" x14ac:dyDescent="0.3">
      <c r="A601" s="1">
        <v>44197</v>
      </c>
      <c r="B601" t="s">
        <v>6</v>
      </c>
      <c r="C601" t="s">
        <v>7</v>
      </c>
      <c r="D601" t="s">
        <v>268</v>
      </c>
      <c r="E601" t="s">
        <v>24</v>
      </c>
      <c r="F601">
        <v>8802.59</v>
      </c>
      <c r="G601" s="3">
        <v>34</v>
      </c>
      <c r="H601">
        <f t="shared" si="9"/>
        <v>34</v>
      </c>
      <c r="I601">
        <v>4</v>
      </c>
    </row>
    <row r="602" spans="1:9" ht="15.75" thickBot="1" x14ac:dyDescent="0.3">
      <c r="A602" s="1">
        <v>44197</v>
      </c>
      <c r="B602" t="s">
        <v>6</v>
      </c>
      <c r="C602" t="s">
        <v>7</v>
      </c>
      <c r="D602" t="s">
        <v>268</v>
      </c>
      <c r="E602" t="s">
        <v>12</v>
      </c>
      <c r="F602">
        <v>11505.74</v>
      </c>
      <c r="G602" s="6">
        <v>647156.45900000003</v>
      </c>
      <c r="H602">
        <f t="shared" si="9"/>
        <v>647.15645900000004</v>
      </c>
      <c r="I602">
        <v>83</v>
      </c>
    </row>
    <row r="603" spans="1:9" ht="15.75" thickBot="1" x14ac:dyDescent="0.3">
      <c r="A603" s="1">
        <v>44197</v>
      </c>
      <c r="B603" t="s">
        <v>6</v>
      </c>
      <c r="C603" t="s">
        <v>7</v>
      </c>
      <c r="D603" t="s">
        <v>268</v>
      </c>
      <c r="E603" t="s">
        <v>17</v>
      </c>
      <c r="F603">
        <v>440.63</v>
      </c>
      <c r="G603" s="5">
        <v>19000</v>
      </c>
      <c r="H603">
        <f t="shared" si="9"/>
        <v>19000</v>
      </c>
      <c r="I603">
        <v>2</v>
      </c>
    </row>
    <row r="604" spans="1:9" ht="15.75" thickBot="1" x14ac:dyDescent="0.3">
      <c r="A604" s="1">
        <v>44197</v>
      </c>
      <c r="B604" t="s">
        <v>6</v>
      </c>
      <c r="C604" t="s">
        <v>7</v>
      </c>
      <c r="D604" t="s">
        <v>269</v>
      </c>
      <c r="E604" t="s">
        <v>12</v>
      </c>
      <c r="F604">
        <v>0</v>
      </c>
      <c r="G604" s="5">
        <v>6000</v>
      </c>
      <c r="H604">
        <f t="shared" si="9"/>
        <v>6</v>
      </c>
      <c r="I604">
        <v>1</v>
      </c>
    </row>
    <row r="605" spans="1:9" ht="15.75" thickBot="1" x14ac:dyDescent="0.3">
      <c r="A605" s="1">
        <v>44197</v>
      </c>
      <c r="B605" t="s">
        <v>6</v>
      </c>
      <c r="C605" t="s">
        <v>7</v>
      </c>
      <c r="D605" t="s">
        <v>270</v>
      </c>
      <c r="E605" t="s">
        <v>14</v>
      </c>
      <c r="F605">
        <v>5925.08</v>
      </c>
      <c r="G605" s="3">
        <v>194</v>
      </c>
      <c r="H605">
        <f t="shared" si="9"/>
        <v>194</v>
      </c>
      <c r="I605">
        <v>1</v>
      </c>
    </row>
    <row r="606" spans="1:9" ht="15.75" thickBot="1" x14ac:dyDescent="0.3">
      <c r="A606" s="1">
        <v>44197</v>
      </c>
      <c r="B606" t="s">
        <v>6</v>
      </c>
      <c r="C606" t="s">
        <v>7</v>
      </c>
      <c r="D606" t="s">
        <v>270</v>
      </c>
      <c r="E606" t="s">
        <v>15</v>
      </c>
      <c r="F606">
        <v>17780.88</v>
      </c>
      <c r="G606" s="3">
        <v>478</v>
      </c>
      <c r="H606">
        <f t="shared" si="9"/>
        <v>478</v>
      </c>
      <c r="I606">
        <v>5</v>
      </c>
    </row>
    <row r="607" spans="1:9" ht="15.75" thickBot="1" x14ac:dyDescent="0.3">
      <c r="A607" s="1">
        <v>44197</v>
      </c>
      <c r="B607" t="s">
        <v>6</v>
      </c>
      <c r="C607" t="s">
        <v>7</v>
      </c>
      <c r="D607" t="s">
        <v>270</v>
      </c>
      <c r="E607" t="s">
        <v>9</v>
      </c>
      <c r="F607">
        <v>2645.9</v>
      </c>
      <c r="G607" s="3">
        <v>68</v>
      </c>
      <c r="H607">
        <f t="shared" si="9"/>
        <v>68</v>
      </c>
      <c r="I607">
        <v>3</v>
      </c>
    </row>
    <row r="608" spans="1:9" ht="15.75" thickBot="1" x14ac:dyDescent="0.3">
      <c r="A608" s="1">
        <v>44197</v>
      </c>
      <c r="B608" t="s">
        <v>6</v>
      </c>
      <c r="C608" t="s">
        <v>7</v>
      </c>
      <c r="D608" t="s">
        <v>271</v>
      </c>
      <c r="E608" t="s">
        <v>14</v>
      </c>
      <c r="F608">
        <v>456.52</v>
      </c>
      <c r="G608" s="3">
        <v>11</v>
      </c>
      <c r="H608">
        <f t="shared" si="9"/>
        <v>11</v>
      </c>
      <c r="I608">
        <v>1</v>
      </c>
    </row>
    <row r="609" spans="1:9" ht="15.75" thickBot="1" x14ac:dyDescent="0.3">
      <c r="A609" s="1">
        <v>44197</v>
      </c>
      <c r="B609" t="s">
        <v>6</v>
      </c>
      <c r="C609" t="s">
        <v>7</v>
      </c>
      <c r="D609" t="s">
        <v>271</v>
      </c>
      <c r="E609" t="s">
        <v>12</v>
      </c>
      <c r="F609">
        <v>612.29999999999995</v>
      </c>
      <c r="G609" s="5">
        <v>24142.857</v>
      </c>
      <c r="H609">
        <f t="shared" si="9"/>
        <v>24.142856999999999</v>
      </c>
      <c r="I609">
        <v>2</v>
      </c>
    </row>
    <row r="610" spans="1:9" ht="15.75" thickBot="1" x14ac:dyDescent="0.3">
      <c r="A610" s="1">
        <v>44197</v>
      </c>
      <c r="B610" t="s">
        <v>6</v>
      </c>
      <c r="C610" t="s">
        <v>7</v>
      </c>
      <c r="D610" t="s">
        <v>272</v>
      </c>
      <c r="E610" t="s">
        <v>12</v>
      </c>
      <c r="F610">
        <v>8958.2000000000007</v>
      </c>
      <c r="G610" s="5">
        <v>517000</v>
      </c>
      <c r="H610">
        <f t="shared" si="9"/>
        <v>517</v>
      </c>
      <c r="I610">
        <v>1</v>
      </c>
    </row>
    <row r="611" spans="1:9" ht="15.75" thickBot="1" x14ac:dyDescent="0.3">
      <c r="A611" s="1">
        <v>44197</v>
      </c>
      <c r="B611" t="s">
        <v>6</v>
      </c>
      <c r="C611" t="s">
        <v>7</v>
      </c>
      <c r="D611" t="s">
        <v>272</v>
      </c>
      <c r="E611" t="s">
        <v>15</v>
      </c>
      <c r="F611">
        <v>183.32</v>
      </c>
      <c r="G611" s="3">
        <v>1</v>
      </c>
      <c r="H611">
        <f t="shared" si="9"/>
        <v>1</v>
      </c>
      <c r="I611">
        <v>1</v>
      </c>
    </row>
    <row r="612" spans="1:9" ht="15.75" thickBot="1" x14ac:dyDescent="0.3">
      <c r="A612" s="1">
        <v>44197</v>
      </c>
      <c r="B612" t="s">
        <v>6</v>
      </c>
      <c r="C612" t="s">
        <v>7</v>
      </c>
      <c r="D612" t="s">
        <v>272</v>
      </c>
      <c r="E612" t="s">
        <v>9</v>
      </c>
      <c r="F612">
        <v>449.44</v>
      </c>
      <c r="G612" s="5">
        <v>13000</v>
      </c>
      <c r="H612">
        <f t="shared" si="9"/>
        <v>13000</v>
      </c>
      <c r="I612">
        <v>1</v>
      </c>
    </row>
    <row r="613" spans="1:9" ht="15.75" thickBot="1" x14ac:dyDescent="0.3">
      <c r="A613" s="1">
        <v>44197</v>
      </c>
      <c r="B613" t="s">
        <v>6</v>
      </c>
      <c r="C613" t="s">
        <v>7</v>
      </c>
      <c r="D613" t="s">
        <v>273</v>
      </c>
      <c r="E613" t="s">
        <v>12</v>
      </c>
      <c r="F613">
        <v>537.79</v>
      </c>
      <c r="G613" s="5">
        <v>21000</v>
      </c>
      <c r="H613">
        <f t="shared" si="9"/>
        <v>21</v>
      </c>
      <c r="I613">
        <v>1</v>
      </c>
    </row>
    <row r="614" spans="1:9" ht="15.75" thickBot="1" x14ac:dyDescent="0.3">
      <c r="A614" s="1">
        <v>44197</v>
      </c>
      <c r="B614" t="s">
        <v>6</v>
      </c>
      <c r="C614" t="s">
        <v>7</v>
      </c>
      <c r="D614" t="s">
        <v>274</v>
      </c>
      <c r="E614" t="s">
        <v>12</v>
      </c>
      <c r="F614">
        <v>2931.21</v>
      </c>
      <c r="G614" s="5">
        <v>74000</v>
      </c>
      <c r="H614">
        <f t="shared" si="9"/>
        <v>74</v>
      </c>
      <c r="I614">
        <v>2</v>
      </c>
    </row>
    <row r="615" spans="1:9" ht="15.75" thickBot="1" x14ac:dyDescent="0.3">
      <c r="A615" s="1">
        <v>44197</v>
      </c>
      <c r="B615" t="s">
        <v>6</v>
      </c>
      <c r="C615" t="s">
        <v>7</v>
      </c>
      <c r="D615" t="s">
        <v>274</v>
      </c>
      <c r="E615" t="s">
        <v>9</v>
      </c>
      <c r="F615">
        <v>81.569999999999993</v>
      </c>
      <c r="G615" s="4">
        <v>0</v>
      </c>
      <c r="H615">
        <f t="shared" si="9"/>
        <v>0</v>
      </c>
      <c r="I615">
        <v>1</v>
      </c>
    </row>
    <row r="616" spans="1:9" ht="15.75" thickBot="1" x14ac:dyDescent="0.3">
      <c r="A616" s="1">
        <v>44197</v>
      </c>
      <c r="B616" t="s">
        <v>6</v>
      </c>
      <c r="C616" t="s">
        <v>7</v>
      </c>
      <c r="D616" t="s">
        <v>275</v>
      </c>
      <c r="E616" t="s">
        <v>24</v>
      </c>
      <c r="F616">
        <v>14991.36</v>
      </c>
      <c r="G616" s="3">
        <v>547</v>
      </c>
      <c r="H616">
        <f t="shared" si="9"/>
        <v>547</v>
      </c>
      <c r="I616">
        <v>1</v>
      </c>
    </row>
    <row r="617" spans="1:9" ht="15.75" thickBot="1" x14ac:dyDescent="0.3">
      <c r="A617" s="1">
        <v>44197</v>
      </c>
      <c r="B617" t="s">
        <v>6</v>
      </c>
      <c r="C617" t="s">
        <v>7</v>
      </c>
      <c r="D617" t="s">
        <v>275</v>
      </c>
      <c r="E617" t="s">
        <v>12</v>
      </c>
      <c r="F617">
        <v>816.63</v>
      </c>
      <c r="G617" s="5">
        <v>29400</v>
      </c>
      <c r="H617">
        <f t="shared" si="9"/>
        <v>29.4</v>
      </c>
      <c r="I617">
        <v>1</v>
      </c>
    </row>
    <row r="618" spans="1:9" ht="15.75" thickBot="1" x14ac:dyDescent="0.3">
      <c r="A618" s="1">
        <v>44197</v>
      </c>
      <c r="B618" t="s">
        <v>6</v>
      </c>
      <c r="C618" t="s">
        <v>7</v>
      </c>
      <c r="D618" t="s">
        <v>276</v>
      </c>
      <c r="E618" t="s">
        <v>24</v>
      </c>
      <c r="F618">
        <v>69.75</v>
      </c>
      <c r="G618" s="3">
        <v>1</v>
      </c>
      <c r="H618">
        <f t="shared" si="9"/>
        <v>1</v>
      </c>
      <c r="I618">
        <v>1</v>
      </c>
    </row>
    <row r="619" spans="1:9" ht="15.75" thickBot="1" x14ac:dyDescent="0.3">
      <c r="A619" s="1">
        <v>44197</v>
      </c>
      <c r="B619" t="s">
        <v>6</v>
      </c>
      <c r="C619" t="s">
        <v>7</v>
      </c>
      <c r="D619" t="s">
        <v>276</v>
      </c>
      <c r="E619" t="s">
        <v>12</v>
      </c>
      <c r="F619">
        <v>601.92999999999995</v>
      </c>
      <c r="G619" s="5">
        <v>20000</v>
      </c>
      <c r="H619">
        <f t="shared" si="9"/>
        <v>20</v>
      </c>
      <c r="I619">
        <v>2</v>
      </c>
    </row>
    <row r="620" spans="1:9" ht="15.75" thickBot="1" x14ac:dyDescent="0.3">
      <c r="A620" s="1">
        <v>44197</v>
      </c>
      <c r="B620" t="s">
        <v>6</v>
      </c>
      <c r="C620" t="s">
        <v>7</v>
      </c>
      <c r="D620" t="s">
        <v>276</v>
      </c>
      <c r="E620" t="s">
        <v>15</v>
      </c>
      <c r="F620">
        <v>6519.4</v>
      </c>
      <c r="G620" s="3">
        <v>170</v>
      </c>
      <c r="H620">
        <f t="shared" si="9"/>
        <v>170</v>
      </c>
      <c r="I620">
        <v>1</v>
      </c>
    </row>
    <row r="621" spans="1:9" ht="15.75" thickBot="1" x14ac:dyDescent="0.3">
      <c r="A621" s="1">
        <v>44197</v>
      </c>
      <c r="B621" t="s">
        <v>6</v>
      </c>
      <c r="C621" t="s">
        <v>7</v>
      </c>
      <c r="D621" t="s">
        <v>277</v>
      </c>
      <c r="E621" t="s">
        <v>12</v>
      </c>
      <c r="F621">
        <v>12165.08</v>
      </c>
      <c r="G621" s="5">
        <v>583011.5</v>
      </c>
      <c r="H621">
        <f t="shared" si="9"/>
        <v>583.01149999999996</v>
      </c>
      <c r="I621">
        <v>3</v>
      </c>
    </row>
    <row r="622" spans="1:9" ht="15.75" thickBot="1" x14ac:dyDescent="0.3">
      <c r="A622" s="1">
        <v>44197</v>
      </c>
      <c r="B622" t="s">
        <v>6</v>
      </c>
      <c r="C622" t="s">
        <v>7</v>
      </c>
      <c r="D622" t="s">
        <v>277</v>
      </c>
      <c r="E622" t="s">
        <v>9</v>
      </c>
      <c r="F622">
        <v>407.85</v>
      </c>
      <c r="G622" s="4">
        <v>0</v>
      </c>
      <c r="H622">
        <f t="shared" si="9"/>
        <v>0</v>
      </c>
      <c r="I622">
        <v>1</v>
      </c>
    </row>
    <row r="623" spans="1:9" ht="15.75" thickBot="1" x14ac:dyDescent="0.3">
      <c r="A623" s="1">
        <v>44197</v>
      </c>
      <c r="B623" t="s">
        <v>6</v>
      </c>
      <c r="C623" t="s">
        <v>7</v>
      </c>
      <c r="D623" t="s">
        <v>278</v>
      </c>
      <c r="E623" t="s">
        <v>24</v>
      </c>
      <c r="F623">
        <v>709.28</v>
      </c>
      <c r="G623" s="3">
        <v>4</v>
      </c>
      <c r="H623">
        <f t="shared" si="9"/>
        <v>4</v>
      </c>
      <c r="I623">
        <v>2</v>
      </c>
    </row>
    <row r="624" spans="1:9" ht="15.75" thickBot="1" x14ac:dyDescent="0.3">
      <c r="A624" s="1">
        <v>44197</v>
      </c>
      <c r="B624" t="s">
        <v>6</v>
      </c>
      <c r="C624" t="s">
        <v>7</v>
      </c>
      <c r="D624" t="s">
        <v>278</v>
      </c>
      <c r="E624" t="s">
        <v>12</v>
      </c>
      <c r="F624">
        <v>755.65</v>
      </c>
      <c r="G624" s="5">
        <v>25107.024000000001</v>
      </c>
      <c r="H624">
        <f t="shared" si="9"/>
        <v>25.107024000000003</v>
      </c>
      <c r="I624">
        <v>4</v>
      </c>
    </row>
    <row r="625" spans="1:9" ht="15.75" thickBot="1" x14ac:dyDescent="0.3">
      <c r="A625" s="1">
        <v>44197</v>
      </c>
      <c r="B625" t="s">
        <v>6</v>
      </c>
      <c r="C625" t="s">
        <v>7</v>
      </c>
      <c r="D625" t="s">
        <v>278</v>
      </c>
      <c r="E625" t="s">
        <v>15</v>
      </c>
      <c r="F625">
        <v>2479.04</v>
      </c>
      <c r="G625" s="3">
        <v>72</v>
      </c>
      <c r="H625">
        <f t="shared" si="9"/>
        <v>72</v>
      </c>
      <c r="I625">
        <v>2</v>
      </c>
    </row>
    <row r="626" spans="1:9" ht="15.75" thickBot="1" x14ac:dyDescent="0.3">
      <c r="A626" s="1">
        <v>44197</v>
      </c>
      <c r="B626" t="s">
        <v>6</v>
      </c>
      <c r="C626" t="s">
        <v>7</v>
      </c>
      <c r="D626" t="s">
        <v>278</v>
      </c>
      <c r="E626" t="s">
        <v>9</v>
      </c>
      <c r="F626">
        <v>1456.69</v>
      </c>
      <c r="G626" s="3">
        <v>30</v>
      </c>
      <c r="H626">
        <f t="shared" si="9"/>
        <v>30</v>
      </c>
      <c r="I626">
        <v>2</v>
      </c>
    </row>
    <row r="627" spans="1:9" ht="15.75" thickBot="1" x14ac:dyDescent="0.3">
      <c r="A627" s="1">
        <v>44197</v>
      </c>
      <c r="B627" t="s">
        <v>6</v>
      </c>
      <c r="C627" t="s">
        <v>7</v>
      </c>
      <c r="D627" t="s">
        <v>279</v>
      </c>
      <c r="E627" t="s">
        <v>24</v>
      </c>
      <c r="F627">
        <v>0</v>
      </c>
      <c r="G627" s="3">
        <v>196</v>
      </c>
      <c r="H627">
        <f t="shared" si="9"/>
        <v>196</v>
      </c>
      <c r="I627">
        <v>1</v>
      </c>
    </row>
    <row r="628" spans="1:9" ht="15.75" thickBot="1" x14ac:dyDescent="0.3">
      <c r="A628" s="1">
        <v>44197</v>
      </c>
      <c r="B628" t="s">
        <v>6</v>
      </c>
      <c r="C628" t="s">
        <v>7</v>
      </c>
      <c r="D628" t="s">
        <v>279</v>
      </c>
      <c r="E628" t="s">
        <v>9</v>
      </c>
      <c r="F628">
        <v>244.71</v>
      </c>
      <c r="G628" s="4">
        <v>0</v>
      </c>
      <c r="H628">
        <f t="shared" si="9"/>
        <v>0</v>
      </c>
      <c r="I628">
        <v>3</v>
      </c>
    </row>
    <row r="629" spans="1:9" ht="15.75" thickBot="1" x14ac:dyDescent="0.3">
      <c r="A629" s="1">
        <v>44197</v>
      </c>
      <c r="B629" t="s">
        <v>6</v>
      </c>
      <c r="C629" t="s">
        <v>7</v>
      </c>
      <c r="D629" t="s">
        <v>280</v>
      </c>
      <c r="E629" t="s">
        <v>15</v>
      </c>
      <c r="F629">
        <v>6381.24</v>
      </c>
      <c r="G629" s="3">
        <v>232</v>
      </c>
      <c r="H629">
        <f t="shared" si="9"/>
        <v>232</v>
      </c>
      <c r="I629">
        <v>1</v>
      </c>
    </row>
    <row r="630" spans="1:9" ht="15.75" thickBot="1" x14ac:dyDescent="0.3">
      <c r="A630" s="1">
        <v>44197</v>
      </c>
      <c r="B630" t="s">
        <v>6</v>
      </c>
      <c r="C630" t="s">
        <v>7</v>
      </c>
      <c r="D630" t="s">
        <v>281</v>
      </c>
      <c r="E630" t="s">
        <v>24</v>
      </c>
      <c r="F630">
        <v>56</v>
      </c>
      <c r="G630" s="3">
        <v>0</v>
      </c>
      <c r="H630">
        <f t="shared" si="9"/>
        <v>0</v>
      </c>
      <c r="I630">
        <v>1</v>
      </c>
    </row>
    <row r="631" spans="1:9" ht="15.75" thickBot="1" x14ac:dyDescent="0.3">
      <c r="A631" s="1">
        <v>44197</v>
      </c>
      <c r="B631" t="s">
        <v>6</v>
      </c>
      <c r="C631" t="s">
        <v>7</v>
      </c>
      <c r="D631" t="s">
        <v>281</v>
      </c>
      <c r="E631" t="s">
        <v>15</v>
      </c>
      <c r="F631">
        <v>36514.1</v>
      </c>
      <c r="G631" s="3">
        <v>917</v>
      </c>
      <c r="H631">
        <f t="shared" si="9"/>
        <v>917</v>
      </c>
      <c r="I631">
        <v>5</v>
      </c>
    </row>
    <row r="632" spans="1:9" ht="15.75" thickBot="1" x14ac:dyDescent="0.3">
      <c r="A632" s="1">
        <v>44197</v>
      </c>
      <c r="B632" t="s">
        <v>6</v>
      </c>
      <c r="C632" t="s">
        <v>7</v>
      </c>
      <c r="D632" t="s">
        <v>281</v>
      </c>
      <c r="E632" t="s">
        <v>9</v>
      </c>
      <c r="F632">
        <v>163.13999999999999</v>
      </c>
      <c r="G632" s="4">
        <v>0</v>
      </c>
      <c r="H632">
        <f t="shared" si="9"/>
        <v>0</v>
      </c>
      <c r="I632">
        <v>2</v>
      </c>
    </row>
    <row r="633" spans="1:9" ht="15.75" thickBot="1" x14ac:dyDescent="0.3">
      <c r="A633" s="1">
        <v>44197</v>
      </c>
      <c r="B633" t="s">
        <v>6</v>
      </c>
      <c r="C633" t="s">
        <v>7</v>
      </c>
      <c r="D633" t="s">
        <v>282</v>
      </c>
      <c r="E633" t="s">
        <v>12</v>
      </c>
      <c r="F633">
        <v>56089.64</v>
      </c>
      <c r="G633" s="5">
        <v>1980574.4779999999</v>
      </c>
      <c r="H633">
        <f t="shared" si="9"/>
        <v>1980.574478</v>
      </c>
      <c r="I633">
        <v>361</v>
      </c>
    </row>
    <row r="634" spans="1:9" ht="15.75" thickBot="1" x14ac:dyDescent="0.3">
      <c r="A634" s="1">
        <v>44197</v>
      </c>
      <c r="B634" t="s">
        <v>6</v>
      </c>
      <c r="C634" t="s">
        <v>7</v>
      </c>
      <c r="D634" t="s">
        <v>282</v>
      </c>
      <c r="E634" t="s">
        <v>9</v>
      </c>
      <c r="F634">
        <v>244.71</v>
      </c>
      <c r="G634" s="4">
        <v>0</v>
      </c>
      <c r="H634">
        <f t="shared" si="9"/>
        <v>0</v>
      </c>
      <c r="I634">
        <v>3</v>
      </c>
    </row>
    <row r="635" spans="1:9" ht="15.75" thickBot="1" x14ac:dyDescent="0.3">
      <c r="A635" s="1">
        <v>44197</v>
      </c>
      <c r="B635" t="s">
        <v>6</v>
      </c>
      <c r="C635" t="s">
        <v>7</v>
      </c>
      <c r="D635" t="s">
        <v>283</v>
      </c>
      <c r="E635" t="s">
        <v>12</v>
      </c>
      <c r="F635">
        <v>549.99</v>
      </c>
      <c r="G635" s="5">
        <v>21000</v>
      </c>
      <c r="H635">
        <f t="shared" si="9"/>
        <v>21</v>
      </c>
      <c r="I635">
        <v>2</v>
      </c>
    </row>
    <row r="636" spans="1:9" ht="15.75" thickBot="1" x14ac:dyDescent="0.3">
      <c r="A636" s="1">
        <v>44197</v>
      </c>
      <c r="B636" t="s">
        <v>6</v>
      </c>
      <c r="C636" t="s">
        <v>7</v>
      </c>
      <c r="D636" t="s">
        <v>284</v>
      </c>
      <c r="E636" t="s">
        <v>12</v>
      </c>
      <c r="F636">
        <v>36395.99</v>
      </c>
      <c r="G636" s="6">
        <v>1148433.8999999999</v>
      </c>
      <c r="H636">
        <f t="shared" si="9"/>
        <v>1148.4339</v>
      </c>
      <c r="I636">
        <v>86</v>
      </c>
    </row>
    <row r="637" spans="1:9" ht="15.75" thickBot="1" x14ac:dyDescent="0.3">
      <c r="A637" s="1">
        <v>44197</v>
      </c>
      <c r="B637" t="s">
        <v>6</v>
      </c>
      <c r="C637" t="s">
        <v>7</v>
      </c>
      <c r="D637" t="s">
        <v>285</v>
      </c>
      <c r="E637" t="s">
        <v>12</v>
      </c>
      <c r="F637">
        <v>249.65</v>
      </c>
      <c r="G637" s="5">
        <v>11000</v>
      </c>
      <c r="H637">
        <f t="shared" si="9"/>
        <v>11</v>
      </c>
      <c r="I637">
        <v>1</v>
      </c>
    </row>
    <row r="638" spans="1:9" ht="15.75" thickBot="1" x14ac:dyDescent="0.3">
      <c r="A638" s="1">
        <v>44197</v>
      </c>
      <c r="B638" t="s">
        <v>6</v>
      </c>
      <c r="C638" t="s">
        <v>7</v>
      </c>
      <c r="D638" t="s">
        <v>286</v>
      </c>
      <c r="E638" t="s">
        <v>12</v>
      </c>
      <c r="F638">
        <v>1050.78</v>
      </c>
      <c r="G638" s="5">
        <v>37000</v>
      </c>
      <c r="H638">
        <f t="shared" si="9"/>
        <v>37</v>
      </c>
      <c r="I638">
        <v>1</v>
      </c>
    </row>
    <row r="639" spans="1:9" ht="15.75" thickBot="1" x14ac:dyDescent="0.3">
      <c r="A639" s="1">
        <v>44197</v>
      </c>
      <c r="B639" t="s">
        <v>6</v>
      </c>
      <c r="C639" t="s">
        <v>7</v>
      </c>
      <c r="D639" t="s">
        <v>287</v>
      </c>
      <c r="E639" t="s">
        <v>12</v>
      </c>
      <c r="F639">
        <v>12571.89</v>
      </c>
      <c r="G639" s="5">
        <v>442597.99200000003</v>
      </c>
      <c r="H639">
        <f t="shared" si="9"/>
        <v>442.59799200000003</v>
      </c>
      <c r="I639">
        <v>9</v>
      </c>
    </row>
    <row r="640" spans="1:9" ht="15.75" thickBot="1" x14ac:dyDescent="0.3">
      <c r="A640" s="1">
        <v>44197</v>
      </c>
      <c r="B640" t="s">
        <v>6</v>
      </c>
      <c r="C640" t="s">
        <v>7</v>
      </c>
      <c r="D640" t="s">
        <v>287</v>
      </c>
      <c r="E640" t="s">
        <v>9</v>
      </c>
      <c r="F640">
        <v>734.13</v>
      </c>
      <c r="G640" s="4">
        <v>0</v>
      </c>
      <c r="H640">
        <f t="shared" si="9"/>
        <v>0</v>
      </c>
      <c r="I640">
        <v>9</v>
      </c>
    </row>
    <row r="641" spans="1:9" ht="15.75" thickBot="1" x14ac:dyDescent="0.3">
      <c r="A641" s="1">
        <v>44197</v>
      </c>
      <c r="B641" t="s">
        <v>6</v>
      </c>
      <c r="C641" t="s">
        <v>7</v>
      </c>
      <c r="D641" t="s">
        <v>288</v>
      </c>
      <c r="E641" t="s">
        <v>12</v>
      </c>
      <c r="F641">
        <v>270.91000000000003</v>
      </c>
      <c r="G641" s="5">
        <v>1000</v>
      </c>
      <c r="H641">
        <f t="shared" si="9"/>
        <v>1</v>
      </c>
      <c r="I641">
        <v>2</v>
      </c>
    </row>
    <row r="642" spans="1:9" ht="15.75" thickBot="1" x14ac:dyDescent="0.3">
      <c r="A642" s="1">
        <v>44197</v>
      </c>
      <c r="B642" t="s">
        <v>6</v>
      </c>
      <c r="C642" t="s">
        <v>7</v>
      </c>
      <c r="D642" t="s">
        <v>288</v>
      </c>
      <c r="E642" t="s">
        <v>9</v>
      </c>
      <c r="F642">
        <v>163.13999999999999</v>
      </c>
      <c r="G642" s="4">
        <v>0</v>
      </c>
      <c r="H642">
        <f t="shared" si="9"/>
        <v>0</v>
      </c>
      <c r="I642">
        <v>2</v>
      </c>
    </row>
    <row r="643" spans="1:9" ht="15.75" thickBot="1" x14ac:dyDescent="0.3">
      <c r="A643" s="1">
        <v>44197</v>
      </c>
      <c r="B643" t="s">
        <v>6</v>
      </c>
      <c r="C643" t="s">
        <v>7</v>
      </c>
      <c r="D643" t="s">
        <v>289</v>
      </c>
      <c r="E643" t="s">
        <v>24</v>
      </c>
      <c r="F643">
        <v>9041.27</v>
      </c>
      <c r="G643" s="6">
        <v>13256.982</v>
      </c>
      <c r="H643">
        <f t="shared" ref="H643:H706" si="10">IF(ISNUMBER(SEARCH("Domestic customer", E643)),G643/1000,G643)</f>
        <v>13256.982</v>
      </c>
      <c r="I643">
        <v>18</v>
      </c>
    </row>
    <row r="644" spans="1:9" ht="15.75" thickBot="1" x14ac:dyDescent="0.3">
      <c r="A644" s="1">
        <v>44197</v>
      </c>
      <c r="B644" t="s">
        <v>6</v>
      </c>
      <c r="C644" t="s">
        <v>7</v>
      </c>
      <c r="D644" t="s">
        <v>289</v>
      </c>
      <c r="E644" t="s">
        <v>12</v>
      </c>
      <c r="F644">
        <v>168388.17</v>
      </c>
      <c r="G644" s="6">
        <v>6869136.7060000002</v>
      </c>
      <c r="H644">
        <f t="shared" si="10"/>
        <v>6869.1367060000002</v>
      </c>
      <c r="I644">
        <v>599</v>
      </c>
    </row>
    <row r="645" spans="1:9" ht="15.75" thickBot="1" x14ac:dyDescent="0.3">
      <c r="A645" s="1">
        <v>44197</v>
      </c>
      <c r="B645" t="s">
        <v>6</v>
      </c>
      <c r="C645" t="s">
        <v>7</v>
      </c>
      <c r="D645" t="s">
        <v>289</v>
      </c>
      <c r="E645" t="s">
        <v>9</v>
      </c>
      <c r="F645">
        <v>139907.54999999999</v>
      </c>
      <c r="G645" s="3">
        <v>4792</v>
      </c>
      <c r="H645">
        <f t="shared" si="10"/>
        <v>4792</v>
      </c>
      <c r="I645">
        <v>104</v>
      </c>
    </row>
    <row r="646" spans="1:9" ht="15.75" thickBot="1" x14ac:dyDescent="0.3">
      <c r="A646" s="1">
        <v>44197</v>
      </c>
      <c r="B646" t="s">
        <v>6</v>
      </c>
      <c r="C646" t="s">
        <v>7</v>
      </c>
      <c r="D646" t="s">
        <v>289</v>
      </c>
      <c r="E646" t="s">
        <v>17</v>
      </c>
      <c r="F646">
        <v>223.48</v>
      </c>
      <c r="G646" s="5">
        <v>10000</v>
      </c>
      <c r="H646">
        <f t="shared" si="10"/>
        <v>10000</v>
      </c>
      <c r="I646">
        <v>1</v>
      </c>
    </row>
    <row r="647" spans="1:9" ht="15.75" thickBot="1" x14ac:dyDescent="0.3">
      <c r="A647" s="1">
        <v>44197</v>
      </c>
      <c r="B647" t="s">
        <v>6</v>
      </c>
      <c r="C647" t="s">
        <v>7</v>
      </c>
      <c r="D647" t="s">
        <v>290</v>
      </c>
      <c r="E647" t="s">
        <v>14</v>
      </c>
      <c r="F647">
        <v>107.46</v>
      </c>
      <c r="G647" s="3">
        <v>2</v>
      </c>
      <c r="H647">
        <f t="shared" si="10"/>
        <v>2</v>
      </c>
      <c r="I647">
        <v>1</v>
      </c>
    </row>
    <row r="648" spans="1:9" ht="15.75" thickBot="1" x14ac:dyDescent="0.3">
      <c r="A648" s="1">
        <v>44197</v>
      </c>
      <c r="B648" t="s">
        <v>6</v>
      </c>
      <c r="C648" t="s">
        <v>7</v>
      </c>
      <c r="D648" t="s">
        <v>290</v>
      </c>
      <c r="E648" t="s">
        <v>12</v>
      </c>
      <c r="F648">
        <v>1500.15</v>
      </c>
      <c r="G648" s="5">
        <v>44000</v>
      </c>
      <c r="H648">
        <f t="shared" si="10"/>
        <v>44</v>
      </c>
      <c r="I648">
        <v>8</v>
      </c>
    </row>
    <row r="649" spans="1:9" ht="15.75" thickBot="1" x14ac:dyDescent="0.3">
      <c r="A649" s="1">
        <v>44197</v>
      </c>
      <c r="B649" t="s">
        <v>6</v>
      </c>
      <c r="C649" t="s">
        <v>7</v>
      </c>
      <c r="D649" t="s">
        <v>290</v>
      </c>
      <c r="E649" t="s">
        <v>9</v>
      </c>
      <c r="F649">
        <v>1038.44</v>
      </c>
      <c r="G649" s="6">
        <v>13015.511</v>
      </c>
      <c r="H649">
        <f t="shared" si="10"/>
        <v>13015.511</v>
      </c>
      <c r="I649">
        <v>4</v>
      </c>
    </row>
    <row r="650" spans="1:9" ht="15.75" thickBot="1" x14ac:dyDescent="0.3">
      <c r="A650" s="1">
        <v>44197</v>
      </c>
      <c r="B650" t="s">
        <v>6</v>
      </c>
      <c r="C650" t="s">
        <v>7</v>
      </c>
      <c r="D650" t="s">
        <v>291</v>
      </c>
      <c r="E650" t="s">
        <v>14</v>
      </c>
      <c r="F650">
        <v>38238.36</v>
      </c>
      <c r="G650" s="3">
        <v>1148</v>
      </c>
      <c r="H650">
        <f t="shared" si="10"/>
        <v>1148</v>
      </c>
      <c r="I650">
        <v>2</v>
      </c>
    </row>
    <row r="651" spans="1:9" ht="15.75" thickBot="1" x14ac:dyDescent="0.3">
      <c r="A651" s="1">
        <v>44197</v>
      </c>
      <c r="B651" t="s">
        <v>6</v>
      </c>
      <c r="C651" t="s">
        <v>7</v>
      </c>
      <c r="D651" t="s">
        <v>291</v>
      </c>
      <c r="E651" t="s">
        <v>24</v>
      </c>
      <c r="F651">
        <v>142.07</v>
      </c>
      <c r="G651" s="3">
        <v>3</v>
      </c>
      <c r="H651">
        <f t="shared" si="10"/>
        <v>3</v>
      </c>
      <c r="I651">
        <v>1</v>
      </c>
    </row>
    <row r="652" spans="1:9" ht="15.75" thickBot="1" x14ac:dyDescent="0.3">
      <c r="A652" s="1">
        <v>44197</v>
      </c>
      <c r="B652" t="s">
        <v>6</v>
      </c>
      <c r="C652" t="s">
        <v>7</v>
      </c>
      <c r="D652" t="s">
        <v>291</v>
      </c>
      <c r="E652" t="s">
        <v>12</v>
      </c>
      <c r="F652">
        <v>87858.27</v>
      </c>
      <c r="G652" s="5">
        <v>1500000</v>
      </c>
      <c r="H652">
        <f t="shared" si="10"/>
        <v>1500</v>
      </c>
      <c r="I652">
        <v>3</v>
      </c>
    </row>
    <row r="653" spans="1:9" ht="15.75" thickBot="1" x14ac:dyDescent="0.3">
      <c r="A653" s="1">
        <v>44197</v>
      </c>
      <c r="B653" t="s">
        <v>6</v>
      </c>
      <c r="C653" t="s">
        <v>7</v>
      </c>
      <c r="D653" t="s">
        <v>291</v>
      </c>
      <c r="E653" t="s">
        <v>9</v>
      </c>
      <c r="F653">
        <v>9687.52</v>
      </c>
      <c r="G653" s="5">
        <v>479000</v>
      </c>
      <c r="H653">
        <f t="shared" si="10"/>
        <v>479000</v>
      </c>
      <c r="I653">
        <v>8</v>
      </c>
    </row>
    <row r="654" spans="1:9" ht="15.75" thickBot="1" x14ac:dyDescent="0.3">
      <c r="A654" s="1">
        <v>44197</v>
      </c>
      <c r="B654" t="s">
        <v>6</v>
      </c>
      <c r="C654" t="s">
        <v>7</v>
      </c>
      <c r="D654" t="s">
        <v>291</v>
      </c>
      <c r="E654" t="s">
        <v>17</v>
      </c>
      <c r="F654">
        <v>81.569999999999993</v>
      </c>
      <c r="G654" s="4">
        <v>0</v>
      </c>
      <c r="H654">
        <f t="shared" si="10"/>
        <v>0</v>
      </c>
      <c r="I654">
        <v>1</v>
      </c>
    </row>
    <row r="655" spans="1:9" ht="15.75" thickBot="1" x14ac:dyDescent="0.3">
      <c r="A655" s="1">
        <v>44197</v>
      </c>
      <c r="B655" t="s">
        <v>6</v>
      </c>
      <c r="C655" t="s">
        <v>7</v>
      </c>
      <c r="D655" t="s">
        <v>292</v>
      </c>
      <c r="E655" t="s">
        <v>12</v>
      </c>
      <c r="F655">
        <v>887.32</v>
      </c>
      <c r="G655" s="5">
        <v>30000</v>
      </c>
      <c r="H655">
        <f t="shared" si="10"/>
        <v>30</v>
      </c>
      <c r="I655">
        <v>1</v>
      </c>
    </row>
    <row r="656" spans="1:9" ht="15.75" thickBot="1" x14ac:dyDescent="0.3">
      <c r="A656" s="1">
        <v>44197</v>
      </c>
      <c r="B656" t="s">
        <v>6</v>
      </c>
      <c r="C656" t="s">
        <v>7</v>
      </c>
      <c r="D656" t="s">
        <v>293</v>
      </c>
      <c r="E656" t="s">
        <v>14</v>
      </c>
      <c r="F656">
        <v>9580.4500000000007</v>
      </c>
      <c r="G656" s="5">
        <v>584000</v>
      </c>
      <c r="H656">
        <f t="shared" si="10"/>
        <v>584000</v>
      </c>
      <c r="I656">
        <v>1</v>
      </c>
    </row>
    <row r="657" spans="1:9" ht="15.75" thickBot="1" x14ac:dyDescent="0.3">
      <c r="A657" s="1">
        <v>44197</v>
      </c>
      <c r="B657" t="s">
        <v>6</v>
      </c>
      <c r="C657" t="s">
        <v>7</v>
      </c>
      <c r="D657" t="s">
        <v>293</v>
      </c>
      <c r="E657" t="s">
        <v>12</v>
      </c>
      <c r="F657">
        <v>14909.07</v>
      </c>
      <c r="G657" s="5">
        <v>463078.64899999998</v>
      </c>
      <c r="H657">
        <f t="shared" si="10"/>
        <v>463.07864899999998</v>
      </c>
      <c r="I657">
        <v>33</v>
      </c>
    </row>
    <row r="658" spans="1:9" ht="15.75" thickBot="1" x14ac:dyDescent="0.3">
      <c r="A658" s="1">
        <v>44197</v>
      </c>
      <c r="B658" t="s">
        <v>6</v>
      </c>
      <c r="C658" t="s">
        <v>7</v>
      </c>
      <c r="D658" t="s">
        <v>293</v>
      </c>
      <c r="E658" t="s">
        <v>9</v>
      </c>
      <c r="F658">
        <v>12560.72</v>
      </c>
      <c r="G658" s="6">
        <v>17377.850999999999</v>
      </c>
      <c r="H658">
        <f t="shared" si="10"/>
        <v>17377.850999999999</v>
      </c>
      <c r="I658">
        <v>10</v>
      </c>
    </row>
    <row r="659" spans="1:9" ht="15.75" thickBot="1" x14ac:dyDescent="0.3">
      <c r="A659" s="1">
        <v>44197</v>
      </c>
      <c r="B659" t="s">
        <v>6</v>
      </c>
      <c r="C659" t="s">
        <v>7</v>
      </c>
      <c r="D659" t="s">
        <v>293</v>
      </c>
      <c r="E659" t="s">
        <v>17</v>
      </c>
      <c r="F659">
        <v>375.25</v>
      </c>
      <c r="G659" s="5">
        <v>14000</v>
      </c>
      <c r="H659">
        <f t="shared" si="10"/>
        <v>14000</v>
      </c>
      <c r="I659">
        <v>1</v>
      </c>
    </row>
    <row r="660" spans="1:9" ht="15.75" thickBot="1" x14ac:dyDescent="0.3">
      <c r="A660" s="1">
        <v>44197</v>
      </c>
      <c r="B660" t="s">
        <v>6</v>
      </c>
      <c r="C660" t="s">
        <v>7</v>
      </c>
      <c r="D660" t="s">
        <v>294</v>
      </c>
      <c r="E660" t="s">
        <v>24</v>
      </c>
      <c r="F660">
        <v>1796.83</v>
      </c>
      <c r="G660" s="3">
        <v>48</v>
      </c>
      <c r="H660">
        <f t="shared" si="10"/>
        <v>48</v>
      </c>
      <c r="I660">
        <v>8</v>
      </c>
    </row>
    <row r="661" spans="1:9" ht="15.75" thickBot="1" x14ac:dyDescent="0.3">
      <c r="A661" s="1">
        <v>44197</v>
      </c>
      <c r="B661" t="s">
        <v>6</v>
      </c>
      <c r="C661" t="s">
        <v>7</v>
      </c>
      <c r="D661" t="s">
        <v>294</v>
      </c>
      <c r="E661" t="s">
        <v>12</v>
      </c>
      <c r="F661">
        <v>31489.14</v>
      </c>
      <c r="G661" s="5">
        <v>2705287.2969999998</v>
      </c>
      <c r="H661">
        <f t="shared" si="10"/>
        <v>2705.2872969999999</v>
      </c>
      <c r="I661">
        <v>363</v>
      </c>
    </row>
    <row r="662" spans="1:9" ht="15.75" thickBot="1" x14ac:dyDescent="0.3">
      <c r="A662" s="1">
        <v>44197</v>
      </c>
      <c r="B662" t="s">
        <v>6</v>
      </c>
      <c r="C662" t="s">
        <v>7</v>
      </c>
      <c r="D662" t="s">
        <v>294</v>
      </c>
      <c r="E662" t="s">
        <v>9</v>
      </c>
      <c r="F662">
        <v>2887.23</v>
      </c>
      <c r="G662" s="6">
        <v>14609.341</v>
      </c>
      <c r="H662">
        <f t="shared" si="10"/>
        <v>14609.341</v>
      </c>
      <c r="I662">
        <v>18</v>
      </c>
    </row>
    <row r="663" spans="1:9" ht="15.75" thickBot="1" x14ac:dyDescent="0.3">
      <c r="A663" s="1">
        <v>44197</v>
      </c>
      <c r="B663" t="s">
        <v>6</v>
      </c>
      <c r="C663" t="s">
        <v>7</v>
      </c>
      <c r="D663" t="s">
        <v>294</v>
      </c>
      <c r="E663" t="s">
        <v>17</v>
      </c>
      <c r="F663">
        <v>0</v>
      </c>
      <c r="G663" s="5">
        <v>16102.8</v>
      </c>
      <c r="H663">
        <f t="shared" si="10"/>
        <v>16102.8</v>
      </c>
      <c r="I663">
        <v>2</v>
      </c>
    </row>
    <row r="664" spans="1:9" ht="15.75" thickBot="1" x14ac:dyDescent="0.3">
      <c r="A664" s="1">
        <v>44197</v>
      </c>
      <c r="B664" t="s">
        <v>6</v>
      </c>
      <c r="C664" t="s">
        <v>7</v>
      </c>
      <c r="D664" t="s">
        <v>295</v>
      </c>
      <c r="E664" t="s">
        <v>12</v>
      </c>
      <c r="F664">
        <v>141.69999999999999</v>
      </c>
      <c r="G664" s="5">
        <v>917508.9</v>
      </c>
      <c r="H664">
        <f t="shared" si="10"/>
        <v>917.50890000000004</v>
      </c>
      <c r="I664">
        <v>79</v>
      </c>
    </row>
    <row r="665" spans="1:9" ht="15.75" thickBot="1" x14ac:dyDescent="0.3">
      <c r="A665" s="1">
        <v>44197</v>
      </c>
      <c r="B665" t="s">
        <v>6</v>
      </c>
      <c r="C665" t="s">
        <v>7</v>
      </c>
      <c r="D665" t="s">
        <v>296</v>
      </c>
      <c r="E665" t="s">
        <v>24</v>
      </c>
      <c r="F665">
        <v>10561.04</v>
      </c>
      <c r="G665" s="3">
        <v>296</v>
      </c>
      <c r="H665">
        <f t="shared" si="10"/>
        <v>296</v>
      </c>
      <c r="I665">
        <v>4</v>
      </c>
    </row>
    <row r="666" spans="1:9" ht="15.75" thickBot="1" x14ac:dyDescent="0.3">
      <c r="A666" s="1">
        <v>44197</v>
      </c>
      <c r="B666" t="s">
        <v>6</v>
      </c>
      <c r="C666" t="s">
        <v>7</v>
      </c>
      <c r="D666" t="s">
        <v>296</v>
      </c>
      <c r="E666" t="s">
        <v>12</v>
      </c>
      <c r="F666">
        <v>55450.33</v>
      </c>
      <c r="G666" s="5">
        <v>1567870.483</v>
      </c>
      <c r="H666">
        <f t="shared" si="10"/>
        <v>1567.8704829999999</v>
      </c>
      <c r="I666">
        <v>279</v>
      </c>
    </row>
    <row r="667" spans="1:9" ht="15.75" thickBot="1" x14ac:dyDescent="0.3">
      <c r="A667" s="1">
        <v>44197</v>
      </c>
      <c r="B667" t="s">
        <v>6</v>
      </c>
      <c r="C667" t="s">
        <v>7</v>
      </c>
      <c r="D667" t="s">
        <v>296</v>
      </c>
      <c r="E667" t="s">
        <v>9</v>
      </c>
      <c r="F667">
        <v>5614.17</v>
      </c>
      <c r="G667" s="6">
        <v>26079</v>
      </c>
      <c r="H667">
        <f t="shared" si="10"/>
        <v>26079</v>
      </c>
      <c r="I667">
        <v>15</v>
      </c>
    </row>
    <row r="668" spans="1:9" ht="15.75" thickBot="1" x14ac:dyDescent="0.3">
      <c r="A668" s="1">
        <v>44197</v>
      </c>
      <c r="B668" t="s">
        <v>6</v>
      </c>
      <c r="C668" t="s">
        <v>7</v>
      </c>
      <c r="D668" t="s">
        <v>296</v>
      </c>
      <c r="E668" t="s">
        <v>17</v>
      </c>
      <c r="F668">
        <v>4749.18</v>
      </c>
      <c r="G668" s="5">
        <v>146995.6</v>
      </c>
      <c r="H668">
        <f t="shared" si="10"/>
        <v>146995.6</v>
      </c>
      <c r="I668">
        <v>23</v>
      </c>
    </row>
    <row r="669" spans="1:9" ht="15.75" thickBot="1" x14ac:dyDescent="0.3">
      <c r="A669" s="1">
        <v>44197</v>
      </c>
      <c r="B669" t="s">
        <v>6</v>
      </c>
      <c r="C669" t="s">
        <v>7</v>
      </c>
      <c r="D669" t="s">
        <v>297</v>
      </c>
      <c r="E669" t="s">
        <v>24</v>
      </c>
      <c r="F669">
        <v>467.16</v>
      </c>
      <c r="G669" s="3">
        <v>13</v>
      </c>
      <c r="H669">
        <f t="shared" si="10"/>
        <v>13</v>
      </c>
      <c r="I669">
        <v>1</v>
      </c>
    </row>
    <row r="670" spans="1:9" ht="15.75" thickBot="1" x14ac:dyDescent="0.3">
      <c r="A670" s="1">
        <v>44197</v>
      </c>
      <c r="B670" t="s">
        <v>6</v>
      </c>
      <c r="C670" t="s">
        <v>7</v>
      </c>
      <c r="D670" t="s">
        <v>297</v>
      </c>
      <c r="E670" t="s">
        <v>9</v>
      </c>
      <c r="F670">
        <v>563.62</v>
      </c>
      <c r="G670" s="3">
        <v>6</v>
      </c>
      <c r="H670">
        <f t="shared" si="10"/>
        <v>6</v>
      </c>
      <c r="I670">
        <v>2</v>
      </c>
    </row>
    <row r="671" spans="1:9" ht="15.75" thickBot="1" x14ac:dyDescent="0.3">
      <c r="A671" s="1">
        <v>44197</v>
      </c>
      <c r="B671" t="s">
        <v>6</v>
      </c>
      <c r="C671" t="s">
        <v>7</v>
      </c>
      <c r="D671" t="s">
        <v>298</v>
      </c>
      <c r="E671" t="s">
        <v>12</v>
      </c>
      <c r="F671">
        <v>9160.2999999999993</v>
      </c>
      <c r="G671" s="5">
        <v>445851</v>
      </c>
      <c r="H671">
        <f t="shared" si="10"/>
        <v>445.851</v>
      </c>
      <c r="I671">
        <v>1</v>
      </c>
    </row>
    <row r="672" spans="1:9" ht="15.75" thickBot="1" x14ac:dyDescent="0.3">
      <c r="A672" s="1">
        <v>44197</v>
      </c>
      <c r="B672" t="s">
        <v>6</v>
      </c>
      <c r="C672" t="s">
        <v>7</v>
      </c>
      <c r="D672" t="s">
        <v>299</v>
      </c>
      <c r="E672" t="s">
        <v>12</v>
      </c>
      <c r="F672">
        <v>8734.8700000000008</v>
      </c>
      <c r="G672" s="5">
        <v>194669.44399999999</v>
      </c>
      <c r="H672">
        <f t="shared" si="10"/>
        <v>194.669444</v>
      </c>
      <c r="I672">
        <v>6</v>
      </c>
    </row>
    <row r="673" spans="1:9" ht="15.75" thickBot="1" x14ac:dyDescent="0.3">
      <c r="A673" s="1">
        <v>44197</v>
      </c>
      <c r="B673" t="s">
        <v>6</v>
      </c>
      <c r="C673" t="s">
        <v>7</v>
      </c>
      <c r="D673" t="s">
        <v>299</v>
      </c>
      <c r="E673" t="s">
        <v>9</v>
      </c>
      <c r="F673">
        <v>81.569999999999993</v>
      </c>
      <c r="G673" s="4">
        <v>0</v>
      </c>
      <c r="H673">
        <f t="shared" si="10"/>
        <v>0</v>
      </c>
      <c r="I673">
        <v>1</v>
      </c>
    </row>
    <row r="674" spans="1:9" ht="15.75" thickBot="1" x14ac:dyDescent="0.3">
      <c r="A674" s="1">
        <v>44197</v>
      </c>
      <c r="B674" t="s">
        <v>6</v>
      </c>
      <c r="C674" t="s">
        <v>7</v>
      </c>
      <c r="D674" t="s">
        <v>300</v>
      </c>
      <c r="E674" t="s">
        <v>24</v>
      </c>
      <c r="F674">
        <v>1925.39</v>
      </c>
      <c r="G674" s="3">
        <v>2</v>
      </c>
      <c r="H674">
        <f t="shared" si="10"/>
        <v>2</v>
      </c>
      <c r="I674">
        <v>3</v>
      </c>
    </row>
    <row r="675" spans="1:9" ht="15.75" thickBot="1" x14ac:dyDescent="0.3">
      <c r="A675" s="1">
        <v>44197</v>
      </c>
      <c r="B675" t="s">
        <v>6</v>
      </c>
      <c r="C675" t="s">
        <v>7</v>
      </c>
      <c r="D675" t="s">
        <v>300</v>
      </c>
      <c r="E675" t="s">
        <v>12</v>
      </c>
      <c r="F675">
        <v>4651.8500000000004</v>
      </c>
      <c r="G675" s="5">
        <v>103000</v>
      </c>
      <c r="H675">
        <f t="shared" si="10"/>
        <v>103</v>
      </c>
      <c r="I675">
        <v>4</v>
      </c>
    </row>
    <row r="676" spans="1:9" ht="15.75" thickBot="1" x14ac:dyDescent="0.3">
      <c r="A676" s="1">
        <v>44197</v>
      </c>
      <c r="B676" t="s">
        <v>6</v>
      </c>
      <c r="C676" t="s">
        <v>7</v>
      </c>
      <c r="D676" t="s">
        <v>301</v>
      </c>
      <c r="E676" t="s">
        <v>12</v>
      </c>
      <c r="F676">
        <v>17324.18</v>
      </c>
      <c r="G676" s="5">
        <v>682844.61499999999</v>
      </c>
      <c r="H676">
        <f t="shared" si="10"/>
        <v>682.84461499999998</v>
      </c>
      <c r="I676">
        <v>21</v>
      </c>
    </row>
    <row r="677" spans="1:9" ht="15.75" thickBot="1" x14ac:dyDescent="0.3">
      <c r="A677" s="1">
        <v>44197</v>
      </c>
      <c r="B677" t="s">
        <v>6</v>
      </c>
      <c r="C677" t="s">
        <v>7</v>
      </c>
      <c r="D677" t="s">
        <v>301</v>
      </c>
      <c r="E677" t="s">
        <v>9</v>
      </c>
      <c r="F677">
        <v>1357.46</v>
      </c>
      <c r="G677" s="6">
        <v>14016.457</v>
      </c>
      <c r="H677">
        <f t="shared" si="10"/>
        <v>14016.457</v>
      </c>
      <c r="I677">
        <v>8</v>
      </c>
    </row>
    <row r="678" spans="1:9" ht="15.75" thickBot="1" x14ac:dyDescent="0.3">
      <c r="A678" s="1">
        <v>44197</v>
      </c>
      <c r="B678" t="s">
        <v>6</v>
      </c>
      <c r="C678" t="s">
        <v>7</v>
      </c>
      <c r="D678" t="s">
        <v>301</v>
      </c>
      <c r="E678" t="s">
        <v>17</v>
      </c>
      <c r="F678">
        <v>14444.73</v>
      </c>
      <c r="G678" s="5">
        <v>3000</v>
      </c>
      <c r="H678">
        <f t="shared" si="10"/>
        <v>3000</v>
      </c>
      <c r="I678">
        <v>1</v>
      </c>
    </row>
    <row r="679" spans="1:9" ht="15.75" thickBot="1" x14ac:dyDescent="0.3">
      <c r="A679" s="1">
        <v>44197</v>
      </c>
      <c r="B679" t="s">
        <v>6</v>
      </c>
      <c r="C679" t="s">
        <v>7</v>
      </c>
      <c r="D679" t="s">
        <v>302</v>
      </c>
      <c r="E679" t="s">
        <v>14</v>
      </c>
      <c r="F679">
        <v>8647</v>
      </c>
      <c r="G679" s="3">
        <v>225</v>
      </c>
      <c r="H679">
        <f t="shared" si="10"/>
        <v>225</v>
      </c>
      <c r="I679">
        <v>1</v>
      </c>
    </row>
    <row r="680" spans="1:9" ht="15.75" thickBot="1" x14ac:dyDescent="0.3">
      <c r="A680" s="1">
        <v>44197</v>
      </c>
      <c r="B680" t="s">
        <v>6</v>
      </c>
      <c r="C680" t="s">
        <v>7</v>
      </c>
      <c r="D680" t="s">
        <v>302</v>
      </c>
      <c r="E680" t="s">
        <v>12</v>
      </c>
      <c r="F680">
        <v>12984.08</v>
      </c>
      <c r="G680" s="5">
        <v>528000</v>
      </c>
      <c r="H680">
        <f t="shared" si="10"/>
        <v>528</v>
      </c>
      <c r="I680">
        <v>16</v>
      </c>
    </row>
    <row r="681" spans="1:9" ht="15.75" thickBot="1" x14ac:dyDescent="0.3">
      <c r="A681" s="1">
        <v>44197</v>
      </c>
      <c r="B681" t="s">
        <v>6</v>
      </c>
      <c r="C681" t="s">
        <v>7</v>
      </c>
      <c r="D681" t="s">
        <v>302</v>
      </c>
      <c r="E681" t="s">
        <v>9</v>
      </c>
      <c r="F681">
        <v>721.13</v>
      </c>
      <c r="G681" s="5">
        <v>27000</v>
      </c>
      <c r="H681">
        <f t="shared" si="10"/>
        <v>27000</v>
      </c>
      <c r="I681">
        <v>2</v>
      </c>
    </row>
    <row r="682" spans="1:9" ht="15.75" thickBot="1" x14ac:dyDescent="0.3">
      <c r="A682" s="1">
        <v>44197</v>
      </c>
      <c r="B682" t="s">
        <v>6</v>
      </c>
      <c r="C682" t="s">
        <v>7</v>
      </c>
      <c r="D682" t="s">
        <v>302</v>
      </c>
      <c r="E682" t="s">
        <v>17</v>
      </c>
      <c r="F682">
        <v>2500</v>
      </c>
      <c r="G682" s="3">
        <v>0</v>
      </c>
      <c r="H682">
        <f t="shared" si="10"/>
        <v>0</v>
      </c>
      <c r="I682">
        <v>1</v>
      </c>
    </row>
    <row r="683" spans="1:9" ht="15.75" thickBot="1" x14ac:dyDescent="0.3">
      <c r="A683" s="1">
        <v>44197</v>
      </c>
      <c r="B683" t="s">
        <v>6</v>
      </c>
      <c r="C683" t="s">
        <v>7</v>
      </c>
      <c r="D683" t="s">
        <v>303</v>
      </c>
      <c r="E683" t="s">
        <v>12</v>
      </c>
      <c r="F683">
        <v>590.52</v>
      </c>
      <c r="G683" s="5">
        <v>22000</v>
      </c>
      <c r="H683">
        <f t="shared" si="10"/>
        <v>22</v>
      </c>
      <c r="I683">
        <v>2</v>
      </c>
    </row>
    <row r="684" spans="1:9" ht="15.75" thickBot="1" x14ac:dyDescent="0.3">
      <c r="A684" s="1">
        <v>44197</v>
      </c>
      <c r="B684" t="s">
        <v>6</v>
      </c>
      <c r="C684" t="s">
        <v>7</v>
      </c>
      <c r="D684" t="s">
        <v>304</v>
      </c>
      <c r="E684" t="s">
        <v>12</v>
      </c>
      <c r="F684">
        <v>2387.94</v>
      </c>
      <c r="G684" s="5">
        <v>1967529.615</v>
      </c>
      <c r="H684">
        <f t="shared" si="10"/>
        <v>1967.5296149999999</v>
      </c>
      <c r="I684">
        <v>208</v>
      </c>
    </row>
    <row r="685" spans="1:9" ht="15.75" thickBot="1" x14ac:dyDescent="0.3">
      <c r="A685" s="1">
        <v>44197</v>
      </c>
      <c r="B685" t="s">
        <v>6</v>
      </c>
      <c r="C685" t="s">
        <v>7</v>
      </c>
      <c r="D685" t="s">
        <v>304</v>
      </c>
      <c r="E685" t="s">
        <v>17</v>
      </c>
      <c r="F685">
        <v>0</v>
      </c>
      <c r="G685" s="5">
        <v>35000</v>
      </c>
      <c r="H685">
        <f t="shared" si="10"/>
        <v>35000</v>
      </c>
      <c r="I685">
        <v>2</v>
      </c>
    </row>
    <row r="686" spans="1:9" ht="15.75" thickBot="1" x14ac:dyDescent="0.3">
      <c r="A686" s="1">
        <v>44197</v>
      </c>
      <c r="B686" t="s">
        <v>6</v>
      </c>
      <c r="C686" t="s">
        <v>7</v>
      </c>
      <c r="D686" t="s">
        <v>305</v>
      </c>
      <c r="E686" t="s">
        <v>24</v>
      </c>
      <c r="F686">
        <v>1520.64</v>
      </c>
      <c r="G686" s="3">
        <v>52</v>
      </c>
      <c r="H686">
        <f t="shared" si="10"/>
        <v>52</v>
      </c>
      <c r="I686">
        <v>1</v>
      </c>
    </row>
    <row r="687" spans="1:9" ht="15.75" thickBot="1" x14ac:dyDescent="0.3">
      <c r="A687" s="1">
        <v>44197</v>
      </c>
      <c r="B687" t="s">
        <v>6</v>
      </c>
      <c r="C687" t="s">
        <v>7</v>
      </c>
      <c r="D687" t="s">
        <v>305</v>
      </c>
      <c r="E687" t="s">
        <v>12</v>
      </c>
      <c r="F687">
        <v>286.67</v>
      </c>
      <c r="G687" s="5">
        <v>23000</v>
      </c>
      <c r="H687">
        <f t="shared" si="10"/>
        <v>23</v>
      </c>
      <c r="I687">
        <v>3</v>
      </c>
    </row>
    <row r="688" spans="1:9" ht="15.75" thickBot="1" x14ac:dyDescent="0.3">
      <c r="A688" s="1">
        <v>44197</v>
      </c>
      <c r="B688" t="s">
        <v>6</v>
      </c>
      <c r="C688" t="s">
        <v>7</v>
      </c>
      <c r="D688" t="s">
        <v>306</v>
      </c>
      <c r="E688" t="s">
        <v>24</v>
      </c>
      <c r="F688">
        <v>262.89</v>
      </c>
      <c r="G688" s="3">
        <v>8</v>
      </c>
      <c r="H688">
        <f t="shared" si="10"/>
        <v>8</v>
      </c>
      <c r="I688">
        <v>1</v>
      </c>
    </row>
    <row r="689" spans="1:9" ht="15.75" thickBot="1" x14ac:dyDescent="0.3">
      <c r="A689" s="1">
        <v>44197</v>
      </c>
      <c r="B689" t="s">
        <v>6</v>
      </c>
      <c r="C689" t="s">
        <v>7</v>
      </c>
      <c r="D689" t="s">
        <v>306</v>
      </c>
      <c r="E689" t="s">
        <v>12</v>
      </c>
      <c r="F689">
        <v>1650.05</v>
      </c>
      <c r="G689" s="6">
        <v>19035</v>
      </c>
      <c r="H689">
        <f t="shared" si="10"/>
        <v>19.035</v>
      </c>
      <c r="I689">
        <v>2</v>
      </c>
    </row>
    <row r="690" spans="1:9" ht="15.75" thickBot="1" x14ac:dyDescent="0.3">
      <c r="A690" s="1">
        <v>44197</v>
      </c>
      <c r="B690" t="s">
        <v>6</v>
      </c>
      <c r="C690" t="s">
        <v>7</v>
      </c>
      <c r="D690" t="s">
        <v>307</v>
      </c>
      <c r="E690" t="s">
        <v>9</v>
      </c>
      <c r="F690">
        <v>20498.560000000001</v>
      </c>
      <c r="G690" s="3">
        <v>729</v>
      </c>
      <c r="H690">
        <f t="shared" si="10"/>
        <v>729</v>
      </c>
      <c r="I690">
        <v>5</v>
      </c>
    </row>
    <row r="691" spans="1:9" ht="15.75" thickBot="1" x14ac:dyDescent="0.3">
      <c r="A691" s="1">
        <v>44197</v>
      </c>
      <c r="B691" t="s">
        <v>6</v>
      </c>
      <c r="C691" t="s">
        <v>7</v>
      </c>
      <c r="D691" t="s">
        <v>308</v>
      </c>
      <c r="E691" t="s">
        <v>12</v>
      </c>
      <c r="F691">
        <v>246.27</v>
      </c>
      <c r="G691" s="5">
        <v>9000</v>
      </c>
      <c r="H691">
        <f t="shared" si="10"/>
        <v>9</v>
      </c>
      <c r="I691">
        <v>1</v>
      </c>
    </row>
    <row r="692" spans="1:9" ht="15.75" thickBot="1" x14ac:dyDescent="0.3">
      <c r="A692" s="1">
        <v>44197</v>
      </c>
      <c r="B692" t="s">
        <v>6</v>
      </c>
      <c r="C692" t="s">
        <v>7</v>
      </c>
      <c r="D692" t="s">
        <v>309</v>
      </c>
      <c r="E692" t="s">
        <v>14</v>
      </c>
      <c r="F692">
        <v>4407.04</v>
      </c>
      <c r="G692" s="3">
        <v>99</v>
      </c>
      <c r="H692">
        <f t="shared" si="10"/>
        <v>99</v>
      </c>
      <c r="I692">
        <v>6</v>
      </c>
    </row>
    <row r="693" spans="1:9" ht="15.75" thickBot="1" x14ac:dyDescent="0.3">
      <c r="A693" s="1">
        <v>44197</v>
      </c>
      <c r="B693" t="s">
        <v>6</v>
      </c>
      <c r="C693" t="s">
        <v>7</v>
      </c>
      <c r="D693" t="s">
        <v>309</v>
      </c>
      <c r="E693" t="s">
        <v>24</v>
      </c>
      <c r="F693">
        <v>1549.33</v>
      </c>
      <c r="G693" s="3">
        <v>13</v>
      </c>
      <c r="H693">
        <f t="shared" si="10"/>
        <v>13</v>
      </c>
      <c r="I693">
        <v>4</v>
      </c>
    </row>
    <row r="694" spans="1:9" ht="15.75" thickBot="1" x14ac:dyDescent="0.3">
      <c r="A694" s="1">
        <v>44197</v>
      </c>
      <c r="B694" t="s">
        <v>6</v>
      </c>
      <c r="C694" t="s">
        <v>7</v>
      </c>
      <c r="D694" t="s">
        <v>309</v>
      </c>
      <c r="E694" t="s">
        <v>12</v>
      </c>
      <c r="F694">
        <v>93337.11</v>
      </c>
      <c r="G694" s="5">
        <v>3825760.7689999999</v>
      </c>
      <c r="H694">
        <f t="shared" si="10"/>
        <v>3825.760769</v>
      </c>
      <c r="I694">
        <v>29</v>
      </c>
    </row>
    <row r="695" spans="1:9" ht="15.75" thickBot="1" x14ac:dyDescent="0.3">
      <c r="A695" s="1">
        <v>44197</v>
      </c>
      <c r="B695" t="s">
        <v>6</v>
      </c>
      <c r="C695" t="s">
        <v>7</v>
      </c>
      <c r="D695" t="s">
        <v>309</v>
      </c>
      <c r="E695" t="s">
        <v>15</v>
      </c>
      <c r="F695">
        <v>27568.61</v>
      </c>
      <c r="G695" s="3">
        <v>523</v>
      </c>
      <c r="H695">
        <f t="shared" si="10"/>
        <v>523</v>
      </c>
      <c r="I695">
        <v>4</v>
      </c>
    </row>
    <row r="696" spans="1:9" ht="15.75" thickBot="1" x14ac:dyDescent="0.3">
      <c r="A696" s="1">
        <v>44197</v>
      </c>
      <c r="B696" t="s">
        <v>6</v>
      </c>
      <c r="C696" t="s">
        <v>7</v>
      </c>
      <c r="D696" t="s">
        <v>309</v>
      </c>
      <c r="E696" t="s">
        <v>9</v>
      </c>
      <c r="F696">
        <v>74917.55</v>
      </c>
      <c r="G696" s="6">
        <v>27714.215</v>
      </c>
      <c r="H696">
        <f t="shared" si="10"/>
        <v>27714.215</v>
      </c>
      <c r="I696">
        <v>14</v>
      </c>
    </row>
    <row r="697" spans="1:9" ht="15.75" thickBot="1" x14ac:dyDescent="0.3">
      <c r="A697" s="1">
        <v>44197</v>
      </c>
      <c r="B697" t="s">
        <v>6</v>
      </c>
      <c r="C697" t="s">
        <v>7</v>
      </c>
      <c r="D697" t="s">
        <v>309</v>
      </c>
      <c r="E697" t="s">
        <v>17</v>
      </c>
      <c r="F697">
        <v>609.08000000000004</v>
      </c>
      <c r="G697" s="5">
        <v>22000</v>
      </c>
      <c r="H697">
        <f t="shared" si="10"/>
        <v>22000</v>
      </c>
      <c r="I697">
        <v>2</v>
      </c>
    </row>
    <row r="698" spans="1:9" ht="15.75" thickBot="1" x14ac:dyDescent="0.3">
      <c r="A698" s="1">
        <v>44197</v>
      </c>
      <c r="B698" t="s">
        <v>6</v>
      </c>
      <c r="C698" t="s">
        <v>7</v>
      </c>
      <c r="D698" t="s">
        <v>310</v>
      </c>
      <c r="E698" t="s">
        <v>12</v>
      </c>
      <c r="F698">
        <v>228.44</v>
      </c>
      <c r="G698" s="5">
        <v>10000</v>
      </c>
      <c r="H698">
        <f t="shared" si="10"/>
        <v>10</v>
      </c>
      <c r="I698">
        <v>1</v>
      </c>
    </row>
    <row r="699" spans="1:9" ht="15.75" thickBot="1" x14ac:dyDescent="0.3">
      <c r="A699" s="1">
        <v>44197</v>
      </c>
      <c r="B699" t="s">
        <v>6</v>
      </c>
      <c r="C699" t="s">
        <v>7</v>
      </c>
      <c r="D699" t="s">
        <v>310</v>
      </c>
      <c r="E699" t="s">
        <v>9</v>
      </c>
      <c r="F699">
        <v>100</v>
      </c>
      <c r="G699" s="3">
        <v>0</v>
      </c>
      <c r="H699">
        <f t="shared" si="10"/>
        <v>0</v>
      </c>
      <c r="I699">
        <v>1</v>
      </c>
    </row>
    <row r="700" spans="1:9" ht="15.75" thickBot="1" x14ac:dyDescent="0.3">
      <c r="A700" s="1">
        <v>44197</v>
      </c>
      <c r="B700" t="s">
        <v>6</v>
      </c>
      <c r="C700" t="s">
        <v>7</v>
      </c>
      <c r="D700" t="s">
        <v>311</v>
      </c>
      <c r="E700" t="s">
        <v>12</v>
      </c>
      <c r="F700">
        <v>526.28</v>
      </c>
      <c r="G700" s="5">
        <v>0</v>
      </c>
      <c r="H700">
        <f t="shared" si="10"/>
        <v>0</v>
      </c>
      <c r="I700">
        <v>5</v>
      </c>
    </row>
    <row r="701" spans="1:9" ht="15.75" thickBot="1" x14ac:dyDescent="0.3">
      <c r="A701" s="1">
        <v>44197</v>
      </c>
      <c r="B701" t="s">
        <v>6</v>
      </c>
      <c r="C701" t="s">
        <v>7</v>
      </c>
      <c r="D701" t="s">
        <v>311</v>
      </c>
      <c r="E701" t="s">
        <v>9</v>
      </c>
      <c r="F701">
        <v>31376.71</v>
      </c>
      <c r="G701" s="6">
        <v>79865.284</v>
      </c>
      <c r="H701">
        <f t="shared" si="10"/>
        <v>79865.284</v>
      </c>
      <c r="I701">
        <v>1</v>
      </c>
    </row>
    <row r="702" spans="1:9" ht="15.75" thickBot="1" x14ac:dyDescent="0.3">
      <c r="A702" s="1">
        <v>44197</v>
      </c>
      <c r="B702" t="s">
        <v>6</v>
      </c>
      <c r="C702" t="s">
        <v>7</v>
      </c>
      <c r="D702" t="s">
        <v>312</v>
      </c>
      <c r="E702" t="s">
        <v>12</v>
      </c>
      <c r="F702">
        <v>81.569999999999993</v>
      </c>
      <c r="G702" s="4">
        <v>0</v>
      </c>
      <c r="H702">
        <f t="shared" si="10"/>
        <v>0</v>
      </c>
      <c r="I702">
        <v>1</v>
      </c>
    </row>
    <row r="703" spans="1:9" ht="15.75" thickBot="1" x14ac:dyDescent="0.3">
      <c r="A703" s="1">
        <v>44197</v>
      </c>
      <c r="B703" t="s">
        <v>6</v>
      </c>
      <c r="C703" t="s">
        <v>7</v>
      </c>
      <c r="D703" t="s">
        <v>313</v>
      </c>
      <c r="E703" t="s">
        <v>14</v>
      </c>
      <c r="F703">
        <v>52976.4</v>
      </c>
      <c r="G703" s="3">
        <v>1520</v>
      </c>
      <c r="H703">
        <f t="shared" si="10"/>
        <v>1520</v>
      </c>
      <c r="I703">
        <v>1</v>
      </c>
    </row>
    <row r="704" spans="1:9" ht="15.75" thickBot="1" x14ac:dyDescent="0.3">
      <c r="A704" s="1">
        <v>44197</v>
      </c>
      <c r="B704" t="s">
        <v>6</v>
      </c>
      <c r="C704" t="s">
        <v>7</v>
      </c>
      <c r="D704" t="s">
        <v>314</v>
      </c>
      <c r="E704" t="s">
        <v>24</v>
      </c>
      <c r="F704">
        <v>500</v>
      </c>
      <c r="G704" s="3">
        <v>0</v>
      </c>
      <c r="H704">
        <f t="shared" si="10"/>
        <v>0</v>
      </c>
      <c r="I704">
        <v>1</v>
      </c>
    </row>
    <row r="705" spans="1:9" ht="15.75" thickBot="1" x14ac:dyDescent="0.3">
      <c r="A705" s="1">
        <v>44197</v>
      </c>
      <c r="B705" t="s">
        <v>6</v>
      </c>
      <c r="C705" t="s">
        <v>7</v>
      </c>
      <c r="D705" t="s">
        <v>314</v>
      </c>
      <c r="E705" t="s">
        <v>9</v>
      </c>
      <c r="F705">
        <v>9604.76</v>
      </c>
      <c r="G705" s="3">
        <v>293</v>
      </c>
      <c r="H705">
        <f t="shared" si="10"/>
        <v>293</v>
      </c>
      <c r="I705">
        <v>1</v>
      </c>
    </row>
    <row r="706" spans="1:9" ht="15.75" thickBot="1" x14ac:dyDescent="0.3">
      <c r="A706" s="1">
        <v>44197</v>
      </c>
      <c r="B706" t="s">
        <v>6</v>
      </c>
      <c r="C706" t="s">
        <v>7</v>
      </c>
      <c r="D706" t="s">
        <v>314</v>
      </c>
      <c r="E706" t="s">
        <v>17</v>
      </c>
      <c r="F706">
        <v>246912.32</v>
      </c>
      <c r="G706" s="3">
        <v>8626</v>
      </c>
      <c r="H706">
        <f t="shared" si="10"/>
        <v>8626</v>
      </c>
      <c r="I706">
        <v>1</v>
      </c>
    </row>
    <row r="707" spans="1:9" ht="15.75" thickBot="1" x14ac:dyDescent="0.3">
      <c r="A707" s="1">
        <v>44197</v>
      </c>
      <c r="B707" t="s">
        <v>6</v>
      </c>
      <c r="C707" t="s">
        <v>7</v>
      </c>
      <c r="D707" t="s">
        <v>315</v>
      </c>
      <c r="E707" t="s">
        <v>14</v>
      </c>
      <c r="F707">
        <v>380.49</v>
      </c>
      <c r="G707" s="3">
        <v>1</v>
      </c>
      <c r="H707">
        <f t="shared" ref="H707:H770" si="11">IF(ISNUMBER(SEARCH("Domestic customer", E707)),G707/1000,G707)</f>
        <v>1</v>
      </c>
      <c r="I707">
        <v>1</v>
      </c>
    </row>
    <row r="708" spans="1:9" ht="15.75" thickBot="1" x14ac:dyDescent="0.3">
      <c r="A708" s="1">
        <v>44197</v>
      </c>
      <c r="B708" t="s">
        <v>6</v>
      </c>
      <c r="C708" t="s">
        <v>7</v>
      </c>
      <c r="D708" t="s">
        <v>315</v>
      </c>
      <c r="E708" t="s">
        <v>24</v>
      </c>
      <c r="F708">
        <v>625</v>
      </c>
      <c r="G708" s="3">
        <v>0</v>
      </c>
      <c r="H708">
        <f t="shared" si="11"/>
        <v>0</v>
      </c>
      <c r="I708">
        <v>1</v>
      </c>
    </row>
    <row r="709" spans="1:9" ht="15.75" thickBot="1" x14ac:dyDescent="0.3">
      <c r="A709" s="1">
        <v>44197</v>
      </c>
      <c r="B709" t="s">
        <v>6</v>
      </c>
      <c r="C709" t="s">
        <v>7</v>
      </c>
      <c r="D709" t="s">
        <v>315</v>
      </c>
      <c r="E709" t="s">
        <v>12</v>
      </c>
      <c r="F709">
        <v>2129.19</v>
      </c>
      <c r="G709" s="5">
        <v>311230</v>
      </c>
      <c r="H709">
        <f t="shared" si="11"/>
        <v>311.23</v>
      </c>
      <c r="I709">
        <v>27</v>
      </c>
    </row>
    <row r="710" spans="1:9" ht="15.75" thickBot="1" x14ac:dyDescent="0.3">
      <c r="A710" s="1">
        <v>44197</v>
      </c>
      <c r="B710" t="s">
        <v>6</v>
      </c>
      <c r="C710" t="s">
        <v>7</v>
      </c>
      <c r="D710" t="s">
        <v>315</v>
      </c>
      <c r="E710" t="s">
        <v>9</v>
      </c>
      <c r="F710">
        <v>81.569999999999993</v>
      </c>
      <c r="G710" s="4">
        <v>0</v>
      </c>
      <c r="H710">
        <f t="shared" si="11"/>
        <v>0</v>
      </c>
      <c r="I710">
        <v>1</v>
      </c>
    </row>
    <row r="711" spans="1:9" ht="15.75" thickBot="1" x14ac:dyDescent="0.3">
      <c r="A711" s="1">
        <v>44197</v>
      </c>
      <c r="B711" t="s">
        <v>6</v>
      </c>
      <c r="C711" t="s">
        <v>7</v>
      </c>
      <c r="D711" t="s">
        <v>316</v>
      </c>
      <c r="E711" t="s">
        <v>24</v>
      </c>
      <c r="F711">
        <v>38996.160000000003</v>
      </c>
      <c r="G711" s="3">
        <v>1313</v>
      </c>
      <c r="H711">
        <f t="shared" si="11"/>
        <v>1313</v>
      </c>
      <c r="I711">
        <v>1</v>
      </c>
    </row>
    <row r="712" spans="1:9" ht="15.75" thickBot="1" x14ac:dyDescent="0.3">
      <c r="A712" s="1">
        <v>44197</v>
      </c>
      <c r="B712" t="s">
        <v>6</v>
      </c>
      <c r="C712" t="s">
        <v>7</v>
      </c>
      <c r="D712" t="s">
        <v>316</v>
      </c>
      <c r="E712" t="s">
        <v>17</v>
      </c>
      <c r="F712">
        <v>81.569999999999993</v>
      </c>
      <c r="G712" s="4">
        <v>0</v>
      </c>
      <c r="H712">
        <f t="shared" si="11"/>
        <v>0</v>
      </c>
      <c r="I712">
        <v>1</v>
      </c>
    </row>
    <row r="713" spans="1:9" ht="15.75" thickBot="1" x14ac:dyDescent="0.3">
      <c r="A713" s="1">
        <v>44197</v>
      </c>
      <c r="B713" t="s">
        <v>6</v>
      </c>
      <c r="C713" t="s">
        <v>7</v>
      </c>
      <c r="D713" t="s">
        <v>317</v>
      </c>
      <c r="E713" t="s">
        <v>24</v>
      </c>
      <c r="F713">
        <v>154473.10999999999</v>
      </c>
      <c r="G713" s="6">
        <v>2245909.7140000002</v>
      </c>
      <c r="H713">
        <f t="shared" si="11"/>
        <v>2245909.7140000002</v>
      </c>
      <c r="I713">
        <v>9</v>
      </c>
    </row>
    <row r="714" spans="1:9" ht="15.75" thickBot="1" x14ac:dyDescent="0.3">
      <c r="A714" s="1">
        <v>44197</v>
      </c>
      <c r="B714" t="s">
        <v>6</v>
      </c>
      <c r="C714" t="s">
        <v>7</v>
      </c>
      <c r="D714" t="s">
        <v>317</v>
      </c>
      <c r="E714" t="s">
        <v>12</v>
      </c>
      <c r="F714">
        <v>18846.82</v>
      </c>
      <c r="G714" s="5">
        <v>1039508.847</v>
      </c>
      <c r="H714">
        <f t="shared" si="11"/>
        <v>1039.5088470000001</v>
      </c>
      <c r="I714">
        <v>92</v>
      </c>
    </row>
    <row r="715" spans="1:9" ht="15.75" thickBot="1" x14ac:dyDescent="0.3">
      <c r="A715" s="1">
        <v>44197</v>
      </c>
      <c r="B715" t="s">
        <v>6</v>
      </c>
      <c r="C715" t="s">
        <v>7</v>
      </c>
      <c r="D715" t="s">
        <v>318</v>
      </c>
      <c r="E715" t="s">
        <v>15</v>
      </c>
      <c r="F715">
        <v>2603.64</v>
      </c>
      <c r="G715" s="3">
        <v>77</v>
      </c>
      <c r="H715">
        <f t="shared" si="11"/>
        <v>77</v>
      </c>
      <c r="I715">
        <v>2</v>
      </c>
    </row>
    <row r="716" spans="1:9" ht="15.75" thickBot="1" x14ac:dyDescent="0.3">
      <c r="A716" s="1">
        <v>44197</v>
      </c>
      <c r="B716" t="s">
        <v>6</v>
      </c>
      <c r="C716" t="s">
        <v>7</v>
      </c>
      <c r="D716" t="s">
        <v>319</v>
      </c>
      <c r="E716" t="s">
        <v>14</v>
      </c>
      <c r="F716">
        <v>74951.12</v>
      </c>
      <c r="G716" s="3">
        <v>1953</v>
      </c>
      <c r="H716">
        <f t="shared" si="11"/>
        <v>1953</v>
      </c>
      <c r="I716">
        <v>3</v>
      </c>
    </row>
    <row r="717" spans="1:9" ht="15.75" thickBot="1" x14ac:dyDescent="0.3">
      <c r="A717" s="1">
        <v>44197</v>
      </c>
      <c r="B717" t="s">
        <v>6</v>
      </c>
      <c r="C717" t="s">
        <v>7</v>
      </c>
      <c r="D717" t="s">
        <v>319</v>
      </c>
      <c r="E717" t="s">
        <v>12</v>
      </c>
      <c r="F717">
        <v>1034.4100000000001</v>
      </c>
      <c r="G717" s="3">
        <v>12</v>
      </c>
      <c r="H717">
        <f t="shared" si="11"/>
        <v>1.2E-2</v>
      </c>
      <c r="I717">
        <v>2</v>
      </c>
    </row>
    <row r="718" spans="1:9" ht="15.75" thickBot="1" x14ac:dyDescent="0.3">
      <c r="A718" s="1">
        <v>44197</v>
      </c>
      <c r="B718" t="s">
        <v>6</v>
      </c>
      <c r="C718" t="s">
        <v>7</v>
      </c>
      <c r="D718" t="s">
        <v>319</v>
      </c>
      <c r="E718" t="s">
        <v>15</v>
      </c>
      <c r="F718">
        <v>19516.28</v>
      </c>
      <c r="G718" s="3">
        <v>403</v>
      </c>
      <c r="H718">
        <f t="shared" si="11"/>
        <v>403</v>
      </c>
      <c r="I718">
        <v>5</v>
      </c>
    </row>
    <row r="719" spans="1:9" ht="15.75" thickBot="1" x14ac:dyDescent="0.3">
      <c r="A719" s="1">
        <v>44197</v>
      </c>
      <c r="B719" t="s">
        <v>6</v>
      </c>
      <c r="C719" t="s">
        <v>7</v>
      </c>
      <c r="D719" t="s">
        <v>319</v>
      </c>
      <c r="E719" t="s">
        <v>9</v>
      </c>
      <c r="F719">
        <v>11242.4</v>
      </c>
      <c r="G719" s="3">
        <v>320</v>
      </c>
      <c r="H719">
        <f t="shared" si="11"/>
        <v>320</v>
      </c>
      <c r="I719">
        <v>1</v>
      </c>
    </row>
    <row r="720" spans="1:9" ht="15.75" thickBot="1" x14ac:dyDescent="0.3">
      <c r="A720" s="1">
        <v>44197</v>
      </c>
      <c r="B720" t="s">
        <v>6</v>
      </c>
      <c r="C720" t="s">
        <v>7</v>
      </c>
      <c r="D720" t="s">
        <v>320</v>
      </c>
      <c r="E720" t="s">
        <v>12</v>
      </c>
      <c r="F720">
        <v>1030.8599999999999</v>
      </c>
      <c r="G720" s="5">
        <v>14077.460999999999</v>
      </c>
      <c r="H720">
        <f t="shared" si="11"/>
        <v>14.077461</v>
      </c>
      <c r="I720">
        <v>9</v>
      </c>
    </row>
    <row r="721" spans="1:9" ht="15.75" thickBot="1" x14ac:dyDescent="0.3">
      <c r="A721" s="1">
        <v>44197</v>
      </c>
      <c r="B721" t="s">
        <v>6</v>
      </c>
      <c r="C721" t="s">
        <v>7</v>
      </c>
      <c r="D721" t="s">
        <v>320</v>
      </c>
      <c r="E721" t="s">
        <v>9</v>
      </c>
      <c r="F721">
        <v>617.71</v>
      </c>
      <c r="G721" s="5">
        <v>661.5</v>
      </c>
      <c r="H721">
        <f t="shared" si="11"/>
        <v>661.5</v>
      </c>
      <c r="I721">
        <v>7</v>
      </c>
    </row>
    <row r="722" spans="1:9" ht="15.75" thickBot="1" x14ac:dyDescent="0.3">
      <c r="A722" s="1">
        <v>44197</v>
      </c>
      <c r="B722" t="s">
        <v>6</v>
      </c>
      <c r="C722" t="s">
        <v>7</v>
      </c>
      <c r="D722" t="s">
        <v>321</v>
      </c>
      <c r="E722" t="s">
        <v>12</v>
      </c>
      <c r="F722">
        <v>2451.86</v>
      </c>
      <c r="G722" s="5">
        <v>84137.864000000001</v>
      </c>
      <c r="H722">
        <f t="shared" si="11"/>
        <v>84.137864000000008</v>
      </c>
      <c r="I722">
        <v>6</v>
      </c>
    </row>
    <row r="723" spans="1:9" ht="15.75" thickBot="1" x14ac:dyDescent="0.3">
      <c r="A723" s="1">
        <v>44197</v>
      </c>
      <c r="B723" t="s">
        <v>6</v>
      </c>
      <c r="C723" t="s">
        <v>7</v>
      </c>
      <c r="D723" t="s">
        <v>321</v>
      </c>
      <c r="E723" t="s">
        <v>17</v>
      </c>
      <c r="F723">
        <v>325.79000000000002</v>
      </c>
      <c r="G723" s="5">
        <v>11000</v>
      </c>
      <c r="H723">
        <f t="shared" si="11"/>
        <v>11000</v>
      </c>
      <c r="I723">
        <v>2</v>
      </c>
    </row>
    <row r="724" spans="1:9" ht="15.75" thickBot="1" x14ac:dyDescent="0.3">
      <c r="A724" s="1">
        <v>44197</v>
      </c>
      <c r="B724" t="s">
        <v>6</v>
      </c>
      <c r="C724" t="s">
        <v>7</v>
      </c>
      <c r="D724" t="s">
        <v>322</v>
      </c>
      <c r="E724" t="s">
        <v>24</v>
      </c>
      <c r="F724">
        <v>63635.56</v>
      </c>
      <c r="G724" s="3">
        <v>2279</v>
      </c>
      <c r="H724">
        <f t="shared" si="11"/>
        <v>2279</v>
      </c>
      <c r="I724">
        <v>1</v>
      </c>
    </row>
    <row r="725" spans="1:9" ht="15.75" thickBot="1" x14ac:dyDescent="0.3">
      <c r="A725" s="1">
        <v>44197</v>
      </c>
      <c r="B725" t="s">
        <v>6</v>
      </c>
      <c r="C725" t="s">
        <v>7</v>
      </c>
      <c r="D725" t="s">
        <v>323</v>
      </c>
      <c r="E725" t="s">
        <v>12</v>
      </c>
      <c r="F725">
        <v>5372.54</v>
      </c>
      <c r="G725" s="5">
        <v>160000</v>
      </c>
      <c r="H725">
        <f t="shared" si="11"/>
        <v>160</v>
      </c>
      <c r="I725">
        <v>3</v>
      </c>
    </row>
    <row r="726" spans="1:9" ht="15.75" thickBot="1" x14ac:dyDescent="0.3">
      <c r="A726" s="1">
        <v>44197</v>
      </c>
      <c r="B726" t="s">
        <v>6</v>
      </c>
      <c r="C726" t="s">
        <v>7</v>
      </c>
      <c r="D726" t="s">
        <v>324</v>
      </c>
      <c r="E726" t="s">
        <v>24</v>
      </c>
      <c r="F726">
        <v>9595.16</v>
      </c>
      <c r="G726" s="3">
        <v>248</v>
      </c>
      <c r="H726">
        <f t="shared" si="11"/>
        <v>248</v>
      </c>
      <c r="I726">
        <v>4</v>
      </c>
    </row>
    <row r="727" spans="1:9" ht="15.75" thickBot="1" x14ac:dyDescent="0.3">
      <c r="A727" s="1">
        <v>44197</v>
      </c>
      <c r="B727" t="s">
        <v>6</v>
      </c>
      <c r="C727" t="s">
        <v>7</v>
      </c>
      <c r="D727" t="s">
        <v>324</v>
      </c>
      <c r="E727" t="s">
        <v>12</v>
      </c>
      <c r="F727">
        <v>9630.65</v>
      </c>
      <c r="G727" s="5">
        <v>420992</v>
      </c>
      <c r="H727">
        <f t="shared" si="11"/>
        <v>420.99200000000002</v>
      </c>
      <c r="I727">
        <v>10</v>
      </c>
    </row>
    <row r="728" spans="1:9" ht="15.75" thickBot="1" x14ac:dyDescent="0.3">
      <c r="A728" s="1">
        <v>44197</v>
      </c>
      <c r="B728" t="s">
        <v>6</v>
      </c>
      <c r="C728" t="s">
        <v>7</v>
      </c>
      <c r="D728" t="s">
        <v>324</v>
      </c>
      <c r="E728" t="s">
        <v>9</v>
      </c>
      <c r="F728">
        <v>820.18</v>
      </c>
      <c r="G728" s="3">
        <v>22</v>
      </c>
      <c r="H728">
        <f t="shared" si="11"/>
        <v>22</v>
      </c>
      <c r="I728">
        <v>3</v>
      </c>
    </row>
    <row r="729" spans="1:9" ht="15.75" thickBot="1" x14ac:dyDescent="0.3">
      <c r="A729" s="1">
        <v>44197</v>
      </c>
      <c r="B729" t="s">
        <v>6</v>
      </c>
      <c r="C729" t="s">
        <v>7</v>
      </c>
      <c r="D729" t="s">
        <v>325</v>
      </c>
      <c r="E729" t="s">
        <v>24</v>
      </c>
      <c r="F729">
        <v>210.64</v>
      </c>
      <c r="G729" s="3">
        <v>2</v>
      </c>
      <c r="H729">
        <f t="shared" si="11"/>
        <v>2</v>
      </c>
      <c r="I729">
        <v>1</v>
      </c>
    </row>
    <row r="730" spans="1:9" ht="15.75" thickBot="1" x14ac:dyDescent="0.3">
      <c r="A730" s="1">
        <v>44197</v>
      </c>
      <c r="B730" t="s">
        <v>6</v>
      </c>
      <c r="C730" t="s">
        <v>7</v>
      </c>
      <c r="D730" t="s">
        <v>326</v>
      </c>
      <c r="E730" t="s">
        <v>14</v>
      </c>
      <c r="F730">
        <v>14988.1</v>
      </c>
      <c r="G730" s="3">
        <v>336</v>
      </c>
      <c r="H730">
        <f t="shared" si="11"/>
        <v>336</v>
      </c>
      <c r="I730">
        <v>1</v>
      </c>
    </row>
    <row r="731" spans="1:9" ht="15.75" thickBot="1" x14ac:dyDescent="0.3">
      <c r="A731" s="1">
        <v>44197</v>
      </c>
      <c r="B731" t="s">
        <v>6</v>
      </c>
      <c r="C731" t="s">
        <v>7</v>
      </c>
      <c r="D731" t="s">
        <v>326</v>
      </c>
      <c r="E731" t="s">
        <v>24</v>
      </c>
      <c r="F731">
        <v>1964.23</v>
      </c>
      <c r="G731" s="3">
        <v>66</v>
      </c>
      <c r="H731">
        <f t="shared" si="11"/>
        <v>66</v>
      </c>
      <c r="I731">
        <v>2</v>
      </c>
    </row>
    <row r="732" spans="1:9" ht="15.75" thickBot="1" x14ac:dyDescent="0.3">
      <c r="A732" s="1">
        <v>44197</v>
      </c>
      <c r="B732" t="s">
        <v>6</v>
      </c>
      <c r="C732" t="s">
        <v>7</v>
      </c>
      <c r="D732" t="s">
        <v>326</v>
      </c>
      <c r="E732" t="s">
        <v>12</v>
      </c>
      <c r="F732">
        <v>0</v>
      </c>
      <c r="G732" s="5">
        <v>44491.133000000002</v>
      </c>
      <c r="H732">
        <f t="shared" si="11"/>
        <v>44.491133000000005</v>
      </c>
      <c r="I732">
        <v>4</v>
      </c>
    </row>
    <row r="733" spans="1:9" ht="15.75" thickBot="1" x14ac:dyDescent="0.3">
      <c r="A733" s="1">
        <v>44197</v>
      </c>
      <c r="B733" t="s">
        <v>6</v>
      </c>
      <c r="C733" t="s">
        <v>7</v>
      </c>
      <c r="D733" t="s">
        <v>326</v>
      </c>
      <c r="E733" t="s">
        <v>9</v>
      </c>
      <c r="F733">
        <v>33816.25</v>
      </c>
      <c r="G733" s="3">
        <v>1085</v>
      </c>
      <c r="H733">
        <f t="shared" si="11"/>
        <v>1085</v>
      </c>
      <c r="I733">
        <v>3</v>
      </c>
    </row>
    <row r="734" spans="1:9" ht="15.75" thickBot="1" x14ac:dyDescent="0.3">
      <c r="A734" s="1">
        <v>44197</v>
      </c>
      <c r="B734" t="s">
        <v>6</v>
      </c>
      <c r="C734" t="s">
        <v>7</v>
      </c>
      <c r="D734" t="s">
        <v>327</v>
      </c>
      <c r="E734" t="s">
        <v>12</v>
      </c>
      <c r="F734">
        <v>891.55</v>
      </c>
      <c r="G734" s="5">
        <v>27938.174999999999</v>
      </c>
      <c r="H734">
        <f t="shared" si="11"/>
        <v>27.938174999999998</v>
      </c>
      <c r="I734">
        <v>3</v>
      </c>
    </row>
    <row r="735" spans="1:9" ht="15.75" thickBot="1" x14ac:dyDescent="0.3">
      <c r="A735" s="1">
        <v>44197</v>
      </c>
      <c r="B735" t="s">
        <v>6</v>
      </c>
      <c r="C735" t="s">
        <v>7</v>
      </c>
      <c r="D735" t="s">
        <v>327</v>
      </c>
      <c r="E735" t="s">
        <v>9</v>
      </c>
      <c r="F735">
        <v>81.569999999999993</v>
      </c>
      <c r="G735" s="4">
        <v>0</v>
      </c>
      <c r="H735">
        <f t="shared" si="11"/>
        <v>0</v>
      </c>
      <c r="I735">
        <v>1</v>
      </c>
    </row>
    <row r="736" spans="1:9" ht="15.75" thickBot="1" x14ac:dyDescent="0.3">
      <c r="A736" s="1">
        <v>44197</v>
      </c>
      <c r="B736" t="s">
        <v>6</v>
      </c>
      <c r="C736" t="s">
        <v>7</v>
      </c>
      <c r="D736" t="s">
        <v>328</v>
      </c>
      <c r="E736" t="s">
        <v>14</v>
      </c>
      <c r="F736">
        <v>1606.43</v>
      </c>
      <c r="G736" s="3">
        <v>1</v>
      </c>
      <c r="H736">
        <f t="shared" si="11"/>
        <v>1</v>
      </c>
      <c r="I736">
        <v>1</v>
      </c>
    </row>
    <row r="737" spans="1:9" ht="15.75" thickBot="1" x14ac:dyDescent="0.3">
      <c r="A737" s="1">
        <v>44197</v>
      </c>
      <c r="B737" t="s">
        <v>6</v>
      </c>
      <c r="C737" t="s">
        <v>7</v>
      </c>
      <c r="D737" t="s">
        <v>328</v>
      </c>
      <c r="E737" t="s">
        <v>12</v>
      </c>
      <c r="F737">
        <v>18720.03</v>
      </c>
      <c r="G737" s="5">
        <v>991000</v>
      </c>
      <c r="H737">
        <f t="shared" si="11"/>
        <v>991</v>
      </c>
      <c r="I737">
        <v>5</v>
      </c>
    </row>
    <row r="738" spans="1:9" ht="15.75" thickBot="1" x14ac:dyDescent="0.3">
      <c r="A738" s="1">
        <v>44197</v>
      </c>
      <c r="B738" t="s">
        <v>6</v>
      </c>
      <c r="C738" t="s">
        <v>7</v>
      </c>
      <c r="D738" t="s">
        <v>328</v>
      </c>
      <c r="E738" t="s">
        <v>15</v>
      </c>
      <c r="F738">
        <v>1062.1199999999999</v>
      </c>
      <c r="G738" s="3">
        <v>16</v>
      </c>
      <c r="H738">
        <f t="shared" si="11"/>
        <v>16</v>
      </c>
      <c r="I738">
        <v>1</v>
      </c>
    </row>
    <row r="739" spans="1:9" ht="15.75" thickBot="1" x14ac:dyDescent="0.3">
      <c r="A739" s="1">
        <v>44197</v>
      </c>
      <c r="B739" t="s">
        <v>6</v>
      </c>
      <c r="C739" t="s">
        <v>7</v>
      </c>
      <c r="D739" t="s">
        <v>328</v>
      </c>
      <c r="E739" t="s">
        <v>9</v>
      </c>
      <c r="F739">
        <v>2562.96</v>
      </c>
      <c r="G739" s="3">
        <v>12</v>
      </c>
      <c r="H739">
        <f t="shared" si="11"/>
        <v>12</v>
      </c>
      <c r="I739">
        <v>8</v>
      </c>
    </row>
    <row r="740" spans="1:9" ht="15.75" thickBot="1" x14ac:dyDescent="0.3">
      <c r="A740" s="1">
        <v>44197</v>
      </c>
      <c r="B740" t="s">
        <v>6</v>
      </c>
      <c r="C740" t="s">
        <v>7</v>
      </c>
      <c r="D740" t="s">
        <v>329</v>
      </c>
      <c r="E740" t="s">
        <v>12</v>
      </c>
      <c r="F740">
        <v>7997.05</v>
      </c>
      <c r="G740" s="5">
        <v>205000</v>
      </c>
      <c r="H740">
        <f t="shared" si="11"/>
        <v>205</v>
      </c>
      <c r="I740">
        <v>9</v>
      </c>
    </row>
    <row r="741" spans="1:9" ht="15.75" thickBot="1" x14ac:dyDescent="0.3">
      <c r="A741" s="1">
        <v>44197</v>
      </c>
      <c r="B741" t="s">
        <v>6</v>
      </c>
      <c r="C741" t="s">
        <v>7</v>
      </c>
      <c r="D741" t="s">
        <v>329</v>
      </c>
      <c r="E741" t="s">
        <v>9</v>
      </c>
      <c r="F741">
        <v>621.54999999999995</v>
      </c>
      <c r="G741" s="5">
        <v>19000</v>
      </c>
      <c r="H741">
        <f t="shared" si="11"/>
        <v>19000</v>
      </c>
      <c r="I741">
        <v>2</v>
      </c>
    </row>
    <row r="742" spans="1:9" ht="15.75" thickBot="1" x14ac:dyDescent="0.3">
      <c r="A742" s="1">
        <v>44197</v>
      </c>
      <c r="B742" t="s">
        <v>6</v>
      </c>
      <c r="C742" t="s">
        <v>7</v>
      </c>
      <c r="D742" t="s">
        <v>330</v>
      </c>
      <c r="E742" t="s">
        <v>12</v>
      </c>
      <c r="F742">
        <v>1763.77</v>
      </c>
      <c r="G742" s="5">
        <v>50000</v>
      </c>
      <c r="H742">
        <f t="shared" si="11"/>
        <v>50</v>
      </c>
      <c r="I742">
        <v>1</v>
      </c>
    </row>
    <row r="743" spans="1:9" ht="15.75" thickBot="1" x14ac:dyDescent="0.3">
      <c r="A743" s="1">
        <v>44197</v>
      </c>
      <c r="B743" t="s">
        <v>6</v>
      </c>
      <c r="C743" t="s">
        <v>7</v>
      </c>
      <c r="D743" t="s">
        <v>331</v>
      </c>
      <c r="E743" t="s">
        <v>12</v>
      </c>
      <c r="F743">
        <v>448.21</v>
      </c>
      <c r="G743" s="5">
        <v>14000</v>
      </c>
      <c r="H743">
        <f t="shared" si="11"/>
        <v>14</v>
      </c>
      <c r="I743">
        <v>2</v>
      </c>
    </row>
    <row r="744" spans="1:9" ht="15.75" thickBot="1" x14ac:dyDescent="0.3">
      <c r="A744" s="1">
        <v>44197</v>
      </c>
      <c r="B744" t="s">
        <v>6</v>
      </c>
      <c r="C744" t="s">
        <v>7</v>
      </c>
      <c r="D744" t="s">
        <v>332</v>
      </c>
      <c r="E744" t="s">
        <v>14</v>
      </c>
      <c r="F744">
        <v>1592.71</v>
      </c>
      <c r="G744" s="3">
        <v>55</v>
      </c>
      <c r="H744">
        <f t="shared" si="11"/>
        <v>55</v>
      </c>
      <c r="I744">
        <v>1</v>
      </c>
    </row>
    <row r="745" spans="1:9" ht="15.75" thickBot="1" x14ac:dyDescent="0.3">
      <c r="A745" s="1">
        <v>44197</v>
      </c>
      <c r="B745" t="s">
        <v>6</v>
      </c>
      <c r="C745" t="s">
        <v>7</v>
      </c>
      <c r="D745" t="s">
        <v>332</v>
      </c>
      <c r="E745" t="s">
        <v>9</v>
      </c>
      <c r="F745">
        <v>15832.16</v>
      </c>
      <c r="G745" s="3">
        <v>488</v>
      </c>
      <c r="H745">
        <f t="shared" si="11"/>
        <v>488</v>
      </c>
      <c r="I745">
        <v>1</v>
      </c>
    </row>
    <row r="746" spans="1:9" ht="15.75" thickBot="1" x14ac:dyDescent="0.3">
      <c r="A746" s="1">
        <v>44197</v>
      </c>
      <c r="B746" t="s">
        <v>6</v>
      </c>
      <c r="C746" t="s">
        <v>7</v>
      </c>
      <c r="D746" t="s">
        <v>333</v>
      </c>
      <c r="E746" t="s">
        <v>14</v>
      </c>
      <c r="F746">
        <v>61081.85</v>
      </c>
      <c r="G746" s="3">
        <v>1595</v>
      </c>
      <c r="H746">
        <f t="shared" si="11"/>
        <v>1595</v>
      </c>
      <c r="I746">
        <v>1</v>
      </c>
    </row>
    <row r="747" spans="1:9" ht="15.75" thickBot="1" x14ac:dyDescent="0.3">
      <c r="A747" s="1">
        <v>44197</v>
      </c>
      <c r="B747" t="s">
        <v>6</v>
      </c>
      <c r="C747" t="s">
        <v>7</v>
      </c>
      <c r="D747" t="s">
        <v>333</v>
      </c>
      <c r="E747" t="s">
        <v>24</v>
      </c>
      <c r="F747">
        <v>8820.49</v>
      </c>
      <c r="G747" s="3">
        <v>228</v>
      </c>
      <c r="H747">
        <f t="shared" si="11"/>
        <v>228</v>
      </c>
      <c r="I747">
        <v>1</v>
      </c>
    </row>
    <row r="748" spans="1:9" ht="15.75" thickBot="1" x14ac:dyDescent="0.3">
      <c r="A748" s="1">
        <v>44197</v>
      </c>
      <c r="B748" t="s">
        <v>6</v>
      </c>
      <c r="C748" t="s">
        <v>7</v>
      </c>
      <c r="D748" t="s">
        <v>333</v>
      </c>
      <c r="E748" t="s">
        <v>15</v>
      </c>
      <c r="F748">
        <v>82927.740000000005</v>
      </c>
      <c r="G748" s="3">
        <v>2468</v>
      </c>
      <c r="H748">
        <f t="shared" si="11"/>
        <v>2468</v>
      </c>
      <c r="I748">
        <v>12</v>
      </c>
    </row>
    <row r="749" spans="1:9" ht="15.75" thickBot="1" x14ac:dyDescent="0.3">
      <c r="A749" s="1">
        <v>44197</v>
      </c>
      <c r="B749" t="s">
        <v>6</v>
      </c>
      <c r="C749" t="s">
        <v>7</v>
      </c>
      <c r="D749" t="s">
        <v>333</v>
      </c>
      <c r="E749" t="s">
        <v>9</v>
      </c>
      <c r="F749">
        <v>1553.49</v>
      </c>
      <c r="G749" s="3">
        <v>31</v>
      </c>
      <c r="H749">
        <f t="shared" si="11"/>
        <v>31</v>
      </c>
      <c r="I749">
        <v>2</v>
      </c>
    </row>
    <row r="750" spans="1:9" ht="15.75" thickBot="1" x14ac:dyDescent="0.3">
      <c r="A750" s="1">
        <v>44197</v>
      </c>
      <c r="B750" t="s">
        <v>6</v>
      </c>
      <c r="C750" t="s">
        <v>7</v>
      </c>
      <c r="D750" t="s">
        <v>334</v>
      </c>
      <c r="E750" t="s">
        <v>14</v>
      </c>
      <c r="F750">
        <v>81.569999999999993</v>
      </c>
      <c r="G750" s="4">
        <v>0</v>
      </c>
      <c r="H750">
        <f t="shared" si="11"/>
        <v>0</v>
      </c>
      <c r="I750">
        <v>1</v>
      </c>
    </row>
    <row r="751" spans="1:9" ht="15.75" thickBot="1" x14ac:dyDescent="0.3">
      <c r="A751" s="1">
        <v>44197</v>
      </c>
      <c r="B751" t="s">
        <v>6</v>
      </c>
      <c r="C751" t="s">
        <v>7</v>
      </c>
      <c r="D751" t="s">
        <v>335</v>
      </c>
      <c r="E751" t="s">
        <v>14</v>
      </c>
      <c r="F751">
        <v>3493.6</v>
      </c>
      <c r="G751" s="3">
        <v>105</v>
      </c>
      <c r="H751">
        <f t="shared" si="11"/>
        <v>105</v>
      </c>
      <c r="I751">
        <v>1</v>
      </c>
    </row>
    <row r="752" spans="1:9" ht="15.75" thickBot="1" x14ac:dyDescent="0.3">
      <c r="A752" s="1">
        <v>44197</v>
      </c>
      <c r="B752" t="s">
        <v>6</v>
      </c>
      <c r="C752" t="s">
        <v>7</v>
      </c>
      <c r="D752" t="s">
        <v>335</v>
      </c>
      <c r="E752" t="s">
        <v>12</v>
      </c>
      <c r="F752">
        <v>1613.74</v>
      </c>
      <c r="G752" s="5">
        <v>62000</v>
      </c>
      <c r="H752">
        <f t="shared" si="11"/>
        <v>62</v>
      </c>
      <c r="I752">
        <v>3</v>
      </c>
    </row>
    <row r="753" spans="1:9" ht="15.75" thickBot="1" x14ac:dyDescent="0.3">
      <c r="A753" s="1">
        <v>44197</v>
      </c>
      <c r="B753" t="s">
        <v>6</v>
      </c>
      <c r="C753" t="s">
        <v>7</v>
      </c>
      <c r="D753" t="s">
        <v>336</v>
      </c>
      <c r="E753" t="s">
        <v>14</v>
      </c>
      <c r="F753">
        <v>201087.68</v>
      </c>
      <c r="G753" s="3">
        <v>6374</v>
      </c>
      <c r="H753">
        <f t="shared" si="11"/>
        <v>6374</v>
      </c>
      <c r="I753">
        <v>9</v>
      </c>
    </row>
    <row r="754" spans="1:9" ht="15.75" thickBot="1" x14ac:dyDescent="0.3">
      <c r="A754" s="1">
        <v>44197</v>
      </c>
      <c r="B754" t="s">
        <v>6</v>
      </c>
      <c r="C754" t="s">
        <v>7</v>
      </c>
      <c r="D754" t="s">
        <v>336</v>
      </c>
      <c r="E754" t="s">
        <v>24</v>
      </c>
      <c r="F754">
        <v>5458.44</v>
      </c>
      <c r="G754" s="3">
        <v>9</v>
      </c>
      <c r="H754">
        <f t="shared" si="11"/>
        <v>9</v>
      </c>
      <c r="I754">
        <v>1</v>
      </c>
    </row>
    <row r="755" spans="1:9" ht="15.75" thickBot="1" x14ac:dyDescent="0.3">
      <c r="A755" s="1">
        <v>44197</v>
      </c>
      <c r="B755" t="s">
        <v>6</v>
      </c>
      <c r="C755" t="s">
        <v>7</v>
      </c>
      <c r="D755" t="s">
        <v>336</v>
      </c>
      <c r="E755" t="s">
        <v>12</v>
      </c>
      <c r="F755">
        <v>0</v>
      </c>
      <c r="G755" s="5">
        <v>9000</v>
      </c>
      <c r="H755">
        <f t="shared" si="11"/>
        <v>9</v>
      </c>
      <c r="I755">
        <v>1</v>
      </c>
    </row>
    <row r="756" spans="1:9" ht="15.75" thickBot="1" x14ac:dyDescent="0.3">
      <c r="A756" s="1">
        <v>44197</v>
      </c>
      <c r="B756" t="s">
        <v>6</v>
      </c>
      <c r="C756" t="s">
        <v>7</v>
      </c>
      <c r="D756" t="s">
        <v>336</v>
      </c>
      <c r="E756" t="s">
        <v>15</v>
      </c>
      <c r="F756">
        <v>37565.35</v>
      </c>
      <c r="G756" s="3">
        <v>836</v>
      </c>
      <c r="H756">
        <f t="shared" si="11"/>
        <v>836</v>
      </c>
      <c r="I756">
        <v>7</v>
      </c>
    </row>
    <row r="757" spans="1:9" ht="15.75" thickBot="1" x14ac:dyDescent="0.3">
      <c r="A757" s="1">
        <v>44197</v>
      </c>
      <c r="B757" t="s">
        <v>6</v>
      </c>
      <c r="C757" t="s">
        <v>7</v>
      </c>
      <c r="D757" t="s">
        <v>336</v>
      </c>
      <c r="E757" t="s">
        <v>9</v>
      </c>
      <c r="F757">
        <v>22353.19</v>
      </c>
      <c r="G757" s="3">
        <v>532</v>
      </c>
      <c r="H757">
        <f t="shared" si="11"/>
        <v>532</v>
      </c>
      <c r="I757">
        <v>6</v>
      </c>
    </row>
    <row r="758" spans="1:9" ht="15.75" thickBot="1" x14ac:dyDescent="0.3">
      <c r="A758" s="1">
        <v>44197</v>
      </c>
      <c r="B758" t="s">
        <v>6</v>
      </c>
      <c r="C758" t="s">
        <v>7</v>
      </c>
      <c r="D758" t="s">
        <v>337</v>
      </c>
      <c r="E758" t="s">
        <v>12</v>
      </c>
      <c r="F758">
        <v>882.49</v>
      </c>
      <c r="G758" s="5">
        <v>34000</v>
      </c>
      <c r="H758">
        <f t="shared" si="11"/>
        <v>34</v>
      </c>
      <c r="I758">
        <v>4</v>
      </c>
    </row>
    <row r="759" spans="1:9" ht="15.75" thickBot="1" x14ac:dyDescent="0.3">
      <c r="A759" s="1">
        <v>44197</v>
      </c>
      <c r="B759" t="s">
        <v>6</v>
      </c>
      <c r="C759" t="s">
        <v>7</v>
      </c>
      <c r="D759" t="s">
        <v>338</v>
      </c>
      <c r="E759" t="s">
        <v>12</v>
      </c>
      <c r="F759">
        <v>350.01</v>
      </c>
      <c r="G759" s="5">
        <v>13179.5</v>
      </c>
      <c r="H759">
        <f t="shared" si="11"/>
        <v>13.179500000000001</v>
      </c>
      <c r="I759">
        <v>2</v>
      </c>
    </row>
    <row r="760" spans="1:9" ht="15.75" thickBot="1" x14ac:dyDescent="0.3">
      <c r="A760" s="1">
        <v>44197</v>
      </c>
      <c r="B760" t="s">
        <v>6</v>
      </c>
      <c r="C760" t="s">
        <v>7</v>
      </c>
      <c r="D760" t="s">
        <v>339</v>
      </c>
      <c r="E760" t="s">
        <v>14</v>
      </c>
      <c r="F760">
        <v>860.47</v>
      </c>
      <c r="G760" s="3">
        <v>29</v>
      </c>
      <c r="H760">
        <f t="shared" si="11"/>
        <v>29</v>
      </c>
      <c r="I760">
        <v>1</v>
      </c>
    </row>
    <row r="761" spans="1:9" ht="15.75" thickBot="1" x14ac:dyDescent="0.3">
      <c r="A761" s="1">
        <v>44197</v>
      </c>
      <c r="B761" t="s">
        <v>6</v>
      </c>
      <c r="C761" t="s">
        <v>7</v>
      </c>
      <c r="D761" t="s">
        <v>339</v>
      </c>
      <c r="E761" t="s">
        <v>24</v>
      </c>
      <c r="F761">
        <v>625</v>
      </c>
      <c r="G761" s="5">
        <v>0</v>
      </c>
      <c r="H761">
        <f t="shared" si="11"/>
        <v>0</v>
      </c>
      <c r="I761">
        <v>1</v>
      </c>
    </row>
    <row r="762" spans="1:9" ht="15.75" thickBot="1" x14ac:dyDescent="0.3">
      <c r="A762" s="1">
        <v>44197</v>
      </c>
      <c r="B762" t="s">
        <v>6</v>
      </c>
      <c r="C762" t="s">
        <v>7</v>
      </c>
      <c r="D762" t="s">
        <v>339</v>
      </c>
      <c r="E762" t="s">
        <v>12</v>
      </c>
      <c r="F762">
        <v>130.55000000000001</v>
      </c>
      <c r="G762" s="5">
        <v>5000</v>
      </c>
      <c r="H762">
        <f t="shared" si="11"/>
        <v>5</v>
      </c>
      <c r="I762">
        <v>1</v>
      </c>
    </row>
    <row r="763" spans="1:9" ht="15.75" thickBot="1" x14ac:dyDescent="0.3">
      <c r="A763" s="1">
        <v>44197</v>
      </c>
      <c r="B763" t="s">
        <v>6</v>
      </c>
      <c r="C763" t="s">
        <v>7</v>
      </c>
      <c r="D763" t="s">
        <v>339</v>
      </c>
      <c r="E763" t="s">
        <v>9</v>
      </c>
      <c r="F763">
        <v>326.27999999999997</v>
      </c>
      <c r="G763" s="4">
        <v>0</v>
      </c>
      <c r="H763">
        <f t="shared" si="11"/>
        <v>0</v>
      </c>
      <c r="I763">
        <v>4</v>
      </c>
    </row>
    <row r="764" spans="1:9" ht="15.75" thickBot="1" x14ac:dyDescent="0.3">
      <c r="A764" s="1">
        <v>44197</v>
      </c>
      <c r="B764" t="s">
        <v>6</v>
      </c>
      <c r="C764" t="s">
        <v>7</v>
      </c>
      <c r="D764" t="s">
        <v>340</v>
      </c>
      <c r="E764" t="s">
        <v>12</v>
      </c>
      <c r="F764">
        <v>268.73</v>
      </c>
      <c r="G764" s="5">
        <v>10000</v>
      </c>
      <c r="H764">
        <f t="shared" si="11"/>
        <v>10</v>
      </c>
      <c r="I764">
        <v>1</v>
      </c>
    </row>
    <row r="765" spans="1:9" ht="15.75" thickBot="1" x14ac:dyDescent="0.3">
      <c r="A765" s="1">
        <v>44197</v>
      </c>
      <c r="B765" t="s">
        <v>6</v>
      </c>
      <c r="C765" t="s">
        <v>7</v>
      </c>
      <c r="D765" t="s">
        <v>341</v>
      </c>
      <c r="E765" t="s">
        <v>24</v>
      </c>
      <c r="F765">
        <v>18787.03</v>
      </c>
      <c r="G765" s="6">
        <v>34319.784</v>
      </c>
      <c r="H765">
        <f t="shared" si="11"/>
        <v>34319.784</v>
      </c>
      <c r="I765">
        <v>165</v>
      </c>
    </row>
    <row r="766" spans="1:9" ht="15.75" thickBot="1" x14ac:dyDescent="0.3">
      <c r="A766" s="1">
        <v>44197</v>
      </c>
      <c r="B766" t="s">
        <v>6</v>
      </c>
      <c r="C766" t="s">
        <v>7</v>
      </c>
      <c r="D766" t="s">
        <v>341</v>
      </c>
      <c r="E766" t="s">
        <v>12</v>
      </c>
      <c r="F766">
        <v>1019.93</v>
      </c>
      <c r="G766" s="5">
        <v>35163.93</v>
      </c>
      <c r="H766">
        <f t="shared" si="11"/>
        <v>35.163930000000001</v>
      </c>
      <c r="I766">
        <v>5</v>
      </c>
    </row>
    <row r="767" spans="1:9" ht="15.75" thickBot="1" x14ac:dyDescent="0.3">
      <c r="A767" s="1">
        <v>44197</v>
      </c>
      <c r="B767" t="s">
        <v>6</v>
      </c>
      <c r="C767" t="s">
        <v>7</v>
      </c>
      <c r="D767" t="s">
        <v>341</v>
      </c>
      <c r="E767" t="s">
        <v>17</v>
      </c>
      <c r="F767">
        <v>56</v>
      </c>
      <c r="G767" s="3">
        <v>0</v>
      </c>
      <c r="H767">
        <f t="shared" si="11"/>
        <v>0</v>
      </c>
      <c r="I767">
        <v>1</v>
      </c>
    </row>
    <row r="768" spans="1:9" ht="15.75" thickBot="1" x14ac:dyDescent="0.3">
      <c r="A768" s="1">
        <v>44197</v>
      </c>
      <c r="B768" t="s">
        <v>6</v>
      </c>
      <c r="C768" t="s">
        <v>7</v>
      </c>
      <c r="D768" t="s">
        <v>342</v>
      </c>
      <c r="E768" t="s">
        <v>14</v>
      </c>
      <c r="F768">
        <v>587.73</v>
      </c>
      <c r="G768" s="3">
        <v>7</v>
      </c>
      <c r="H768">
        <f t="shared" si="11"/>
        <v>7</v>
      </c>
      <c r="I768">
        <v>1</v>
      </c>
    </row>
    <row r="769" spans="1:9" ht="15.75" thickBot="1" x14ac:dyDescent="0.3">
      <c r="A769" s="1">
        <v>44197</v>
      </c>
      <c r="B769" t="s">
        <v>6</v>
      </c>
      <c r="C769" t="s">
        <v>7</v>
      </c>
      <c r="D769" t="s">
        <v>342</v>
      </c>
      <c r="E769" t="s">
        <v>9</v>
      </c>
      <c r="F769">
        <v>3972.97</v>
      </c>
      <c r="G769" s="5">
        <v>141000</v>
      </c>
      <c r="H769">
        <f t="shared" si="11"/>
        <v>141000</v>
      </c>
      <c r="I769">
        <v>3</v>
      </c>
    </row>
    <row r="770" spans="1:9" ht="15.75" thickBot="1" x14ac:dyDescent="0.3">
      <c r="A770" s="1">
        <v>44197</v>
      </c>
      <c r="B770" t="s">
        <v>6</v>
      </c>
      <c r="C770" t="s">
        <v>7</v>
      </c>
      <c r="D770" t="s">
        <v>343</v>
      </c>
      <c r="E770" t="s">
        <v>12</v>
      </c>
      <c r="F770">
        <v>862.52</v>
      </c>
      <c r="G770" s="5">
        <v>27000</v>
      </c>
      <c r="H770">
        <f t="shared" si="11"/>
        <v>27</v>
      </c>
      <c r="I770">
        <v>2</v>
      </c>
    </row>
    <row r="771" spans="1:9" ht="15.75" thickBot="1" x14ac:dyDescent="0.3">
      <c r="A771" s="1">
        <v>44197</v>
      </c>
      <c r="B771" t="s">
        <v>6</v>
      </c>
      <c r="C771" t="s">
        <v>7</v>
      </c>
      <c r="D771" t="s">
        <v>343</v>
      </c>
      <c r="E771" t="s">
        <v>9</v>
      </c>
      <c r="F771">
        <v>383.96</v>
      </c>
      <c r="G771" s="5">
        <v>11000</v>
      </c>
      <c r="H771">
        <f t="shared" ref="H771:H834" si="12">IF(ISNUMBER(SEARCH("Domestic customer", E771)),G771/1000,G771)</f>
        <v>11000</v>
      </c>
      <c r="I771">
        <v>1</v>
      </c>
    </row>
    <row r="772" spans="1:9" ht="15.75" thickBot="1" x14ac:dyDescent="0.3">
      <c r="A772" s="1">
        <v>44197</v>
      </c>
      <c r="B772" t="s">
        <v>6</v>
      </c>
      <c r="C772" t="s">
        <v>7</v>
      </c>
      <c r="D772" t="s">
        <v>344</v>
      </c>
      <c r="E772" t="s">
        <v>12</v>
      </c>
      <c r="F772">
        <v>703.35</v>
      </c>
      <c r="G772" s="5">
        <v>20000</v>
      </c>
      <c r="H772">
        <f t="shared" si="12"/>
        <v>20</v>
      </c>
      <c r="I772">
        <v>2</v>
      </c>
    </row>
    <row r="773" spans="1:9" ht="15.75" thickBot="1" x14ac:dyDescent="0.3">
      <c r="A773" s="1">
        <v>44197</v>
      </c>
      <c r="B773" t="s">
        <v>6</v>
      </c>
      <c r="C773" t="s">
        <v>7</v>
      </c>
      <c r="D773" t="s">
        <v>345</v>
      </c>
      <c r="E773" t="s">
        <v>12</v>
      </c>
      <c r="F773">
        <v>685.37</v>
      </c>
      <c r="G773" s="5">
        <v>28000</v>
      </c>
      <c r="H773">
        <f t="shared" si="12"/>
        <v>28</v>
      </c>
      <c r="I773">
        <v>2</v>
      </c>
    </row>
    <row r="774" spans="1:9" ht="15.75" thickBot="1" x14ac:dyDescent="0.3">
      <c r="A774" s="1">
        <v>44197</v>
      </c>
      <c r="B774" t="s">
        <v>6</v>
      </c>
      <c r="C774" t="s">
        <v>7</v>
      </c>
      <c r="D774" t="s">
        <v>346</v>
      </c>
      <c r="E774" t="s">
        <v>14</v>
      </c>
      <c r="F774">
        <v>38862.339999999997</v>
      </c>
      <c r="G774" s="3">
        <v>894</v>
      </c>
      <c r="H774">
        <f t="shared" si="12"/>
        <v>894</v>
      </c>
      <c r="I774">
        <v>4</v>
      </c>
    </row>
    <row r="775" spans="1:9" ht="15.75" thickBot="1" x14ac:dyDescent="0.3">
      <c r="A775" s="1">
        <v>44197</v>
      </c>
      <c r="B775" t="s">
        <v>6</v>
      </c>
      <c r="C775" t="s">
        <v>7</v>
      </c>
      <c r="D775" t="s">
        <v>346</v>
      </c>
      <c r="E775" t="s">
        <v>12</v>
      </c>
      <c r="F775">
        <v>7339.57</v>
      </c>
      <c r="G775" s="5">
        <v>232907.3</v>
      </c>
      <c r="H775">
        <f t="shared" si="12"/>
        <v>232.90729999999999</v>
      </c>
      <c r="I775">
        <v>13</v>
      </c>
    </row>
    <row r="776" spans="1:9" ht="15.75" thickBot="1" x14ac:dyDescent="0.3">
      <c r="A776" s="1">
        <v>44197</v>
      </c>
      <c r="B776" t="s">
        <v>6</v>
      </c>
      <c r="C776" t="s">
        <v>7</v>
      </c>
      <c r="D776" t="s">
        <v>346</v>
      </c>
      <c r="E776" t="s">
        <v>9</v>
      </c>
      <c r="F776">
        <v>4374.8999999999996</v>
      </c>
      <c r="G776" s="6">
        <v>104038</v>
      </c>
      <c r="H776">
        <f t="shared" si="12"/>
        <v>104038</v>
      </c>
      <c r="I776">
        <v>8</v>
      </c>
    </row>
    <row r="777" spans="1:9" ht="15.75" thickBot="1" x14ac:dyDescent="0.3">
      <c r="A777" s="1">
        <v>44197</v>
      </c>
      <c r="B777" t="s">
        <v>6</v>
      </c>
      <c r="C777" t="s">
        <v>7</v>
      </c>
      <c r="D777" t="s">
        <v>346</v>
      </c>
      <c r="E777" t="s">
        <v>17</v>
      </c>
      <c r="F777">
        <v>215.64</v>
      </c>
      <c r="G777" s="5">
        <v>4000</v>
      </c>
      <c r="H777">
        <f t="shared" si="12"/>
        <v>4000</v>
      </c>
      <c r="I777">
        <v>1</v>
      </c>
    </row>
    <row r="778" spans="1:9" ht="15.75" thickBot="1" x14ac:dyDescent="0.3">
      <c r="A778" s="1">
        <v>44197</v>
      </c>
      <c r="B778" t="s">
        <v>6</v>
      </c>
      <c r="C778" t="s">
        <v>7</v>
      </c>
      <c r="D778" t="s">
        <v>347</v>
      </c>
      <c r="E778" t="s">
        <v>14</v>
      </c>
      <c r="F778">
        <v>27365.84</v>
      </c>
      <c r="G778" s="6">
        <v>3783.616</v>
      </c>
      <c r="H778">
        <f t="shared" si="12"/>
        <v>3783.616</v>
      </c>
      <c r="I778">
        <v>4</v>
      </c>
    </row>
    <row r="779" spans="1:9" ht="15.75" thickBot="1" x14ac:dyDescent="0.3">
      <c r="A779" s="1">
        <v>44197</v>
      </c>
      <c r="B779" t="s">
        <v>6</v>
      </c>
      <c r="C779" t="s">
        <v>7</v>
      </c>
      <c r="D779" t="s">
        <v>347</v>
      </c>
      <c r="E779" t="s">
        <v>24</v>
      </c>
      <c r="F779">
        <v>29792.240000000002</v>
      </c>
      <c r="G779" s="3">
        <v>1010</v>
      </c>
      <c r="H779">
        <f t="shared" si="12"/>
        <v>1010</v>
      </c>
      <c r="I779">
        <v>3</v>
      </c>
    </row>
    <row r="780" spans="1:9" ht="15.75" thickBot="1" x14ac:dyDescent="0.3">
      <c r="A780" s="1">
        <v>44197</v>
      </c>
      <c r="B780" t="s">
        <v>6</v>
      </c>
      <c r="C780" t="s">
        <v>7</v>
      </c>
      <c r="D780" t="s">
        <v>347</v>
      </c>
      <c r="E780" t="s">
        <v>12</v>
      </c>
      <c r="F780">
        <v>91649.73</v>
      </c>
      <c r="G780" s="5">
        <v>5198494.3540000003</v>
      </c>
      <c r="H780">
        <f t="shared" si="12"/>
        <v>5198.4943540000004</v>
      </c>
      <c r="I780">
        <v>28</v>
      </c>
    </row>
    <row r="781" spans="1:9" ht="15.75" thickBot="1" x14ac:dyDescent="0.3">
      <c r="A781" s="1">
        <v>44197</v>
      </c>
      <c r="B781" t="s">
        <v>6</v>
      </c>
      <c r="C781" t="s">
        <v>7</v>
      </c>
      <c r="D781" t="s">
        <v>347</v>
      </c>
      <c r="E781" t="s">
        <v>9</v>
      </c>
      <c r="F781">
        <v>15747.67</v>
      </c>
      <c r="G781" s="6">
        <v>152376.79699999999</v>
      </c>
      <c r="H781">
        <f t="shared" si="12"/>
        <v>152376.79699999999</v>
      </c>
      <c r="I781">
        <v>14</v>
      </c>
    </row>
    <row r="782" spans="1:9" ht="15.75" thickBot="1" x14ac:dyDescent="0.3">
      <c r="A782" s="1">
        <v>44197</v>
      </c>
      <c r="B782" t="s">
        <v>6</v>
      </c>
      <c r="C782" t="s">
        <v>7</v>
      </c>
      <c r="D782" t="s">
        <v>347</v>
      </c>
      <c r="E782" t="s">
        <v>17</v>
      </c>
      <c r="F782">
        <v>170.91</v>
      </c>
      <c r="G782" s="5">
        <v>1000</v>
      </c>
      <c r="H782">
        <f t="shared" si="12"/>
        <v>1000</v>
      </c>
      <c r="I782">
        <v>1</v>
      </c>
    </row>
    <row r="783" spans="1:9" ht="15.75" thickBot="1" x14ac:dyDescent="0.3">
      <c r="A783" s="1">
        <v>44197</v>
      </c>
      <c r="B783" t="s">
        <v>6</v>
      </c>
      <c r="C783" t="s">
        <v>7</v>
      </c>
      <c r="D783" t="s">
        <v>348</v>
      </c>
      <c r="E783" t="s">
        <v>24</v>
      </c>
      <c r="F783">
        <v>39300.43</v>
      </c>
      <c r="G783" s="3">
        <v>1207</v>
      </c>
      <c r="H783">
        <f t="shared" si="12"/>
        <v>1207</v>
      </c>
      <c r="I783">
        <v>63</v>
      </c>
    </row>
    <row r="784" spans="1:9" ht="15.75" thickBot="1" x14ac:dyDescent="0.3">
      <c r="A784" s="1">
        <v>44197</v>
      </c>
      <c r="B784" t="s">
        <v>6</v>
      </c>
      <c r="C784" t="s">
        <v>7</v>
      </c>
      <c r="D784" t="s">
        <v>348</v>
      </c>
      <c r="E784" t="s">
        <v>12</v>
      </c>
      <c r="F784">
        <v>16620.11</v>
      </c>
      <c r="G784" s="6">
        <v>2518523.1529999999</v>
      </c>
      <c r="H784">
        <f t="shared" si="12"/>
        <v>2518.5231530000001</v>
      </c>
      <c r="I784">
        <v>183</v>
      </c>
    </row>
    <row r="785" spans="1:9" ht="15.75" thickBot="1" x14ac:dyDescent="0.3">
      <c r="A785" s="1">
        <v>44197</v>
      </c>
      <c r="B785" t="s">
        <v>6</v>
      </c>
      <c r="C785" t="s">
        <v>7</v>
      </c>
      <c r="D785" t="s">
        <v>348</v>
      </c>
      <c r="E785" t="s">
        <v>9</v>
      </c>
      <c r="F785">
        <v>71058.31</v>
      </c>
      <c r="G785" s="3">
        <v>2490</v>
      </c>
      <c r="H785">
        <f t="shared" si="12"/>
        <v>2490</v>
      </c>
      <c r="I785">
        <v>12</v>
      </c>
    </row>
    <row r="786" spans="1:9" ht="15.75" thickBot="1" x14ac:dyDescent="0.3">
      <c r="A786" s="1">
        <v>44197</v>
      </c>
      <c r="B786" t="s">
        <v>6</v>
      </c>
      <c r="C786" t="s">
        <v>7</v>
      </c>
      <c r="D786" t="s">
        <v>348</v>
      </c>
      <c r="E786" t="s">
        <v>17</v>
      </c>
      <c r="F786">
        <v>5014.97</v>
      </c>
      <c r="G786" s="6">
        <v>43562.417999999998</v>
      </c>
      <c r="H786">
        <f t="shared" si="12"/>
        <v>43562.417999999998</v>
      </c>
      <c r="I786">
        <v>12</v>
      </c>
    </row>
    <row r="787" spans="1:9" ht="15.75" thickBot="1" x14ac:dyDescent="0.3">
      <c r="A787" s="1">
        <v>44197</v>
      </c>
      <c r="B787" t="s">
        <v>6</v>
      </c>
      <c r="C787" t="s">
        <v>7</v>
      </c>
      <c r="D787" t="s">
        <v>349</v>
      </c>
      <c r="E787" t="s">
        <v>14</v>
      </c>
      <c r="F787">
        <v>1586787.34</v>
      </c>
      <c r="G787" s="6">
        <v>81577</v>
      </c>
      <c r="H787">
        <f t="shared" si="12"/>
        <v>81577</v>
      </c>
      <c r="I787">
        <v>235</v>
      </c>
    </row>
    <row r="788" spans="1:9" ht="15.75" thickBot="1" x14ac:dyDescent="0.3">
      <c r="A788" s="1">
        <v>44197</v>
      </c>
      <c r="B788" t="s">
        <v>6</v>
      </c>
      <c r="C788" t="s">
        <v>7</v>
      </c>
      <c r="D788" t="s">
        <v>349</v>
      </c>
      <c r="E788" t="s">
        <v>24</v>
      </c>
      <c r="F788">
        <v>1299304.6399999999</v>
      </c>
      <c r="G788" s="6">
        <v>1129943.007</v>
      </c>
      <c r="H788">
        <f t="shared" si="12"/>
        <v>1129943.007</v>
      </c>
      <c r="I788">
        <v>1265</v>
      </c>
    </row>
    <row r="789" spans="1:9" ht="15.75" thickBot="1" x14ac:dyDescent="0.3">
      <c r="A789" s="1">
        <v>44197</v>
      </c>
      <c r="B789" t="s">
        <v>6</v>
      </c>
      <c r="C789" t="s">
        <v>7</v>
      </c>
      <c r="D789" t="s">
        <v>349</v>
      </c>
      <c r="E789" t="s">
        <v>12</v>
      </c>
      <c r="F789">
        <v>14498113.539999999</v>
      </c>
      <c r="G789" s="6">
        <v>1054624753.181</v>
      </c>
      <c r="H789">
        <f t="shared" si="12"/>
        <v>1054624.753181</v>
      </c>
      <c r="I789">
        <v>110126</v>
      </c>
    </row>
    <row r="790" spans="1:9" ht="15.75" thickBot="1" x14ac:dyDescent="0.3">
      <c r="A790" s="1">
        <v>44197</v>
      </c>
      <c r="B790" t="s">
        <v>6</v>
      </c>
      <c r="C790" t="s">
        <v>7</v>
      </c>
      <c r="D790" t="s">
        <v>349</v>
      </c>
      <c r="E790" t="s">
        <v>15</v>
      </c>
      <c r="F790">
        <v>118777.28</v>
      </c>
      <c r="G790" s="3">
        <v>3828</v>
      </c>
      <c r="H790">
        <f t="shared" si="12"/>
        <v>3828</v>
      </c>
      <c r="I790">
        <v>34</v>
      </c>
    </row>
    <row r="791" spans="1:9" ht="15.75" thickBot="1" x14ac:dyDescent="0.3">
      <c r="A791" s="1">
        <v>44197</v>
      </c>
      <c r="B791" t="s">
        <v>6</v>
      </c>
      <c r="C791" t="s">
        <v>7</v>
      </c>
      <c r="D791" t="s">
        <v>349</v>
      </c>
      <c r="E791" t="s">
        <v>9</v>
      </c>
      <c r="F791">
        <v>3200111.13</v>
      </c>
      <c r="G791" s="6">
        <v>1067404.7350000001</v>
      </c>
      <c r="H791">
        <f t="shared" si="12"/>
        <v>1067404.7350000001</v>
      </c>
      <c r="I791">
        <v>764</v>
      </c>
    </row>
    <row r="792" spans="1:9" ht="15.75" thickBot="1" x14ac:dyDescent="0.3">
      <c r="A792" s="1">
        <v>44197</v>
      </c>
      <c r="B792" t="s">
        <v>6</v>
      </c>
      <c r="C792" t="s">
        <v>7</v>
      </c>
      <c r="D792" t="s">
        <v>349</v>
      </c>
      <c r="E792" t="s">
        <v>17</v>
      </c>
      <c r="F792">
        <v>171716.54</v>
      </c>
      <c r="G792" s="6">
        <v>4672066.6399999997</v>
      </c>
      <c r="H792">
        <f t="shared" si="12"/>
        <v>4672066.6399999997</v>
      </c>
      <c r="I792">
        <v>371</v>
      </c>
    </row>
    <row r="793" spans="1:9" ht="15.75" thickBot="1" x14ac:dyDescent="0.3">
      <c r="A793" s="1">
        <v>44197</v>
      </c>
      <c r="B793" t="s">
        <v>6</v>
      </c>
      <c r="C793" t="s">
        <v>7</v>
      </c>
      <c r="D793" t="s">
        <v>350</v>
      </c>
      <c r="E793" t="s">
        <v>17</v>
      </c>
      <c r="F793">
        <v>2500</v>
      </c>
      <c r="G793" s="3">
        <v>0</v>
      </c>
      <c r="H793">
        <f t="shared" si="12"/>
        <v>0</v>
      </c>
      <c r="I793">
        <v>1</v>
      </c>
    </row>
    <row r="794" spans="1:9" ht="15.75" thickBot="1" x14ac:dyDescent="0.3">
      <c r="A794" s="1">
        <v>44197</v>
      </c>
      <c r="B794" t="s">
        <v>6</v>
      </c>
      <c r="C794" t="s">
        <v>7</v>
      </c>
      <c r="D794" t="s">
        <v>351</v>
      </c>
      <c r="E794" t="s">
        <v>12</v>
      </c>
      <c r="F794">
        <v>81.569999999999993</v>
      </c>
      <c r="G794" s="4">
        <v>0</v>
      </c>
      <c r="H794">
        <f t="shared" si="12"/>
        <v>0</v>
      </c>
      <c r="I794">
        <v>1</v>
      </c>
    </row>
    <row r="795" spans="1:9" ht="15.75" thickBot="1" x14ac:dyDescent="0.3">
      <c r="A795" s="1">
        <v>44197</v>
      </c>
      <c r="B795" t="s">
        <v>6</v>
      </c>
      <c r="C795" t="s">
        <v>7</v>
      </c>
      <c r="D795" t="s">
        <v>352</v>
      </c>
      <c r="E795" t="s">
        <v>24</v>
      </c>
      <c r="F795">
        <v>509.8</v>
      </c>
      <c r="G795" s="3">
        <v>15</v>
      </c>
      <c r="H795">
        <f t="shared" si="12"/>
        <v>15</v>
      </c>
      <c r="I795">
        <v>1</v>
      </c>
    </row>
    <row r="796" spans="1:9" ht="15.75" thickBot="1" x14ac:dyDescent="0.3">
      <c r="A796" s="1">
        <v>44197</v>
      </c>
      <c r="B796" t="s">
        <v>6</v>
      </c>
      <c r="C796" t="s">
        <v>7</v>
      </c>
      <c r="D796" t="s">
        <v>352</v>
      </c>
      <c r="E796" t="s">
        <v>12</v>
      </c>
      <c r="F796">
        <v>5430.01</v>
      </c>
      <c r="G796" s="5">
        <v>163638.71</v>
      </c>
      <c r="H796">
        <f t="shared" si="12"/>
        <v>163.63871</v>
      </c>
      <c r="I796">
        <v>10</v>
      </c>
    </row>
    <row r="797" spans="1:9" ht="15.75" thickBot="1" x14ac:dyDescent="0.3">
      <c r="A797" s="1">
        <v>44197</v>
      </c>
      <c r="B797" t="s">
        <v>6</v>
      </c>
      <c r="C797" t="s">
        <v>7</v>
      </c>
      <c r="D797" t="s">
        <v>352</v>
      </c>
      <c r="E797" t="s">
        <v>15</v>
      </c>
      <c r="F797">
        <v>20815.39</v>
      </c>
      <c r="G797" s="3">
        <v>592</v>
      </c>
      <c r="H797">
        <f t="shared" si="12"/>
        <v>592</v>
      </c>
      <c r="I797">
        <v>5</v>
      </c>
    </row>
    <row r="798" spans="1:9" ht="15.75" thickBot="1" x14ac:dyDescent="0.3">
      <c r="A798" s="1">
        <v>44197</v>
      </c>
      <c r="B798" t="s">
        <v>6</v>
      </c>
      <c r="C798" t="s">
        <v>7</v>
      </c>
      <c r="D798" t="s">
        <v>353</v>
      </c>
      <c r="E798" t="s">
        <v>12</v>
      </c>
      <c r="F798">
        <v>21203.75</v>
      </c>
      <c r="G798" s="5">
        <v>516409.304</v>
      </c>
      <c r="H798">
        <f t="shared" si="12"/>
        <v>516.40930400000002</v>
      </c>
      <c r="I798">
        <v>62</v>
      </c>
    </row>
    <row r="799" spans="1:9" ht="15.75" thickBot="1" x14ac:dyDescent="0.3">
      <c r="A799" s="1">
        <v>44197</v>
      </c>
      <c r="B799" t="s">
        <v>6</v>
      </c>
      <c r="C799" t="s">
        <v>7</v>
      </c>
      <c r="D799" t="s">
        <v>353</v>
      </c>
      <c r="E799" t="s">
        <v>9</v>
      </c>
      <c r="F799">
        <v>36497.660000000003</v>
      </c>
      <c r="G799" s="6">
        <v>328768</v>
      </c>
      <c r="H799">
        <f t="shared" si="12"/>
        <v>328768</v>
      </c>
      <c r="I799">
        <v>23</v>
      </c>
    </row>
    <row r="800" spans="1:9" ht="15.75" thickBot="1" x14ac:dyDescent="0.3">
      <c r="A800" s="1">
        <v>44197</v>
      </c>
      <c r="B800" t="s">
        <v>6</v>
      </c>
      <c r="C800" t="s">
        <v>7</v>
      </c>
      <c r="D800" t="s">
        <v>353</v>
      </c>
      <c r="E800" t="s">
        <v>17</v>
      </c>
      <c r="F800">
        <v>767.29</v>
      </c>
      <c r="G800" s="5">
        <v>19115.019</v>
      </c>
      <c r="H800">
        <f t="shared" si="12"/>
        <v>19115.019</v>
      </c>
      <c r="I800">
        <v>3</v>
      </c>
    </row>
    <row r="801" spans="1:9" ht="15.75" thickBot="1" x14ac:dyDescent="0.3">
      <c r="A801" s="1">
        <v>44197</v>
      </c>
      <c r="B801" t="s">
        <v>6</v>
      </c>
      <c r="C801" t="s">
        <v>7</v>
      </c>
      <c r="D801" t="s">
        <v>354</v>
      </c>
      <c r="E801" t="s">
        <v>12</v>
      </c>
      <c r="F801">
        <v>163.13999999999999</v>
      </c>
      <c r="G801" s="4">
        <v>0</v>
      </c>
      <c r="H801">
        <f t="shared" si="12"/>
        <v>0</v>
      </c>
      <c r="I801">
        <v>2</v>
      </c>
    </row>
    <row r="802" spans="1:9" ht="15.75" thickBot="1" x14ac:dyDescent="0.3">
      <c r="A802" s="1">
        <v>44197</v>
      </c>
      <c r="B802" t="s">
        <v>6</v>
      </c>
      <c r="C802" t="s">
        <v>7</v>
      </c>
      <c r="D802" t="s">
        <v>354</v>
      </c>
      <c r="E802" t="s">
        <v>9</v>
      </c>
      <c r="F802">
        <v>81.569999999999993</v>
      </c>
      <c r="G802" s="4">
        <v>0</v>
      </c>
      <c r="H802">
        <f t="shared" si="12"/>
        <v>0</v>
      </c>
      <c r="I802">
        <v>1</v>
      </c>
    </row>
    <row r="803" spans="1:9" ht="15.75" thickBot="1" x14ac:dyDescent="0.3">
      <c r="A803" s="1">
        <v>44197</v>
      </c>
      <c r="B803" t="s">
        <v>6</v>
      </c>
      <c r="C803" t="s">
        <v>7</v>
      </c>
      <c r="D803" t="s">
        <v>355</v>
      </c>
      <c r="E803" t="s">
        <v>24</v>
      </c>
      <c r="F803">
        <v>689.6</v>
      </c>
      <c r="G803" s="3">
        <v>14</v>
      </c>
      <c r="H803">
        <f t="shared" si="12"/>
        <v>14</v>
      </c>
      <c r="I803">
        <v>3</v>
      </c>
    </row>
    <row r="804" spans="1:9" ht="15.75" thickBot="1" x14ac:dyDescent="0.3">
      <c r="A804" s="1">
        <v>44197</v>
      </c>
      <c r="B804" t="s">
        <v>6</v>
      </c>
      <c r="C804" t="s">
        <v>7</v>
      </c>
      <c r="D804" t="s">
        <v>356</v>
      </c>
      <c r="E804" t="s">
        <v>24</v>
      </c>
      <c r="F804">
        <v>255.8</v>
      </c>
      <c r="G804" s="5">
        <v>9000</v>
      </c>
      <c r="H804">
        <f t="shared" si="12"/>
        <v>9000</v>
      </c>
      <c r="I804">
        <v>1</v>
      </c>
    </row>
    <row r="805" spans="1:9" ht="15.75" thickBot="1" x14ac:dyDescent="0.3">
      <c r="A805" s="1">
        <v>44197</v>
      </c>
      <c r="B805" t="s">
        <v>6</v>
      </c>
      <c r="C805" t="s">
        <v>7</v>
      </c>
      <c r="D805" t="s">
        <v>357</v>
      </c>
      <c r="E805" t="s">
        <v>12</v>
      </c>
      <c r="F805">
        <v>18525.03</v>
      </c>
      <c r="G805" s="5">
        <v>756526.31299999997</v>
      </c>
      <c r="H805">
        <f t="shared" si="12"/>
        <v>756.52631299999996</v>
      </c>
      <c r="I805">
        <v>22</v>
      </c>
    </row>
    <row r="806" spans="1:9" ht="15.75" thickBot="1" x14ac:dyDescent="0.3">
      <c r="A806" s="1">
        <v>44197</v>
      </c>
      <c r="B806" t="s">
        <v>6</v>
      </c>
      <c r="C806" t="s">
        <v>7</v>
      </c>
      <c r="D806" t="s">
        <v>357</v>
      </c>
      <c r="E806" t="s">
        <v>9</v>
      </c>
      <c r="F806">
        <v>3047.18</v>
      </c>
      <c r="G806" s="6">
        <v>3002</v>
      </c>
      <c r="H806">
        <f t="shared" si="12"/>
        <v>3002</v>
      </c>
      <c r="I806">
        <v>35</v>
      </c>
    </row>
    <row r="807" spans="1:9" ht="15.75" thickBot="1" x14ac:dyDescent="0.3">
      <c r="A807" s="1">
        <v>44197</v>
      </c>
      <c r="B807" t="s">
        <v>6</v>
      </c>
      <c r="C807" t="s">
        <v>7</v>
      </c>
      <c r="D807" t="s">
        <v>357</v>
      </c>
      <c r="E807" t="s">
        <v>17</v>
      </c>
      <c r="F807">
        <v>81.569999999999993</v>
      </c>
      <c r="G807" s="4">
        <v>0</v>
      </c>
      <c r="H807">
        <f t="shared" si="12"/>
        <v>0</v>
      </c>
      <c r="I807">
        <v>1</v>
      </c>
    </row>
    <row r="808" spans="1:9" ht="15.75" thickBot="1" x14ac:dyDescent="0.3">
      <c r="A808" s="1">
        <v>44197</v>
      </c>
      <c r="B808" t="s">
        <v>6</v>
      </c>
      <c r="C808" t="s">
        <v>7</v>
      </c>
      <c r="D808" t="s">
        <v>358</v>
      </c>
      <c r="E808" t="s">
        <v>12</v>
      </c>
      <c r="F808">
        <v>2860.41</v>
      </c>
      <c r="G808" s="5">
        <v>159000</v>
      </c>
      <c r="H808">
        <f t="shared" si="12"/>
        <v>159</v>
      </c>
      <c r="I808">
        <v>3</v>
      </c>
    </row>
    <row r="809" spans="1:9" ht="15.75" thickBot="1" x14ac:dyDescent="0.3">
      <c r="A809" s="1">
        <v>44197</v>
      </c>
      <c r="B809" t="s">
        <v>6</v>
      </c>
      <c r="C809" t="s">
        <v>7</v>
      </c>
      <c r="D809" t="s">
        <v>358</v>
      </c>
      <c r="E809" t="s">
        <v>9</v>
      </c>
      <c r="F809">
        <v>23668.32</v>
      </c>
      <c r="G809" s="5">
        <v>1040000</v>
      </c>
      <c r="H809">
        <f t="shared" si="12"/>
        <v>1040000</v>
      </c>
      <c r="I809">
        <v>14</v>
      </c>
    </row>
    <row r="810" spans="1:9" ht="15.75" thickBot="1" x14ac:dyDescent="0.3">
      <c r="A810" s="1">
        <v>44197</v>
      </c>
      <c r="B810" t="s">
        <v>6</v>
      </c>
      <c r="C810" t="s">
        <v>7</v>
      </c>
      <c r="D810" t="s">
        <v>358</v>
      </c>
      <c r="E810" t="s">
        <v>17</v>
      </c>
      <c r="F810">
        <v>81.569999999999993</v>
      </c>
      <c r="G810" s="4">
        <v>0</v>
      </c>
      <c r="H810">
        <f t="shared" si="12"/>
        <v>0</v>
      </c>
      <c r="I810">
        <v>1</v>
      </c>
    </row>
    <row r="811" spans="1:9" ht="15.75" thickBot="1" x14ac:dyDescent="0.3">
      <c r="A811" s="1">
        <v>44197</v>
      </c>
      <c r="B811" t="s">
        <v>6</v>
      </c>
      <c r="C811" t="s">
        <v>7</v>
      </c>
      <c r="D811" t="s">
        <v>359</v>
      </c>
      <c r="E811" t="s">
        <v>12</v>
      </c>
      <c r="F811">
        <v>319.77</v>
      </c>
      <c r="G811" s="5">
        <v>10000</v>
      </c>
      <c r="H811">
        <f t="shared" si="12"/>
        <v>10</v>
      </c>
      <c r="I811">
        <v>1</v>
      </c>
    </row>
    <row r="812" spans="1:9" ht="15.75" thickBot="1" x14ac:dyDescent="0.3">
      <c r="A812" s="1">
        <v>44197</v>
      </c>
      <c r="B812" t="s">
        <v>6</v>
      </c>
      <c r="C812" t="s">
        <v>7</v>
      </c>
      <c r="D812" t="s">
        <v>359</v>
      </c>
      <c r="E812" t="s">
        <v>9</v>
      </c>
      <c r="F812">
        <v>443.76</v>
      </c>
      <c r="G812" s="5">
        <v>12000</v>
      </c>
      <c r="H812">
        <f t="shared" si="12"/>
        <v>12000</v>
      </c>
      <c r="I812">
        <v>2</v>
      </c>
    </row>
    <row r="813" spans="1:9" ht="15.75" thickBot="1" x14ac:dyDescent="0.3">
      <c r="A813" s="1">
        <v>44197</v>
      </c>
      <c r="B813" t="s">
        <v>6</v>
      </c>
      <c r="C813" t="s">
        <v>7</v>
      </c>
      <c r="D813" t="s">
        <v>360</v>
      </c>
      <c r="E813" t="s">
        <v>24</v>
      </c>
      <c r="F813">
        <v>50087.56</v>
      </c>
      <c r="G813" s="6">
        <v>797323.15099999995</v>
      </c>
      <c r="H813">
        <f t="shared" si="12"/>
        <v>797323.15099999995</v>
      </c>
      <c r="I813">
        <v>143</v>
      </c>
    </row>
    <row r="814" spans="1:9" ht="15.75" thickBot="1" x14ac:dyDescent="0.3">
      <c r="A814" s="1">
        <v>44197</v>
      </c>
      <c r="B814" t="s">
        <v>6</v>
      </c>
      <c r="C814" t="s">
        <v>7</v>
      </c>
      <c r="D814" t="s">
        <v>360</v>
      </c>
      <c r="E814" t="s">
        <v>12</v>
      </c>
      <c r="F814">
        <v>3799.47</v>
      </c>
      <c r="G814" s="6">
        <v>1276033.817</v>
      </c>
      <c r="H814">
        <f t="shared" si="12"/>
        <v>1276.033817</v>
      </c>
      <c r="I814">
        <v>222</v>
      </c>
    </row>
    <row r="815" spans="1:9" ht="15.75" thickBot="1" x14ac:dyDescent="0.3">
      <c r="A815" s="1">
        <v>44197</v>
      </c>
      <c r="B815" t="s">
        <v>6</v>
      </c>
      <c r="C815" t="s">
        <v>7</v>
      </c>
      <c r="D815" t="s">
        <v>360</v>
      </c>
      <c r="E815" t="s">
        <v>9</v>
      </c>
      <c r="F815">
        <v>2039.25</v>
      </c>
      <c r="G815" s="4">
        <v>0</v>
      </c>
      <c r="H815">
        <f t="shared" si="12"/>
        <v>0</v>
      </c>
      <c r="I815">
        <v>25</v>
      </c>
    </row>
    <row r="816" spans="1:9" ht="15.75" thickBot="1" x14ac:dyDescent="0.3">
      <c r="A816" s="1">
        <v>44197</v>
      </c>
      <c r="B816" t="s">
        <v>6</v>
      </c>
      <c r="C816" t="s">
        <v>7</v>
      </c>
      <c r="D816" t="s">
        <v>360</v>
      </c>
      <c r="E816" t="s">
        <v>17</v>
      </c>
      <c r="F816">
        <v>0</v>
      </c>
      <c r="G816" s="5">
        <v>23520</v>
      </c>
      <c r="H816">
        <f t="shared" si="12"/>
        <v>23520</v>
      </c>
      <c r="I816">
        <v>2</v>
      </c>
    </row>
    <row r="817" spans="1:9" ht="15.75" thickBot="1" x14ac:dyDescent="0.3">
      <c r="A817" s="1">
        <v>44197</v>
      </c>
      <c r="B817" t="s">
        <v>6</v>
      </c>
      <c r="C817" t="s">
        <v>7</v>
      </c>
      <c r="D817" t="s">
        <v>361</v>
      </c>
      <c r="E817" t="s">
        <v>14</v>
      </c>
      <c r="F817">
        <v>6262324.3700000001</v>
      </c>
      <c r="G817" s="6">
        <v>126054.689</v>
      </c>
      <c r="H817">
        <f t="shared" si="12"/>
        <v>126054.689</v>
      </c>
      <c r="I817">
        <v>636</v>
      </c>
    </row>
    <row r="818" spans="1:9" ht="15.75" thickBot="1" x14ac:dyDescent="0.3">
      <c r="A818" s="1">
        <v>44197</v>
      </c>
      <c r="B818" t="s">
        <v>6</v>
      </c>
      <c r="C818" t="s">
        <v>7</v>
      </c>
      <c r="D818" t="s">
        <v>361</v>
      </c>
      <c r="E818" t="s">
        <v>24</v>
      </c>
      <c r="F818">
        <v>4495695.78</v>
      </c>
      <c r="G818" s="6">
        <v>302646.97499999998</v>
      </c>
      <c r="H818">
        <f t="shared" si="12"/>
        <v>302646.97499999998</v>
      </c>
      <c r="I818">
        <v>589</v>
      </c>
    </row>
    <row r="819" spans="1:9" ht="15.75" thickBot="1" x14ac:dyDescent="0.3">
      <c r="A819" s="1">
        <v>44197</v>
      </c>
      <c r="B819" t="s">
        <v>6</v>
      </c>
      <c r="C819" t="s">
        <v>7</v>
      </c>
      <c r="D819" t="s">
        <v>361</v>
      </c>
      <c r="E819" t="s">
        <v>12</v>
      </c>
      <c r="F819">
        <v>21078929.260000002</v>
      </c>
      <c r="G819" s="6">
        <v>957885607.85500002</v>
      </c>
      <c r="H819">
        <f t="shared" si="12"/>
        <v>957885.60785500007</v>
      </c>
      <c r="I819">
        <v>59243</v>
      </c>
    </row>
    <row r="820" spans="1:9" ht="15.75" thickBot="1" x14ac:dyDescent="0.3">
      <c r="A820" s="1">
        <v>44197</v>
      </c>
      <c r="B820" t="s">
        <v>6</v>
      </c>
      <c r="C820" t="s">
        <v>7</v>
      </c>
      <c r="D820" t="s">
        <v>361</v>
      </c>
      <c r="E820" t="s">
        <v>15</v>
      </c>
      <c r="F820">
        <v>799356.38</v>
      </c>
      <c r="G820" s="6">
        <v>41773.669000000002</v>
      </c>
      <c r="H820">
        <f t="shared" si="12"/>
        <v>41773.669000000002</v>
      </c>
      <c r="I820">
        <v>478</v>
      </c>
    </row>
    <row r="821" spans="1:9" ht="15.75" thickBot="1" x14ac:dyDescent="0.3">
      <c r="A821" s="1">
        <v>44197</v>
      </c>
      <c r="B821" t="s">
        <v>6</v>
      </c>
      <c r="C821" t="s">
        <v>7</v>
      </c>
      <c r="D821" t="s">
        <v>361</v>
      </c>
      <c r="E821" t="s">
        <v>9</v>
      </c>
      <c r="F821">
        <v>1397390.69</v>
      </c>
      <c r="G821" s="6">
        <v>6901671.3619999997</v>
      </c>
      <c r="H821">
        <f t="shared" si="12"/>
        <v>6901671.3619999997</v>
      </c>
      <c r="I821">
        <v>1180</v>
      </c>
    </row>
    <row r="822" spans="1:9" ht="15.75" thickBot="1" x14ac:dyDescent="0.3">
      <c r="A822" s="1">
        <v>44197</v>
      </c>
      <c r="B822" t="s">
        <v>6</v>
      </c>
      <c r="C822" t="s">
        <v>7</v>
      </c>
      <c r="D822" t="s">
        <v>361</v>
      </c>
      <c r="E822" t="s">
        <v>17</v>
      </c>
      <c r="F822">
        <v>225746.33</v>
      </c>
      <c r="G822" s="6">
        <v>6356758.148</v>
      </c>
      <c r="H822">
        <f t="shared" si="12"/>
        <v>6356758.148</v>
      </c>
      <c r="I822">
        <v>401</v>
      </c>
    </row>
    <row r="823" spans="1:9" ht="15.75" thickBot="1" x14ac:dyDescent="0.3">
      <c r="A823" s="1">
        <v>44197</v>
      </c>
      <c r="B823" t="s">
        <v>6</v>
      </c>
      <c r="C823" t="s">
        <v>7</v>
      </c>
      <c r="D823" t="s">
        <v>362</v>
      </c>
      <c r="E823" t="s">
        <v>14</v>
      </c>
      <c r="F823">
        <v>328.18</v>
      </c>
      <c r="G823" s="3">
        <v>8</v>
      </c>
      <c r="H823">
        <f t="shared" si="12"/>
        <v>8</v>
      </c>
      <c r="I823">
        <v>1</v>
      </c>
    </row>
    <row r="824" spans="1:9" ht="15.75" thickBot="1" x14ac:dyDescent="0.3">
      <c r="A824" s="1">
        <v>44197</v>
      </c>
      <c r="B824" t="s">
        <v>6</v>
      </c>
      <c r="C824" t="s">
        <v>7</v>
      </c>
      <c r="D824" t="s">
        <v>362</v>
      </c>
      <c r="E824" t="s">
        <v>9</v>
      </c>
      <c r="F824">
        <v>81.569999999999993</v>
      </c>
      <c r="G824" s="4">
        <v>0</v>
      </c>
      <c r="H824">
        <f t="shared" si="12"/>
        <v>0</v>
      </c>
      <c r="I824">
        <v>1</v>
      </c>
    </row>
    <row r="825" spans="1:9" ht="15.75" thickBot="1" x14ac:dyDescent="0.3">
      <c r="A825" s="1">
        <v>44197</v>
      </c>
      <c r="B825" t="s">
        <v>6</v>
      </c>
      <c r="C825" t="s">
        <v>7</v>
      </c>
      <c r="D825" t="s">
        <v>363</v>
      </c>
      <c r="E825" t="s">
        <v>14</v>
      </c>
      <c r="F825">
        <v>2844.82</v>
      </c>
      <c r="G825" s="3">
        <v>75</v>
      </c>
      <c r="H825">
        <f t="shared" si="12"/>
        <v>75</v>
      </c>
      <c r="I825">
        <v>7</v>
      </c>
    </row>
    <row r="826" spans="1:9" ht="15.75" thickBot="1" x14ac:dyDescent="0.3">
      <c r="A826" s="1">
        <v>44197</v>
      </c>
      <c r="B826" t="s">
        <v>6</v>
      </c>
      <c r="C826" t="s">
        <v>7</v>
      </c>
      <c r="D826" t="s">
        <v>363</v>
      </c>
      <c r="E826" t="s">
        <v>24</v>
      </c>
      <c r="F826">
        <v>156</v>
      </c>
      <c r="G826" s="3">
        <v>0</v>
      </c>
      <c r="H826">
        <f t="shared" si="12"/>
        <v>0</v>
      </c>
      <c r="I826">
        <v>1</v>
      </c>
    </row>
    <row r="827" spans="1:9" ht="15.75" thickBot="1" x14ac:dyDescent="0.3">
      <c r="A827" s="1">
        <v>44197</v>
      </c>
      <c r="B827" t="s">
        <v>6</v>
      </c>
      <c r="C827" t="s">
        <v>7</v>
      </c>
      <c r="D827" t="s">
        <v>363</v>
      </c>
      <c r="E827" t="s">
        <v>12</v>
      </c>
      <c r="F827">
        <v>8282.9</v>
      </c>
      <c r="G827" s="5">
        <v>274609.56699999998</v>
      </c>
      <c r="H827">
        <f t="shared" si="12"/>
        <v>274.60956699999997</v>
      </c>
      <c r="I827">
        <v>21</v>
      </c>
    </row>
    <row r="828" spans="1:9" ht="15.75" thickBot="1" x14ac:dyDescent="0.3">
      <c r="A828" s="1">
        <v>44197</v>
      </c>
      <c r="B828" t="s">
        <v>6</v>
      </c>
      <c r="C828" t="s">
        <v>7</v>
      </c>
      <c r="D828" t="s">
        <v>363</v>
      </c>
      <c r="E828" t="s">
        <v>9</v>
      </c>
      <c r="F828">
        <v>438.67</v>
      </c>
      <c r="G828" s="3">
        <v>3</v>
      </c>
      <c r="H828">
        <f t="shared" si="12"/>
        <v>3</v>
      </c>
      <c r="I828">
        <v>5</v>
      </c>
    </row>
    <row r="829" spans="1:9" ht="15.75" thickBot="1" x14ac:dyDescent="0.3">
      <c r="A829" s="1">
        <v>44197</v>
      </c>
      <c r="B829" t="s">
        <v>6</v>
      </c>
      <c r="C829" t="s">
        <v>7</v>
      </c>
      <c r="D829" t="s">
        <v>364</v>
      </c>
      <c r="E829" t="s">
        <v>9</v>
      </c>
      <c r="F829">
        <v>163.13999999999999</v>
      </c>
      <c r="G829" s="4">
        <v>0</v>
      </c>
      <c r="H829">
        <f t="shared" si="12"/>
        <v>0</v>
      </c>
      <c r="I829">
        <v>2</v>
      </c>
    </row>
    <row r="830" spans="1:9" ht="15.75" thickBot="1" x14ac:dyDescent="0.3">
      <c r="A830" s="1">
        <v>44197</v>
      </c>
      <c r="B830" t="s">
        <v>6</v>
      </c>
      <c r="C830" t="s">
        <v>7</v>
      </c>
      <c r="D830" t="s">
        <v>365</v>
      </c>
      <c r="E830" t="s">
        <v>24</v>
      </c>
      <c r="F830">
        <v>1250</v>
      </c>
      <c r="G830" s="3">
        <v>0</v>
      </c>
      <c r="H830">
        <f t="shared" si="12"/>
        <v>0</v>
      </c>
      <c r="I830">
        <v>1</v>
      </c>
    </row>
    <row r="831" spans="1:9" ht="15.75" thickBot="1" x14ac:dyDescent="0.3">
      <c r="A831" s="1">
        <v>44197</v>
      </c>
      <c r="B831" t="s">
        <v>6</v>
      </c>
      <c r="C831" t="s">
        <v>7</v>
      </c>
      <c r="D831" t="s">
        <v>365</v>
      </c>
      <c r="E831" t="s">
        <v>12</v>
      </c>
      <c r="F831">
        <v>33360.31</v>
      </c>
      <c r="G831" s="5">
        <v>978183.17299999995</v>
      </c>
      <c r="H831">
        <f t="shared" si="12"/>
        <v>978.1831729999999</v>
      </c>
      <c r="I831">
        <v>7</v>
      </c>
    </row>
    <row r="832" spans="1:9" ht="15.75" thickBot="1" x14ac:dyDescent="0.3">
      <c r="A832" s="1">
        <v>44197</v>
      </c>
      <c r="B832" t="s">
        <v>6</v>
      </c>
      <c r="C832" t="s">
        <v>7</v>
      </c>
      <c r="D832" t="s">
        <v>365</v>
      </c>
      <c r="E832" t="s">
        <v>9</v>
      </c>
      <c r="F832">
        <v>14505.35</v>
      </c>
      <c r="G832" s="5">
        <v>614000</v>
      </c>
      <c r="H832">
        <f t="shared" si="12"/>
        <v>614000</v>
      </c>
      <c r="I832">
        <v>2</v>
      </c>
    </row>
    <row r="833" spans="1:9" ht="15.75" thickBot="1" x14ac:dyDescent="0.3">
      <c r="A833" s="1">
        <v>44197</v>
      </c>
      <c r="B833" t="s">
        <v>6</v>
      </c>
      <c r="C833" t="s">
        <v>7</v>
      </c>
      <c r="D833" t="s">
        <v>366</v>
      </c>
      <c r="E833" t="s">
        <v>14</v>
      </c>
      <c r="F833">
        <v>17363.509999999998</v>
      </c>
      <c r="G833" s="3">
        <v>578</v>
      </c>
      <c r="H833">
        <f t="shared" si="12"/>
        <v>578</v>
      </c>
      <c r="I833">
        <v>7</v>
      </c>
    </row>
    <row r="834" spans="1:9" ht="15.75" thickBot="1" x14ac:dyDescent="0.3">
      <c r="A834" s="1">
        <v>44197</v>
      </c>
      <c r="B834" t="s">
        <v>6</v>
      </c>
      <c r="C834" t="s">
        <v>7</v>
      </c>
      <c r="D834" t="s">
        <v>366</v>
      </c>
      <c r="E834" t="s">
        <v>24</v>
      </c>
      <c r="F834">
        <v>22209</v>
      </c>
      <c r="G834" s="3">
        <v>683</v>
      </c>
      <c r="H834">
        <f t="shared" si="12"/>
        <v>683</v>
      </c>
      <c r="I834">
        <v>2</v>
      </c>
    </row>
    <row r="835" spans="1:9" ht="15.75" thickBot="1" x14ac:dyDescent="0.3">
      <c r="A835" s="1">
        <v>44197</v>
      </c>
      <c r="B835" t="s">
        <v>6</v>
      </c>
      <c r="C835" t="s">
        <v>7</v>
      </c>
      <c r="D835" t="s">
        <v>366</v>
      </c>
      <c r="E835" t="s">
        <v>12</v>
      </c>
      <c r="F835">
        <v>21772.66</v>
      </c>
      <c r="G835" s="6">
        <v>320703.35399999999</v>
      </c>
      <c r="H835">
        <f t="shared" ref="H835:H898" si="13">IF(ISNUMBER(SEARCH("Domestic customer", E835)),G835/1000,G835)</f>
        <v>320.70335399999999</v>
      </c>
      <c r="I835">
        <v>35</v>
      </c>
    </row>
    <row r="836" spans="1:9" ht="15.75" thickBot="1" x14ac:dyDescent="0.3">
      <c r="A836" s="1">
        <v>44197</v>
      </c>
      <c r="B836" t="s">
        <v>6</v>
      </c>
      <c r="C836" t="s">
        <v>7</v>
      </c>
      <c r="D836" t="s">
        <v>366</v>
      </c>
      <c r="E836" t="s">
        <v>15</v>
      </c>
      <c r="F836">
        <v>30144.36</v>
      </c>
      <c r="G836" s="3">
        <v>915</v>
      </c>
      <c r="H836">
        <f t="shared" si="13"/>
        <v>915</v>
      </c>
      <c r="I836">
        <v>2</v>
      </c>
    </row>
    <row r="837" spans="1:9" ht="15.75" thickBot="1" x14ac:dyDescent="0.3">
      <c r="A837" s="1">
        <v>44197</v>
      </c>
      <c r="B837" t="s">
        <v>6</v>
      </c>
      <c r="C837" t="s">
        <v>7</v>
      </c>
      <c r="D837" t="s">
        <v>366</v>
      </c>
      <c r="E837" t="s">
        <v>9</v>
      </c>
      <c r="F837">
        <v>82949.98</v>
      </c>
      <c r="G837" s="6">
        <v>653943.58499999996</v>
      </c>
      <c r="H837">
        <f t="shared" si="13"/>
        <v>653943.58499999996</v>
      </c>
      <c r="I837">
        <v>12</v>
      </c>
    </row>
    <row r="838" spans="1:9" ht="15.75" thickBot="1" x14ac:dyDescent="0.3">
      <c r="A838" s="1">
        <v>44197</v>
      </c>
      <c r="B838" t="s">
        <v>6</v>
      </c>
      <c r="C838" t="s">
        <v>7</v>
      </c>
      <c r="D838" t="s">
        <v>366</v>
      </c>
      <c r="E838" t="s">
        <v>17</v>
      </c>
      <c r="F838">
        <v>31530.62</v>
      </c>
      <c r="G838" s="3">
        <v>663</v>
      </c>
      <c r="H838">
        <f t="shared" si="13"/>
        <v>663</v>
      </c>
      <c r="I838">
        <v>2</v>
      </c>
    </row>
    <row r="839" spans="1:9" ht="15.75" thickBot="1" x14ac:dyDescent="0.3">
      <c r="A839" s="1">
        <v>44197</v>
      </c>
      <c r="B839" t="s">
        <v>6</v>
      </c>
      <c r="C839" t="s">
        <v>7</v>
      </c>
      <c r="D839" t="s">
        <v>367</v>
      </c>
      <c r="E839" t="s">
        <v>24</v>
      </c>
      <c r="F839">
        <v>133834.25</v>
      </c>
      <c r="G839" s="3">
        <v>4150</v>
      </c>
      <c r="H839">
        <f t="shared" si="13"/>
        <v>4150</v>
      </c>
      <c r="I839">
        <v>357</v>
      </c>
    </row>
    <row r="840" spans="1:9" ht="15.75" thickBot="1" x14ac:dyDescent="0.3">
      <c r="A840" s="1">
        <v>44197</v>
      </c>
      <c r="B840" t="s">
        <v>6</v>
      </c>
      <c r="C840" t="s">
        <v>7</v>
      </c>
      <c r="D840" t="s">
        <v>367</v>
      </c>
      <c r="E840" t="s">
        <v>12</v>
      </c>
      <c r="F840">
        <v>604.59</v>
      </c>
      <c r="G840" s="5">
        <v>24000</v>
      </c>
      <c r="H840">
        <f t="shared" si="13"/>
        <v>24</v>
      </c>
      <c r="I840">
        <v>2</v>
      </c>
    </row>
    <row r="841" spans="1:9" ht="15.75" thickBot="1" x14ac:dyDescent="0.3">
      <c r="A841" s="1">
        <v>44197</v>
      </c>
      <c r="B841" t="s">
        <v>6</v>
      </c>
      <c r="C841" t="s">
        <v>7</v>
      </c>
      <c r="D841" t="s">
        <v>367</v>
      </c>
      <c r="E841" t="s">
        <v>9</v>
      </c>
      <c r="F841">
        <v>1697.58</v>
      </c>
      <c r="G841" s="3">
        <v>55</v>
      </c>
      <c r="H841">
        <f t="shared" si="13"/>
        <v>55</v>
      </c>
      <c r="I841">
        <v>2</v>
      </c>
    </row>
    <row r="842" spans="1:9" ht="15.75" thickBot="1" x14ac:dyDescent="0.3">
      <c r="A842" s="1">
        <v>44197</v>
      </c>
      <c r="B842" t="s">
        <v>6</v>
      </c>
      <c r="C842" t="s">
        <v>7</v>
      </c>
      <c r="D842" t="s">
        <v>368</v>
      </c>
      <c r="E842" t="s">
        <v>15</v>
      </c>
      <c r="F842">
        <v>563.91999999999996</v>
      </c>
      <c r="G842" s="3">
        <v>6</v>
      </c>
      <c r="H842">
        <f t="shared" si="13"/>
        <v>6</v>
      </c>
      <c r="I842">
        <v>1</v>
      </c>
    </row>
    <row r="843" spans="1:9" ht="15.75" thickBot="1" x14ac:dyDescent="0.3">
      <c r="A843" s="1">
        <v>44197</v>
      </c>
      <c r="B843" t="s">
        <v>6</v>
      </c>
      <c r="C843" t="s">
        <v>7</v>
      </c>
      <c r="D843" t="s">
        <v>369</v>
      </c>
      <c r="E843" t="s">
        <v>12</v>
      </c>
      <c r="F843">
        <v>174.55</v>
      </c>
      <c r="G843" s="5">
        <v>5000</v>
      </c>
      <c r="H843">
        <f t="shared" si="13"/>
        <v>5</v>
      </c>
      <c r="I843">
        <v>1</v>
      </c>
    </row>
    <row r="844" spans="1:9" ht="15.75" thickBot="1" x14ac:dyDescent="0.3">
      <c r="A844" s="1">
        <v>44197</v>
      </c>
      <c r="B844" t="s">
        <v>6</v>
      </c>
      <c r="C844" t="s">
        <v>7</v>
      </c>
      <c r="D844" t="s">
        <v>370</v>
      </c>
      <c r="E844" t="s">
        <v>9</v>
      </c>
      <c r="F844">
        <v>654.97</v>
      </c>
      <c r="G844" s="5">
        <v>22000</v>
      </c>
      <c r="H844">
        <f t="shared" si="13"/>
        <v>22000</v>
      </c>
      <c r="I844">
        <v>1</v>
      </c>
    </row>
    <row r="845" spans="1:9" ht="15.75" thickBot="1" x14ac:dyDescent="0.3">
      <c r="A845" s="1">
        <v>44197</v>
      </c>
      <c r="B845" t="s">
        <v>6</v>
      </c>
      <c r="C845" t="s">
        <v>7</v>
      </c>
      <c r="D845" t="s">
        <v>371</v>
      </c>
      <c r="E845" t="s">
        <v>14</v>
      </c>
      <c r="F845">
        <v>9217.7999999999993</v>
      </c>
      <c r="G845" s="3">
        <v>40</v>
      </c>
      <c r="H845">
        <f t="shared" si="13"/>
        <v>40</v>
      </c>
      <c r="I845">
        <v>2</v>
      </c>
    </row>
    <row r="846" spans="1:9" ht="15.75" thickBot="1" x14ac:dyDescent="0.3">
      <c r="A846" s="1">
        <v>44197</v>
      </c>
      <c r="B846" t="s">
        <v>6</v>
      </c>
      <c r="C846" t="s">
        <v>7</v>
      </c>
      <c r="D846" t="s">
        <v>371</v>
      </c>
      <c r="E846" t="s">
        <v>9</v>
      </c>
      <c r="F846">
        <v>81.569999999999993</v>
      </c>
      <c r="G846" s="4">
        <v>0</v>
      </c>
      <c r="H846">
        <f t="shared" si="13"/>
        <v>0</v>
      </c>
      <c r="I846">
        <v>1</v>
      </c>
    </row>
    <row r="847" spans="1:9" ht="15.75" thickBot="1" x14ac:dyDescent="0.3">
      <c r="A847" s="1">
        <v>44197</v>
      </c>
      <c r="B847" t="s">
        <v>6</v>
      </c>
      <c r="C847" t="s">
        <v>7</v>
      </c>
      <c r="D847" t="s">
        <v>372</v>
      </c>
      <c r="E847" t="s">
        <v>9</v>
      </c>
      <c r="F847">
        <v>13723.6</v>
      </c>
      <c r="G847" s="5">
        <v>245000</v>
      </c>
      <c r="H847">
        <f t="shared" si="13"/>
        <v>245000</v>
      </c>
      <c r="I847">
        <v>1</v>
      </c>
    </row>
    <row r="848" spans="1:9" ht="15.75" thickBot="1" x14ac:dyDescent="0.3">
      <c r="A848" s="1">
        <v>44197</v>
      </c>
      <c r="B848" t="s">
        <v>6</v>
      </c>
      <c r="C848" t="s">
        <v>7</v>
      </c>
      <c r="D848" t="s">
        <v>373</v>
      </c>
      <c r="E848" t="s">
        <v>12</v>
      </c>
      <c r="F848">
        <v>4145.22</v>
      </c>
      <c r="G848" s="5">
        <v>136065.70000000001</v>
      </c>
      <c r="H848">
        <f t="shared" si="13"/>
        <v>136.06570000000002</v>
      </c>
      <c r="I848">
        <v>9</v>
      </c>
    </row>
    <row r="849" spans="1:9" ht="15.75" thickBot="1" x14ac:dyDescent="0.3">
      <c r="A849" s="1">
        <v>44197</v>
      </c>
      <c r="B849" t="s">
        <v>6</v>
      </c>
      <c r="C849" t="s">
        <v>7</v>
      </c>
      <c r="D849" t="s">
        <v>373</v>
      </c>
      <c r="E849" t="s">
        <v>17</v>
      </c>
      <c r="F849">
        <v>375.54</v>
      </c>
      <c r="G849" s="5">
        <v>18000</v>
      </c>
      <c r="H849">
        <f t="shared" si="13"/>
        <v>18000</v>
      </c>
      <c r="I849">
        <v>2</v>
      </c>
    </row>
    <row r="850" spans="1:9" ht="15.75" thickBot="1" x14ac:dyDescent="0.3">
      <c r="A850" s="1">
        <v>44197</v>
      </c>
      <c r="B850" t="s">
        <v>6</v>
      </c>
      <c r="C850" t="s">
        <v>7</v>
      </c>
      <c r="D850" t="s">
        <v>374</v>
      </c>
      <c r="E850" t="s">
        <v>14</v>
      </c>
      <c r="F850">
        <v>2049.73</v>
      </c>
      <c r="G850" s="3">
        <v>16</v>
      </c>
      <c r="H850">
        <f t="shared" si="13"/>
        <v>16</v>
      </c>
      <c r="I850">
        <v>1</v>
      </c>
    </row>
    <row r="851" spans="1:9" ht="15.75" thickBot="1" x14ac:dyDescent="0.3">
      <c r="A851" s="1">
        <v>44197</v>
      </c>
      <c r="B851" t="s">
        <v>6</v>
      </c>
      <c r="C851" t="s">
        <v>7</v>
      </c>
      <c r="D851" t="s">
        <v>374</v>
      </c>
      <c r="E851" t="s">
        <v>24</v>
      </c>
      <c r="F851">
        <v>100</v>
      </c>
      <c r="G851" s="3">
        <v>0</v>
      </c>
      <c r="H851">
        <f t="shared" si="13"/>
        <v>0</v>
      </c>
      <c r="I851">
        <v>1</v>
      </c>
    </row>
    <row r="852" spans="1:9" ht="15.75" thickBot="1" x14ac:dyDescent="0.3">
      <c r="A852" s="1">
        <v>44197</v>
      </c>
      <c r="B852" t="s">
        <v>6</v>
      </c>
      <c r="C852" t="s">
        <v>7</v>
      </c>
      <c r="D852" t="s">
        <v>374</v>
      </c>
      <c r="E852" t="s">
        <v>12</v>
      </c>
      <c r="F852">
        <v>29619.53</v>
      </c>
      <c r="G852" s="5">
        <v>1420799.6410000001</v>
      </c>
      <c r="H852">
        <f t="shared" si="13"/>
        <v>1420.7996410000001</v>
      </c>
      <c r="I852">
        <v>23</v>
      </c>
    </row>
    <row r="853" spans="1:9" ht="15.75" thickBot="1" x14ac:dyDescent="0.3">
      <c r="A853" s="1">
        <v>44197</v>
      </c>
      <c r="B853" t="s">
        <v>6</v>
      </c>
      <c r="C853" t="s">
        <v>7</v>
      </c>
      <c r="D853" t="s">
        <v>374</v>
      </c>
      <c r="E853" t="s">
        <v>15</v>
      </c>
      <c r="F853">
        <v>112094.66</v>
      </c>
      <c r="G853" s="3">
        <v>4044</v>
      </c>
      <c r="H853">
        <f t="shared" si="13"/>
        <v>4044</v>
      </c>
      <c r="I853">
        <v>1</v>
      </c>
    </row>
    <row r="854" spans="1:9" ht="15.75" thickBot="1" x14ac:dyDescent="0.3">
      <c r="A854" s="1">
        <v>44197</v>
      </c>
      <c r="B854" t="s">
        <v>6</v>
      </c>
      <c r="C854" t="s">
        <v>7</v>
      </c>
      <c r="D854" t="s">
        <v>374</v>
      </c>
      <c r="E854" t="s">
        <v>9</v>
      </c>
      <c r="F854">
        <v>26334.83</v>
      </c>
      <c r="G854" s="6">
        <v>967092.33700000006</v>
      </c>
      <c r="H854">
        <f t="shared" si="13"/>
        <v>967092.33700000006</v>
      </c>
      <c r="I854">
        <v>24</v>
      </c>
    </row>
    <row r="855" spans="1:9" ht="15.75" thickBot="1" x14ac:dyDescent="0.3">
      <c r="A855" s="1">
        <v>44197</v>
      </c>
      <c r="B855" t="s">
        <v>6</v>
      </c>
      <c r="C855" t="s">
        <v>7</v>
      </c>
      <c r="D855" t="s">
        <v>374</v>
      </c>
      <c r="E855" t="s">
        <v>17</v>
      </c>
      <c r="F855">
        <v>181.96</v>
      </c>
      <c r="G855" s="3">
        <v>3</v>
      </c>
      <c r="H855">
        <f t="shared" si="13"/>
        <v>3</v>
      </c>
      <c r="I855">
        <v>1</v>
      </c>
    </row>
    <row r="856" spans="1:9" ht="15.75" thickBot="1" x14ac:dyDescent="0.3">
      <c r="A856" s="1">
        <v>44197</v>
      </c>
      <c r="B856" t="s">
        <v>6</v>
      </c>
      <c r="C856" t="s">
        <v>7</v>
      </c>
      <c r="D856" t="s">
        <v>375</v>
      </c>
      <c r="E856" t="s">
        <v>12</v>
      </c>
      <c r="F856">
        <v>1378.78</v>
      </c>
      <c r="G856" s="5">
        <v>47000</v>
      </c>
      <c r="H856">
        <f t="shared" si="13"/>
        <v>47</v>
      </c>
      <c r="I856">
        <v>2</v>
      </c>
    </row>
    <row r="857" spans="1:9" ht="15.75" thickBot="1" x14ac:dyDescent="0.3">
      <c r="A857" s="1">
        <v>44197</v>
      </c>
      <c r="B857" t="s">
        <v>6</v>
      </c>
      <c r="C857" t="s">
        <v>7</v>
      </c>
      <c r="D857" t="s">
        <v>376</v>
      </c>
      <c r="E857" t="s">
        <v>9</v>
      </c>
      <c r="F857">
        <v>81.569999999999993</v>
      </c>
      <c r="G857" s="4">
        <v>0</v>
      </c>
      <c r="H857">
        <f t="shared" si="13"/>
        <v>0</v>
      </c>
      <c r="I857">
        <v>1</v>
      </c>
    </row>
    <row r="858" spans="1:9" ht="15.75" thickBot="1" x14ac:dyDescent="0.3">
      <c r="A858" s="1">
        <v>44197</v>
      </c>
      <c r="B858" t="s">
        <v>6</v>
      </c>
      <c r="C858" t="s">
        <v>7</v>
      </c>
      <c r="D858" t="s">
        <v>377</v>
      </c>
      <c r="E858" t="s">
        <v>14</v>
      </c>
      <c r="F858">
        <v>7691.24</v>
      </c>
      <c r="G858" s="3">
        <v>152</v>
      </c>
      <c r="H858">
        <f t="shared" si="13"/>
        <v>152</v>
      </c>
      <c r="I858">
        <v>3</v>
      </c>
    </row>
    <row r="859" spans="1:9" ht="15.75" thickBot="1" x14ac:dyDescent="0.3">
      <c r="A859" s="1">
        <v>44197</v>
      </c>
      <c r="B859" t="s">
        <v>6</v>
      </c>
      <c r="C859" t="s">
        <v>7</v>
      </c>
      <c r="D859" t="s">
        <v>377</v>
      </c>
      <c r="E859" t="s">
        <v>15</v>
      </c>
      <c r="F859">
        <v>4640.4399999999996</v>
      </c>
      <c r="G859" s="3">
        <v>156</v>
      </c>
      <c r="H859">
        <f t="shared" si="13"/>
        <v>156</v>
      </c>
      <c r="I859">
        <v>5</v>
      </c>
    </row>
    <row r="860" spans="1:9" ht="15.75" thickBot="1" x14ac:dyDescent="0.3">
      <c r="A860" s="1">
        <v>44197</v>
      </c>
      <c r="B860" t="s">
        <v>6</v>
      </c>
      <c r="C860" t="s">
        <v>7</v>
      </c>
      <c r="D860" t="s">
        <v>377</v>
      </c>
      <c r="E860" t="s">
        <v>9</v>
      </c>
      <c r="F860">
        <v>163.13999999999999</v>
      </c>
      <c r="G860" s="4">
        <v>0</v>
      </c>
      <c r="H860">
        <f t="shared" si="13"/>
        <v>0</v>
      </c>
      <c r="I860">
        <v>2</v>
      </c>
    </row>
    <row r="861" spans="1:9" ht="15.75" thickBot="1" x14ac:dyDescent="0.3">
      <c r="A861" s="1">
        <v>44197</v>
      </c>
      <c r="B861" t="s">
        <v>6</v>
      </c>
      <c r="C861" t="s">
        <v>7</v>
      </c>
      <c r="D861" t="s">
        <v>378</v>
      </c>
      <c r="E861" t="s">
        <v>9</v>
      </c>
      <c r="F861">
        <v>3061.2</v>
      </c>
      <c r="G861" s="3">
        <v>110</v>
      </c>
      <c r="H861">
        <f t="shared" si="13"/>
        <v>110</v>
      </c>
      <c r="I861">
        <v>1</v>
      </c>
    </row>
    <row r="862" spans="1:9" ht="15.75" thickBot="1" x14ac:dyDescent="0.3">
      <c r="A862" s="1">
        <v>44197</v>
      </c>
      <c r="B862" t="s">
        <v>6</v>
      </c>
      <c r="C862" t="s">
        <v>7</v>
      </c>
      <c r="D862" t="s">
        <v>379</v>
      </c>
      <c r="E862" t="s">
        <v>14</v>
      </c>
      <c r="F862">
        <v>100</v>
      </c>
      <c r="G862" s="3">
        <v>0</v>
      </c>
      <c r="H862">
        <f t="shared" si="13"/>
        <v>0</v>
      </c>
      <c r="I862">
        <v>1</v>
      </c>
    </row>
    <row r="863" spans="1:9" ht="15.75" thickBot="1" x14ac:dyDescent="0.3">
      <c r="A863" s="1">
        <v>44197</v>
      </c>
      <c r="B863" t="s">
        <v>6</v>
      </c>
      <c r="C863" t="s">
        <v>7</v>
      </c>
      <c r="D863" t="s">
        <v>379</v>
      </c>
      <c r="E863" t="s">
        <v>24</v>
      </c>
      <c r="F863">
        <v>7940.84</v>
      </c>
      <c r="G863" s="3">
        <v>287</v>
      </c>
      <c r="H863">
        <f t="shared" si="13"/>
        <v>287</v>
      </c>
      <c r="I863">
        <v>1</v>
      </c>
    </row>
    <row r="864" spans="1:9" ht="15.75" thickBot="1" x14ac:dyDescent="0.3">
      <c r="A864" s="1">
        <v>44197</v>
      </c>
      <c r="B864" t="s">
        <v>6</v>
      </c>
      <c r="C864" t="s">
        <v>7</v>
      </c>
      <c r="D864" t="s">
        <v>379</v>
      </c>
      <c r="E864" t="s">
        <v>12</v>
      </c>
      <c r="F864">
        <v>14057.32</v>
      </c>
      <c r="G864" s="5">
        <v>341000</v>
      </c>
      <c r="H864">
        <f t="shared" si="13"/>
        <v>341</v>
      </c>
      <c r="I864">
        <v>9</v>
      </c>
    </row>
    <row r="865" spans="1:9" ht="15.75" thickBot="1" x14ac:dyDescent="0.3">
      <c r="A865" s="1">
        <v>44197</v>
      </c>
      <c r="B865" t="s">
        <v>6</v>
      </c>
      <c r="C865" t="s">
        <v>7</v>
      </c>
      <c r="D865" t="s">
        <v>379</v>
      </c>
      <c r="E865" t="s">
        <v>9</v>
      </c>
      <c r="F865">
        <v>163.13999999999999</v>
      </c>
      <c r="G865" s="4">
        <v>0</v>
      </c>
      <c r="H865">
        <f t="shared" si="13"/>
        <v>0</v>
      </c>
      <c r="I865">
        <v>2</v>
      </c>
    </row>
    <row r="866" spans="1:9" ht="15.75" thickBot="1" x14ac:dyDescent="0.3">
      <c r="A866" s="1">
        <v>44197</v>
      </c>
      <c r="B866" t="s">
        <v>6</v>
      </c>
      <c r="C866" t="s">
        <v>7</v>
      </c>
      <c r="D866" t="s">
        <v>379</v>
      </c>
      <c r="E866" t="s">
        <v>17</v>
      </c>
      <c r="F866">
        <v>431.19</v>
      </c>
      <c r="G866" s="5">
        <v>16000</v>
      </c>
      <c r="H866">
        <f t="shared" si="13"/>
        <v>16000</v>
      </c>
      <c r="I866">
        <v>1</v>
      </c>
    </row>
    <row r="867" spans="1:9" ht="15.75" thickBot="1" x14ac:dyDescent="0.3">
      <c r="A867" s="1">
        <v>44197</v>
      </c>
      <c r="B867" t="s">
        <v>6</v>
      </c>
      <c r="C867" t="s">
        <v>7</v>
      </c>
      <c r="D867" t="s">
        <v>380</v>
      </c>
      <c r="E867" t="s">
        <v>9</v>
      </c>
      <c r="F867">
        <v>100</v>
      </c>
      <c r="G867" s="3">
        <v>0</v>
      </c>
      <c r="H867">
        <f t="shared" si="13"/>
        <v>0</v>
      </c>
      <c r="I867">
        <v>1</v>
      </c>
    </row>
    <row r="868" spans="1:9" ht="15.75" thickBot="1" x14ac:dyDescent="0.3">
      <c r="A868" s="1">
        <v>44197</v>
      </c>
      <c r="B868" t="s">
        <v>6</v>
      </c>
      <c r="C868" t="s">
        <v>7</v>
      </c>
      <c r="D868" t="s">
        <v>381</v>
      </c>
      <c r="E868" t="s">
        <v>14</v>
      </c>
      <c r="F868">
        <v>78655.570000000007</v>
      </c>
      <c r="G868" s="3">
        <v>2400</v>
      </c>
      <c r="H868">
        <f t="shared" si="13"/>
        <v>2400</v>
      </c>
      <c r="I868">
        <v>7</v>
      </c>
    </row>
    <row r="869" spans="1:9" ht="15.75" thickBot="1" x14ac:dyDescent="0.3">
      <c r="A869" s="1">
        <v>44197</v>
      </c>
      <c r="B869" t="s">
        <v>6</v>
      </c>
      <c r="C869" t="s">
        <v>7</v>
      </c>
      <c r="D869" t="s">
        <v>381</v>
      </c>
      <c r="E869" t="s">
        <v>12</v>
      </c>
      <c r="F869">
        <v>506905.89</v>
      </c>
      <c r="G869" s="6">
        <v>16772421.952</v>
      </c>
      <c r="H869">
        <f t="shared" si="13"/>
        <v>16772.421952000001</v>
      </c>
      <c r="I869">
        <v>1150</v>
      </c>
    </row>
    <row r="870" spans="1:9" ht="15.75" thickBot="1" x14ac:dyDescent="0.3">
      <c r="A870" s="1">
        <v>44197</v>
      </c>
      <c r="B870" t="s">
        <v>6</v>
      </c>
      <c r="C870" t="s">
        <v>7</v>
      </c>
      <c r="D870" t="s">
        <v>381</v>
      </c>
      <c r="E870" t="s">
        <v>9</v>
      </c>
      <c r="F870">
        <v>33622.01</v>
      </c>
      <c r="G870" s="6">
        <v>839024</v>
      </c>
      <c r="H870">
        <f t="shared" si="13"/>
        <v>839024</v>
      </c>
      <c r="I870">
        <v>102</v>
      </c>
    </row>
    <row r="871" spans="1:9" ht="15.75" thickBot="1" x14ac:dyDescent="0.3">
      <c r="A871" s="1">
        <v>44197</v>
      </c>
      <c r="B871" t="s">
        <v>6</v>
      </c>
      <c r="C871" t="s">
        <v>7</v>
      </c>
      <c r="D871" t="s">
        <v>381</v>
      </c>
      <c r="E871" t="s">
        <v>17</v>
      </c>
      <c r="F871">
        <v>9028.74</v>
      </c>
      <c r="G871" s="6">
        <v>86139</v>
      </c>
      <c r="H871">
        <f t="shared" si="13"/>
        <v>86139</v>
      </c>
      <c r="I871">
        <v>11</v>
      </c>
    </row>
    <row r="872" spans="1:9" ht="15.75" thickBot="1" x14ac:dyDescent="0.3">
      <c r="A872" s="1">
        <v>44197</v>
      </c>
      <c r="B872" t="s">
        <v>6</v>
      </c>
      <c r="C872" t="s">
        <v>7</v>
      </c>
      <c r="D872" t="s">
        <v>382</v>
      </c>
      <c r="E872" t="s">
        <v>12</v>
      </c>
      <c r="F872">
        <v>382.88</v>
      </c>
      <c r="G872" s="5">
        <v>16000</v>
      </c>
      <c r="H872">
        <f t="shared" si="13"/>
        <v>16</v>
      </c>
      <c r="I872">
        <v>1</v>
      </c>
    </row>
    <row r="873" spans="1:9" ht="15.75" thickBot="1" x14ac:dyDescent="0.3">
      <c r="A873" s="1">
        <v>44197</v>
      </c>
      <c r="B873" t="s">
        <v>6</v>
      </c>
      <c r="C873" t="s">
        <v>7</v>
      </c>
      <c r="D873" t="s">
        <v>383</v>
      </c>
      <c r="E873" t="s">
        <v>14</v>
      </c>
      <c r="F873">
        <v>6608.56</v>
      </c>
      <c r="G873" s="3">
        <v>187</v>
      </c>
      <c r="H873">
        <f t="shared" si="13"/>
        <v>187</v>
      </c>
      <c r="I873">
        <v>4</v>
      </c>
    </row>
    <row r="874" spans="1:9" ht="15.75" thickBot="1" x14ac:dyDescent="0.3">
      <c r="A874" s="1">
        <v>44197</v>
      </c>
      <c r="B874" t="s">
        <v>6</v>
      </c>
      <c r="C874" t="s">
        <v>7</v>
      </c>
      <c r="D874" t="s">
        <v>383</v>
      </c>
      <c r="E874" t="s">
        <v>24</v>
      </c>
      <c r="F874">
        <v>731.08</v>
      </c>
      <c r="G874" s="3">
        <v>12</v>
      </c>
      <c r="H874">
        <f t="shared" si="13"/>
        <v>12</v>
      </c>
      <c r="I874">
        <v>1</v>
      </c>
    </row>
    <row r="875" spans="1:9" ht="15.75" thickBot="1" x14ac:dyDescent="0.3">
      <c r="A875" s="1">
        <v>44197</v>
      </c>
      <c r="B875" t="s">
        <v>6</v>
      </c>
      <c r="C875" t="s">
        <v>7</v>
      </c>
      <c r="D875" t="s">
        <v>383</v>
      </c>
      <c r="E875" t="s">
        <v>12</v>
      </c>
      <c r="F875">
        <v>11506.21</v>
      </c>
      <c r="G875" s="5">
        <v>608000</v>
      </c>
      <c r="H875">
        <f t="shared" si="13"/>
        <v>608</v>
      </c>
      <c r="I875">
        <v>6</v>
      </c>
    </row>
    <row r="876" spans="1:9" ht="15.75" thickBot="1" x14ac:dyDescent="0.3">
      <c r="A876" s="1">
        <v>44197</v>
      </c>
      <c r="B876" t="s">
        <v>6</v>
      </c>
      <c r="C876" t="s">
        <v>7</v>
      </c>
      <c r="D876" t="s">
        <v>384</v>
      </c>
      <c r="E876" t="s">
        <v>14</v>
      </c>
      <c r="F876">
        <v>12548.45</v>
      </c>
      <c r="G876" s="3">
        <v>368</v>
      </c>
      <c r="H876">
        <f t="shared" si="13"/>
        <v>368</v>
      </c>
      <c r="I876">
        <v>4</v>
      </c>
    </row>
    <row r="877" spans="1:9" ht="15.75" thickBot="1" x14ac:dyDescent="0.3">
      <c r="A877" s="1">
        <v>44197</v>
      </c>
      <c r="B877" t="s">
        <v>6</v>
      </c>
      <c r="C877" t="s">
        <v>7</v>
      </c>
      <c r="D877" t="s">
        <v>384</v>
      </c>
      <c r="E877" t="s">
        <v>17</v>
      </c>
      <c r="F877">
        <v>1787.28</v>
      </c>
      <c r="G877" s="3">
        <v>54</v>
      </c>
      <c r="H877">
        <f t="shared" si="13"/>
        <v>54</v>
      </c>
      <c r="I877">
        <v>1</v>
      </c>
    </row>
    <row r="878" spans="1:9" ht="15.75" thickBot="1" x14ac:dyDescent="0.3">
      <c r="A878" s="1">
        <v>44197</v>
      </c>
      <c r="B878" t="s">
        <v>6</v>
      </c>
      <c r="C878" t="s">
        <v>7</v>
      </c>
      <c r="D878" t="s">
        <v>385</v>
      </c>
      <c r="E878" t="s">
        <v>14</v>
      </c>
      <c r="F878">
        <v>9026.1200000000008</v>
      </c>
      <c r="G878" s="3">
        <v>216</v>
      </c>
      <c r="H878">
        <f t="shared" si="13"/>
        <v>216</v>
      </c>
      <c r="I878">
        <v>1</v>
      </c>
    </row>
    <row r="879" spans="1:9" ht="15.75" thickBot="1" x14ac:dyDescent="0.3">
      <c r="A879" s="1">
        <v>44197</v>
      </c>
      <c r="B879" t="s">
        <v>6</v>
      </c>
      <c r="C879" t="s">
        <v>7</v>
      </c>
      <c r="D879" t="s">
        <v>385</v>
      </c>
      <c r="E879" t="s">
        <v>9</v>
      </c>
      <c r="F879">
        <v>81.569999999999993</v>
      </c>
      <c r="G879" s="4">
        <v>0</v>
      </c>
      <c r="H879">
        <f t="shared" si="13"/>
        <v>0</v>
      </c>
      <c r="I879">
        <v>1</v>
      </c>
    </row>
    <row r="880" spans="1:9" ht="15.75" thickBot="1" x14ac:dyDescent="0.3">
      <c r="A880" s="1">
        <v>44197</v>
      </c>
      <c r="B880" t="s">
        <v>6</v>
      </c>
      <c r="C880" t="s">
        <v>7</v>
      </c>
      <c r="D880" t="s">
        <v>386</v>
      </c>
      <c r="E880" t="s">
        <v>14</v>
      </c>
      <c r="F880">
        <v>46283.12</v>
      </c>
      <c r="G880" s="3">
        <v>1391</v>
      </c>
      <c r="H880">
        <f t="shared" si="13"/>
        <v>1391</v>
      </c>
      <c r="I880">
        <v>3</v>
      </c>
    </row>
    <row r="881" spans="1:9" ht="15.75" thickBot="1" x14ac:dyDescent="0.3">
      <c r="A881" s="1">
        <v>44197</v>
      </c>
      <c r="B881" t="s">
        <v>6</v>
      </c>
      <c r="C881" t="s">
        <v>7</v>
      </c>
      <c r="D881" t="s">
        <v>386</v>
      </c>
      <c r="E881" t="s">
        <v>15</v>
      </c>
      <c r="F881">
        <v>5388.2</v>
      </c>
      <c r="G881" s="3">
        <v>135</v>
      </c>
      <c r="H881">
        <f t="shared" si="13"/>
        <v>135</v>
      </c>
      <c r="I881">
        <v>1</v>
      </c>
    </row>
    <row r="882" spans="1:9" ht="15.75" thickBot="1" x14ac:dyDescent="0.3">
      <c r="A882" s="1">
        <v>44197</v>
      </c>
      <c r="B882" t="s">
        <v>6</v>
      </c>
      <c r="C882" t="s">
        <v>7</v>
      </c>
      <c r="D882" t="s">
        <v>387</v>
      </c>
      <c r="E882" t="s">
        <v>9</v>
      </c>
      <c r="F882">
        <v>81.569999999999993</v>
      </c>
      <c r="G882" s="4">
        <v>0</v>
      </c>
      <c r="H882">
        <f t="shared" si="13"/>
        <v>0</v>
      </c>
      <c r="I882">
        <v>1</v>
      </c>
    </row>
    <row r="883" spans="1:9" ht="15.75" thickBot="1" x14ac:dyDescent="0.3">
      <c r="A883" s="1">
        <v>44197</v>
      </c>
      <c r="B883" t="s">
        <v>6</v>
      </c>
      <c r="C883" t="s">
        <v>7</v>
      </c>
      <c r="D883" t="s">
        <v>388</v>
      </c>
      <c r="E883" t="s">
        <v>14</v>
      </c>
      <c r="F883">
        <v>181.96</v>
      </c>
      <c r="G883" s="3">
        <v>3</v>
      </c>
      <c r="H883">
        <f t="shared" si="13"/>
        <v>3</v>
      </c>
      <c r="I883">
        <v>1</v>
      </c>
    </row>
    <row r="884" spans="1:9" ht="15.75" thickBot="1" x14ac:dyDescent="0.3">
      <c r="A884" s="1">
        <v>44197</v>
      </c>
      <c r="B884" t="s">
        <v>6</v>
      </c>
      <c r="C884" t="s">
        <v>7</v>
      </c>
      <c r="D884" t="s">
        <v>388</v>
      </c>
      <c r="E884" t="s">
        <v>12</v>
      </c>
      <c r="F884">
        <v>19399.62</v>
      </c>
      <c r="G884" s="5">
        <v>786519.723</v>
      </c>
      <c r="H884">
        <f t="shared" si="13"/>
        <v>786.519723</v>
      </c>
      <c r="I884">
        <v>8</v>
      </c>
    </row>
    <row r="885" spans="1:9" ht="15.75" thickBot="1" x14ac:dyDescent="0.3">
      <c r="A885" s="1">
        <v>44197</v>
      </c>
      <c r="B885" t="s">
        <v>6</v>
      </c>
      <c r="C885" t="s">
        <v>7</v>
      </c>
      <c r="D885" t="s">
        <v>388</v>
      </c>
      <c r="E885" t="s">
        <v>9</v>
      </c>
      <c r="F885">
        <v>26348.639999999999</v>
      </c>
      <c r="G885" s="5">
        <v>613000</v>
      </c>
      <c r="H885">
        <f t="shared" si="13"/>
        <v>613000</v>
      </c>
      <c r="I885">
        <v>1</v>
      </c>
    </row>
    <row r="886" spans="1:9" ht="15.75" thickBot="1" x14ac:dyDescent="0.3">
      <c r="A886" s="1">
        <v>44197</v>
      </c>
      <c r="B886" t="s">
        <v>6</v>
      </c>
      <c r="C886" t="s">
        <v>7</v>
      </c>
      <c r="D886" t="s">
        <v>389</v>
      </c>
      <c r="E886" t="s">
        <v>9</v>
      </c>
      <c r="F886">
        <v>56</v>
      </c>
      <c r="G886" s="3">
        <v>0</v>
      </c>
      <c r="H886">
        <f t="shared" si="13"/>
        <v>0</v>
      </c>
      <c r="I886">
        <v>1</v>
      </c>
    </row>
    <row r="887" spans="1:9" ht="15.75" thickBot="1" x14ac:dyDescent="0.3">
      <c r="A887" s="1">
        <v>44197</v>
      </c>
      <c r="B887" t="s">
        <v>6</v>
      </c>
      <c r="C887" t="s">
        <v>7</v>
      </c>
      <c r="D887" t="s">
        <v>390</v>
      </c>
      <c r="E887" t="s">
        <v>12</v>
      </c>
      <c r="F887">
        <v>156</v>
      </c>
      <c r="G887" s="5">
        <v>0</v>
      </c>
      <c r="H887">
        <f t="shared" si="13"/>
        <v>0</v>
      </c>
      <c r="I887">
        <v>1</v>
      </c>
    </row>
    <row r="888" spans="1:9" ht="15.75" thickBot="1" x14ac:dyDescent="0.3">
      <c r="A888" s="1">
        <v>44197</v>
      </c>
      <c r="B888" t="s">
        <v>6</v>
      </c>
      <c r="C888" t="s">
        <v>7</v>
      </c>
      <c r="D888" t="s">
        <v>391</v>
      </c>
      <c r="E888" t="s">
        <v>12</v>
      </c>
      <c r="F888">
        <v>2250.17</v>
      </c>
      <c r="G888" s="5">
        <v>118000</v>
      </c>
      <c r="H888">
        <f t="shared" si="13"/>
        <v>118</v>
      </c>
      <c r="I888">
        <v>4</v>
      </c>
    </row>
    <row r="889" spans="1:9" ht="15.75" thickBot="1" x14ac:dyDescent="0.3">
      <c r="A889" s="1">
        <v>44197</v>
      </c>
      <c r="B889" t="s">
        <v>6</v>
      </c>
      <c r="C889" t="s">
        <v>7</v>
      </c>
      <c r="D889" t="s">
        <v>391</v>
      </c>
      <c r="E889" t="s">
        <v>9</v>
      </c>
      <c r="F889">
        <v>163.13999999999999</v>
      </c>
      <c r="G889" s="4">
        <v>0</v>
      </c>
      <c r="H889">
        <f t="shared" si="13"/>
        <v>0</v>
      </c>
      <c r="I889">
        <v>2</v>
      </c>
    </row>
    <row r="890" spans="1:9" ht="15.75" thickBot="1" x14ac:dyDescent="0.3">
      <c r="A890" s="1">
        <v>44197</v>
      </c>
      <c r="B890" t="s">
        <v>6</v>
      </c>
      <c r="C890" t="s">
        <v>7</v>
      </c>
      <c r="D890" t="s">
        <v>392</v>
      </c>
      <c r="E890" t="s">
        <v>12</v>
      </c>
      <c r="F890">
        <v>129.82</v>
      </c>
      <c r="G890" s="5">
        <v>2000</v>
      </c>
      <c r="H890">
        <f t="shared" si="13"/>
        <v>2</v>
      </c>
      <c r="I890">
        <v>1</v>
      </c>
    </row>
    <row r="891" spans="1:9" ht="15.75" thickBot="1" x14ac:dyDescent="0.3">
      <c r="A891" s="1">
        <v>44197</v>
      </c>
      <c r="B891" t="s">
        <v>6</v>
      </c>
      <c r="C891" t="s">
        <v>7</v>
      </c>
      <c r="D891" t="s">
        <v>393</v>
      </c>
      <c r="E891" t="s">
        <v>12</v>
      </c>
      <c r="F891">
        <v>407.85</v>
      </c>
      <c r="G891" s="4">
        <v>0</v>
      </c>
      <c r="H891">
        <f t="shared" si="13"/>
        <v>0</v>
      </c>
      <c r="I891">
        <v>5</v>
      </c>
    </row>
    <row r="892" spans="1:9" ht="15.75" thickBot="1" x14ac:dyDescent="0.3">
      <c r="A892" s="1">
        <v>44197</v>
      </c>
      <c r="B892" t="s">
        <v>6</v>
      </c>
      <c r="C892" t="s">
        <v>7</v>
      </c>
      <c r="D892" t="s">
        <v>394</v>
      </c>
      <c r="E892" t="s">
        <v>9</v>
      </c>
      <c r="F892">
        <v>196.28</v>
      </c>
      <c r="G892" s="5">
        <v>6000</v>
      </c>
      <c r="H892">
        <f t="shared" si="13"/>
        <v>6000</v>
      </c>
      <c r="I892">
        <v>1</v>
      </c>
    </row>
    <row r="893" spans="1:9" ht="15.75" thickBot="1" x14ac:dyDescent="0.3">
      <c r="A893" s="1">
        <v>44197</v>
      </c>
      <c r="B893" t="s">
        <v>6</v>
      </c>
      <c r="C893" t="s">
        <v>7</v>
      </c>
      <c r="D893" t="s">
        <v>395</v>
      </c>
      <c r="E893" t="s">
        <v>14</v>
      </c>
      <c r="F893">
        <v>21471.88</v>
      </c>
      <c r="G893" s="3">
        <v>704</v>
      </c>
      <c r="H893">
        <f t="shared" si="13"/>
        <v>704</v>
      </c>
      <c r="I893">
        <v>1</v>
      </c>
    </row>
    <row r="894" spans="1:9" ht="15.75" thickBot="1" x14ac:dyDescent="0.3">
      <c r="A894" s="1">
        <v>44197</v>
      </c>
      <c r="B894" t="s">
        <v>6</v>
      </c>
      <c r="C894" t="s">
        <v>7</v>
      </c>
      <c r="D894" t="s">
        <v>395</v>
      </c>
      <c r="E894" t="s">
        <v>24</v>
      </c>
      <c r="F894">
        <v>20680.96</v>
      </c>
      <c r="G894" s="3">
        <v>582</v>
      </c>
      <c r="H894">
        <f t="shared" si="13"/>
        <v>582</v>
      </c>
      <c r="I894">
        <v>73</v>
      </c>
    </row>
    <row r="895" spans="1:9" ht="15.75" thickBot="1" x14ac:dyDescent="0.3">
      <c r="A895" s="1">
        <v>44197</v>
      </c>
      <c r="B895" t="s">
        <v>6</v>
      </c>
      <c r="C895" t="s">
        <v>7</v>
      </c>
      <c r="D895" t="s">
        <v>395</v>
      </c>
      <c r="E895" t="s">
        <v>12</v>
      </c>
      <c r="F895">
        <v>317310.03999999998</v>
      </c>
      <c r="G895" s="6">
        <v>18894159.971999999</v>
      </c>
      <c r="H895">
        <f t="shared" si="13"/>
        <v>18894.159971999998</v>
      </c>
      <c r="I895">
        <v>2934</v>
      </c>
    </row>
    <row r="896" spans="1:9" ht="15.75" thickBot="1" x14ac:dyDescent="0.3">
      <c r="A896" s="1">
        <v>44197</v>
      </c>
      <c r="B896" t="s">
        <v>6</v>
      </c>
      <c r="C896" t="s">
        <v>7</v>
      </c>
      <c r="D896" t="s">
        <v>395</v>
      </c>
      <c r="E896" t="s">
        <v>9</v>
      </c>
      <c r="F896">
        <v>13915.88</v>
      </c>
      <c r="G896" s="6">
        <v>14336.564</v>
      </c>
      <c r="H896">
        <f t="shared" si="13"/>
        <v>14336.564</v>
      </c>
      <c r="I896">
        <v>61</v>
      </c>
    </row>
    <row r="897" spans="1:9" ht="15.75" thickBot="1" x14ac:dyDescent="0.3">
      <c r="A897" s="1">
        <v>44197</v>
      </c>
      <c r="B897" t="s">
        <v>6</v>
      </c>
      <c r="C897" t="s">
        <v>7</v>
      </c>
      <c r="D897" t="s">
        <v>395</v>
      </c>
      <c r="E897" t="s">
        <v>17</v>
      </c>
      <c r="F897">
        <v>3727.48</v>
      </c>
      <c r="G897" s="6">
        <v>157199.22200000001</v>
      </c>
      <c r="H897">
        <f t="shared" si="13"/>
        <v>157199.22200000001</v>
      </c>
      <c r="I897">
        <v>22</v>
      </c>
    </row>
    <row r="898" spans="1:9" ht="15.75" thickBot="1" x14ac:dyDescent="0.3">
      <c r="A898" s="1">
        <v>44197</v>
      </c>
      <c r="B898" t="s">
        <v>6</v>
      </c>
      <c r="C898" t="s">
        <v>7</v>
      </c>
      <c r="D898" t="s">
        <v>396</v>
      </c>
      <c r="E898" t="s">
        <v>12</v>
      </c>
      <c r="F898">
        <v>661.16</v>
      </c>
      <c r="G898" s="5">
        <v>308364.5</v>
      </c>
      <c r="H898">
        <f t="shared" si="13"/>
        <v>308.36450000000002</v>
      </c>
      <c r="I898">
        <v>5</v>
      </c>
    </row>
    <row r="899" spans="1:9" ht="15.75" thickBot="1" x14ac:dyDescent="0.3">
      <c r="A899" s="1">
        <v>44197</v>
      </c>
      <c r="B899" t="s">
        <v>6</v>
      </c>
      <c r="C899" t="s">
        <v>7</v>
      </c>
      <c r="D899" t="s">
        <v>397</v>
      </c>
      <c r="E899" t="s">
        <v>12</v>
      </c>
      <c r="F899">
        <v>5259.11</v>
      </c>
      <c r="G899" s="5">
        <v>152000</v>
      </c>
      <c r="H899">
        <f t="shared" ref="H899:H962" si="14">IF(ISNUMBER(SEARCH("Domestic customer", E899)),G899/1000,G899)</f>
        <v>152</v>
      </c>
      <c r="I899">
        <v>9</v>
      </c>
    </row>
    <row r="900" spans="1:9" ht="15.75" thickBot="1" x14ac:dyDescent="0.3">
      <c r="A900" s="1">
        <v>44197</v>
      </c>
      <c r="B900" t="s">
        <v>6</v>
      </c>
      <c r="C900" t="s">
        <v>7</v>
      </c>
      <c r="D900" t="s">
        <v>397</v>
      </c>
      <c r="E900" t="s">
        <v>9</v>
      </c>
      <c r="F900">
        <v>81.569999999999993</v>
      </c>
      <c r="G900" s="4">
        <v>0</v>
      </c>
      <c r="H900">
        <f t="shared" si="14"/>
        <v>0</v>
      </c>
      <c r="I900">
        <v>1</v>
      </c>
    </row>
    <row r="901" spans="1:9" ht="15.75" thickBot="1" x14ac:dyDescent="0.3">
      <c r="A901" s="1">
        <v>44197</v>
      </c>
      <c r="B901" t="s">
        <v>6</v>
      </c>
      <c r="C901" t="s">
        <v>7</v>
      </c>
      <c r="D901" t="s">
        <v>398</v>
      </c>
      <c r="E901" t="s">
        <v>12</v>
      </c>
      <c r="F901">
        <v>348.45</v>
      </c>
      <c r="G901" s="5">
        <v>15000</v>
      </c>
      <c r="H901">
        <f t="shared" si="14"/>
        <v>15</v>
      </c>
      <c r="I901">
        <v>1</v>
      </c>
    </row>
    <row r="902" spans="1:9" ht="15.75" thickBot="1" x14ac:dyDescent="0.3">
      <c r="A902" s="1">
        <v>44197</v>
      </c>
      <c r="B902" t="s">
        <v>6</v>
      </c>
      <c r="C902" t="s">
        <v>7</v>
      </c>
      <c r="D902" t="s">
        <v>399</v>
      </c>
      <c r="E902" t="s">
        <v>14</v>
      </c>
      <c r="F902">
        <v>24627.68</v>
      </c>
      <c r="G902" s="3">
        <v>524</v>
      </c>
      <c r="H902">
        <f t="shared" si="14"/>
        <v>524</v>
      </c>
      <c r="I902">
        <v>6</v>
      </c>
    </row>
    <row r="903" spans="1:9" ht="15.75" thickBot="1" x14ac:dyDescent="0.3">
      <c r="A903" s="1">
        <v>44197</v>
      </c>
      <c r="B903" t="s">
        <v>6</v>
      </c>
      <c r="C903" t="s">
        <v>7</v>
      </c>
      <c r="D903" t="s">
        <v>399</v>
      </c>
      <c r="E903" t="s">
        <v>24</v>
      </c>
      <c r="F903">
        <v>7133.47</v>
      </c>
      <c r="G903" s="6">
        <v>4091.4279999999999</v>
      </c>
      <c r="H903">
        <f t="shared" si="14"/>
        <v>4091.4279999999999</v>
      </c>
      <c r="I903">
        <v>17</v>
      </c>
    </row>
    <row r="904" spans="1:9" ht="15.75" thickBot="1" x14ac:dyDescent="0.3">
      <c r="A904" s="1">
        <v>44197</v>
      </c>
      <c r="B904" t="s">
        <v>6</v>
      </c>
      <c r="C904" t="s">
        <v>7</v>
      </c>
      <c r="D904" t="s">
        <v>399</v>
      </c>
      <c r="E904" t="s">
        <v>12</v>
      </c>
      <c r="F904">
        <v>302695.62</v>
      </c>
      <c r="G904" s="5">
        <v>7351503.0329999998</v>
      </c>
      <c r="H904">
        <f t="shared" si="14"/>
        <v>7351.503033</v>
      </c>
      <c r="I904">
        <v>469</v>
      </c>
    </row>
    <row r="905" spans="1:9" ht="15.75" thickBot="1" x14ac:dyDescent="0.3">
      <c r="A905" s="1">
        <v>44197</v>
      </c>
      <c r="B905" t="s">
        <v>6</v>
      </c>
      <c r="C905" t="s">
        <v>7</v>
      </c>
      <c r="D905" t="s">
        <v>399</v>
      </c>
      <c r="E905" t="s">
        <v>15</v>
      </c>
      <c r="F905">
        <v>15541.53</v>
      </c>
      <c r="G905" s="3">
        <v>176</v>
      </c>
      <c r="H905">
        <f t="shared" si="14"/>
        <v>176</v>
      </c>
      <c r="I905">
        <v>2</v>
      </c>
    </row>
    <row r="906" spans="1:9" ht="15.75" thickBot="1" x14ac:dyDescent="0.3">
      <c r="A906" s="1">
        <v>44197</v>
      </c>
      <c r="B906" t="s">
        <v>6</v>
      </c>
      <c r="C906" t="s">
        <v>7</v>
      </c>
      <c r="D906" t="s">
        <v>399</v>
      </c>
      <c r="E906" t="s">
        <v>9</v>
      </c>
      <c r="F906">
        <v>62810.54</v>
      </c>
      <c r="G906" s="6">
        <v>154325.06099999999</v>
      </c>
      <c r="H906">
        <f t="shared" si="14"/>
        <v>154325.06099999999</v>
      </c>
      <c r="I906">
        <v>132</v>
      </c>
    </row>
    <row r="907" spans="1:9" ht="15.75" thickBot="1" x14ac:dyDescent="0.3">
      <c r="A907" s="1">
        <v>44197</v>
      </c>
      <c r="B907" t="s">
        <v>6</v>
      </c>
      <c r="C907" t="s">
        <v>7</v>
      </c>
      <c r="D907" t="s">
        <v>399</v>
      </c>
      <c r="E907" t="s">
        <v>17</v>
      </c>
      <c r="F907">
        <v>12.24</v>
      </c>
      <c r="G907" s="5">
        <v>2813.2</v>
      </c>
      <c r="H907">
        <f t="shared" si="14"/>
        <v>2813.2</v>
      </c>
      <c r="I907">
        <v>1</v>
      </c>
    </row>
    <row r="908" spans="1:9" ht="15.75" thickBot="1" x14ac:dyDescent="0.3">
      <c r="A908" s="1">
        <v>44197</v>
      </c>
      <c r="B908" t="s">
        <v>6</v>
      </c>
      <c r="C908" t="s">
        <v>7</v>
      </c>
      <c r="D908" t="s">
        <v>400</v>
      </c>
      <c r="E908" t="s">
        <v>12</v>
      </c>
      <c r="F908">
        <v>401.58</v>
      </c>
      <c r="G908" s="5">
        <v>21000</v>
      </c>
      <c r="H908">
        <f t="shared" si="14"/>
        <v>21</v>
      </c>
      <c r="I908">
        <v>4</v>
      </c>
    </row>
    <row r="909" spans="1:9" ht="15.75" thickBot="1" x14ac:dyDescent="0.3">
      <c r="A909" s="1">
        <v>44197</v>
      </c>
      <c r="B909" t="s">
        <v>6</v>
      </c>
      <c r="C909" t="s">
        <v>7</v>
      </c>
      <c r="D909" t="s">
        <v>401</v>
      </c>
      <c r="E909" t="s">
        <v>12</v>
      </c>
      <c r="F909">
        <v>7866.52</v>
      </c>
      <c r="G909" s="5">
        <v>368000</v>
      </c>
      <c r="H909">
        <f t="shared" si="14"/>
        <v>368</v>
      </c>
      <c r="I909">
        <v>1</v>
      </c>
    </row>
    <row r="910" spans="1:9" ht="15.75" thickBot="1" x14ac:dyDescent="0.3">
      <c r="A910" s="1">
        <v>44197</v>
      </c>
      <c r="B910" t="s">
        <v>6</v>
      </c>
      <c r="C910" t="s">
        <v>7</v>
      </c>
      <c r="D910" t="s">
        <v>402</v>
      </c>
      <c r="E910" t="s">
        <v>14</v>
      </c>
      <c r="F910">
        <v>63083.12</v>
      </c>
      <c r="G910" s="3">
        <v>1917</v>
      </c>
      <c r="H910">
        <f t="shared" si="14"/>
        <v>1917</v>
      </c>
      <c r="I910">
        <v>2</v>
      </c>
    </row>
    <row r="911" spans="1:9" ht="15.75" thickBot="1" x14ac:dyDescent="0.3">
      <c r="A911" s="1">
        <v>44197</v>
      </c>
      <c r="B911" t="s">
        <v>6</v>
      </c>
      <c r="C911" t="s">
        <v>7</v>
      </c>
      <c r="D911" t="s">
        <v>402</v>
      </c>
      <c r="E911" t="s">
        <v>24</v>
      </c>
      <c r="F911">
        <v>15936.68</v>
      </c>
      <c r="G911" s="5">
        <v>248000</v>
      </c>
      <c r="H911">
        <f t="shared" si="14"/>
        <v>248000</v>
      </c>
      <c r="I911">
        <v>2</v>
      </c>
    </row>
    <row r="912" spans="1:9" ht="15.75" thickBot="1" x14ac:dyDescent="0.3">
      <c r="A912" s="1">
        <v>44197</v>
      </c>
      <c r="B912" t="s">
        <v>6</v>
      </c>
      <c r="C912" t="s">
        <v>7</v>
      </c>
      <c r="D912" t="s">
        <v>402</v>
      </c>
      <c r="E912" t="s">
        <v>12</v>
      </c>
      <c r="F912">
        <v>117763.18</v>
      </c>
      <c r="G912" s="5">
        <v>3952732.9909999999</v>
      </c>
      <c r="H912">
        <f t="shared" si="14"/>
        <v>3952.7329909999999</v>
      </c>
      <c r="I912">
        <v>403</v>
      </c>
    </row>
    <row r="913" spans="1:9" ht="15.75" thickBot="1" x14ac:dyDescent="0.3">
      <c r="A913" s="1">
        <v>44197</v>
      </c>
      <c r="B913" t="s">
        <v>6</v>
      </c>
      <c r="C913" t="s">
        <v>7</v>
      </c>
      <c r="D913" t="s">
        <v>402</v>
      </c>
      <c r="E913" t="s">
        <v>9</v>
      </c>
      <c r="F913">
        <v>10670.24</v>
      </c>
      <c r="G913" s="5">
        <v>333000</v>
      </c>
      <c r="H913">
        <f t="shared" si="14"/>
        <v>333000</v>
      </c>
      <c r="I913">
        <v>33</v>
      </c>
    </row>
    <row r="914" spans="1:9" ht="15.75" thickBot="1" x14ac:dyDescent="0.3">
      <c r="A914" s="1">
        <v>44197</v>
      </c>
      <c r="B914" t="s">
        <v>6</v>
      </c>
      <c r="C914" t="s">
        <v>7</v>
      </c>
      <c r="D914" t="s">
        <v>402</v>
      </c>
      <c r="E914" t="s">
        <v>17</v>
      </c>
      <c r="F914">
        <v>29678.05</v>
      </c>
      <c r="G914" s="6">
        <v>1239629</v>
      </c>
      <c r="H914">
        <f t="shared" si="14"/>
        <v>1239629</v>
      </c>
      <c r="I914">
        <v>6</v>
      </c>
    </row>
    <row r="915" spans="1:9" ht="15.75" thickBot="1" x14ac:dyDescent="0.3">
      <c r="A915" s="1">
        <v>44197</v>
      </c>
      <c r="B915" t="s">
        <v>6</v>
      </c>
      <c r="C915" t="s">
        <v>7</v>
      </c>
      <c r="D915" t="s">
        <v>403</v>
      </c>
      <c r="E915" t="s">
        <v>24</v>
      </c>
      <c r="F915">
        <v>1670.02</v>
      </c>
      <c r="G915" s="3">
        <v>55</v>
      </c>
      <c r="H915">
        <f t="shared" si="14"/>
        <v>55</v>
      </c>
      <c r="I915">
        <v>1</v>
      </c>
    </row>
    <row r="916" spans="1:9" ht="15.75" thickBot="1" x14ac:dyDescent="0.3">
      <c r="A916" s="1">
        <v>44197</v>
      </c>
      <c r="B916" t="s">
        <v>6</v>
      </c>
      <c r="C916" t="s">
        <v>7</v>
      </c>
      <c r="D916" t="s">
        <v>403</v>
      </c>
      <c r="E916" t="s">
        <v>12</v>
      </c>
      <c r="F916">
        <v>5756.78</v>
      </c>
      <c r="G916" s="5">
        <v>177716.78200000001</v>
      </c>
      <c r="H916">
        <f t="shared" si="14"/>
        <v>177.71678199999999</v>
      </c>
      <c r="I916">
        <v>6</v>
      </c>
    </row>
    <row r="917" spans="1:9" ht="15.75" thickBot="1" x14ac:dyDescent="0.3">
      <c r="A917" s="1">
        <v>44197</v>
      </c>
      <c r="B917" t="s">
        <v>6</v>
      </c>
      <c r="C917" t="s">
        <v>7</v>
      </c>
      <c r="D917" t="s">
        <v>403</v>
      </c>
      <c r="E917" t="s">
        <v>15</v>
      </c>
      <c r="F917">
        <v>27939.08</v>
      </c>
      <c r="G917" s="3">
        <v>1019</v>
      </c>
      <c r="H917">
        <f t="shared" si="14"/>
        <v>1019</v>
      </c>
      <c r="I917">
        <v>1</v>
      </c>
    </row>
    <row r="918" spans="1:9" ht="15.75" thickBot="1" x14ac:dyDescent="0.3">
      <c r="A918" s="1">
        <v>44197</v>
      </c>
      <c r="B918" t="s">
        <v>6</v>
      </c>
      <c r="C918" t="s">
        <v>7</v>
      </c>
      <c r="D918" t="s">
        <v>404</v>
      </c>
      <c r="E918" t="s">
        <v>14</v>
      </c>
      <c r="F918">
        <v>783</v>
      </c>
      <c r="G918" s="3">
        <v>25</v>
      </c>
      <c r="H918">
        <f t="shared" si="14"/>
        <v>25</v>
      </c>
      <c r="I918">
        <v>1</v>
      </c>
    </row>
    <row r="919" spans="1:9" ht="15.75" thickBot="1" x14ac:dyDescent="0.3">
      <c r="A919" s="1">
        <v>44197</v>
      </c>
      <c r="B919" t="s">
        <v>6</v>
      </c>
      <c r="C919" t="s">
        <v>7</v>
      </c>
      <c r="D919" t="s">
        <v>405</v>
      </c>
      <c r="E919" t="s">
        <v>12</v>
      </c>
      <c r="F919">
        <v>2054.6799999999998</v>
      </c>
      <c r="G919" s="5">
        <v>67000</v>
      </c>
      <c r="H919">
        <f t="shared" si="14"/>
        <v>67</v>
      </c>
      <c r="I919">
        <v>2</v>
      </c>
    </row>
    <row r="920" spans="1:9" ht="15.75" thickBot="1" x14ac:dyDescent="0.3">
      <c r="A920" s="1">
        <v>44197</v>
      </c>
      <c r="B920" t="s">
        <v>6</v>
      </c>
      <c r="C920" t="s">
        <v>7</v>
      </c>
      <c r="D920" t="s">
        <v>406</v>
      </c>
      <c r="E920" t="s">
        <v>24</v>
      </c>
      <c r="F920">
        <v>665.97</v>
      </c>
      <c r="G920" s="3">
        <v>19</v>
      </c>
      <c r="H920">
        <f t="shared" si="14"/>
        <v>19</v>
      </c>
      <c r="I920">
        <v>1</v>
      </c>
    </row>
    <row r="921" spans="1:9" ht="15.75" thickBot="1" x14ac:dyDescent="0.3">
      <c r="A921" s="1">
        <v>44197</v>
      </c>
      <c r="B921" t="s">
        <v>6</v>
      </c>
      <c r="C921" t="s">
        <v>7</v>
      </c>
      <c r="D921" t="s">
        <v>407</v>
      </c>
      <c r="E921" t="s">
        <v>14</v>
      </c>
      <c r="F921">
        <v>25437.24</v>
      </c>
      <c r="G921" s="3">
        <v>726</v>
      </c>
      <c r="H921">
        <f t="shared" si="14"/>
        <v>726</v>
      </c>
      <c r="I921">
        <v>4</v>
      </c>
    </row>
    <row r="922" spans="1:9" ht="15.75" thickBot="1" x14ac:dyDescent="0.3">
      <c r="A922" s="1">
        <v>44197</v>
      </c>
      <c r="B922" t="s">
        <v>6</v>
      </c>
      <c r="C922" t="s">
        <v>7</v>
      </c>
      <c r="D922" t="s">
        <v>407</v>
      </c>
      <c r="E922" t="s">
        <v>24</v>
      </c>
      <c r="F922">
        <v>35653.75</v>
      </c>
      <c r="G922" s="6">
        <v>758148.27099999995</v>
      </c>
      <c r="H922">
        <f t="shared" si="14"/>
        <v>758148.27099999995</v>
      </c>
      <c r="I922">
        <v>9</v>
      </c>
    </row>
    <row r="923" spans="1:9" ht="15.75" thickBot="1" x14ac:dyDescent="0.3">
      <c r="A923" s="1">
        <v>44197</v>
      </c>
      <c r="B923" t="s">
        <v>6</v>
      </c>
      <c r="C923" t="s">
        <v>7</v>
      </c>
      <c r="D923" t="s">
        <v>407</v>
      </c>
      <c r="E923" t="s">
        <v>12</v>
      </c>
      <c r="F923">
        <v>26148</v>
      </c>
      <c r="G923" s="6">
        <v>934211.79299999995</v>
      </c>
      <c r="H923">
        <f t="shared" si="14"/>
        <v>934.21179299999994</v>
      </c>
      <c r="I923">
        <v>74</v>
      </c>
    </row>
    <row r="924" spans="1:9" ht="15.75" thickBot="1" x14ac:dyDescent="0.3">
      <c r="A924" s="1">
        <v>44197</v>
      </c>
      <c r="B924" t="s">
        <v>6</v>
      </c>
      <c r="C924" t="s">
        <v>7</v>
      </c>
      <c r="D924" t="s">
        <v>407</v>
      </c>
      <c r="E924" t="s">
        <v>9</v>
      </c>
      <c r="F924">
        <v>2067.34</v>
      </c>
      <c r="G924" s="6">
        <v>1386.838</v>
      </c>
      <c r="H924">
        <f t="shared" si="14"/>
        <v>1386.838</v>
      </c>
      <c r="I924">
        <v>6</v>
      </c>
    </row>
    <row r="925" spans="1:9" ht="15.75" thickBot="1" x14ac:dyDescent="0.3">
      <c r="A925" s="1">
        <v>44197</v>
      </c>
      <c r="B925" t="s">
        <v>6</v>
      </c>
      <c r="C925" t="s">
        <v>7</v>
      </c>
      <c r="D925" t="s">
        <v>408</v>
      </c>
      <c r="E925" t="s">
        <v>12</v>
      </c>
      <c r="F925">
        <v>200.73</v>
      </c>
      <c r="G925" s="5">
        <v>3000</v>
      </c>
      <c r="H925">
        <f t="shared" si="14"/>
        <v>3</v>
      </c>
      <c r="I925">
        <v>2</v>
      </c>
    </row>
    <row r="926" spans="1:9" ht="15.75" thickBot="1" x14ac:dyDescent="0.3">
      <c r="A926" s="1">
        <v>44197</v>
      </c>
      <c r="B926" t="s">
        <v>6</v>
      </c>
      <c r="C926" t="s">
        <v>7</v>
      </c>
      <c r="D926" t="s">
        <v>408</v>
      </c>
      <c r="E926" t="s">
        <v>9</v>
      </c>
      <c r="F926">
        <v>559.86</v>
      </c>
      <c r="G926" s="3">
        <v>12</v>
      </c>
      <c r="H926">
        <f t="shared" si="14"/>
        <v>12</v>
      </c>
      <c r="I926">
        <v>2</v>
      </c>
    </row>
    <row r="927" spans="1:9" ht="15.75" thickBot="1" x14ac:dyDescent="0.3">
      <c r="A927" s="1">
        <v>44197</v>
      </c>
      <c r="B927" t="s">
        <v>6</v>
      </c>
      <c r="C927" t="s">
        <v>7</v>
      </c>
      <c r="D927" t="s">
        <v>409</v>
      </c>
      <c r="E927" t="s">
        <v>12</v>
      </c>
      <c r="F927">
        <v>15008.27</v>
      </c>
      <c r="G927" s="5">
        <v>727000</v>
      </c>
      <c r="H927">
        <f t="shared" si="14"/>
        <v>727</v>
      </c>
      <c r="I927">
        <v>8</v>
      </c>
    </row>
    <row r="928" spans="1:9" ht="15.75" thickBot="1" x14ac:dyDescent="0.3">
      <c r="A928" s="1">
        <v>44197</v>
      </c>
      <c r="B928" t="s">
        <v>6</v>
      </c>
      <c r="C928" t="s">
        <v>7</v>
      </c>
      <c r="D928" t="s">
        <v>409</v>
      </c>
      <c r="E928" t="s">
        <v>15</v>
      </c>
      <c r="F928">
        <v>5042.1499999999996</v>
      </c>
      <c r="G928" s="3">
        <v>166</v>
      </c>
      <c r="H928">
        <f t="shared" si="14"/>
        <v>166</v>
      </c>
      <c r="I928">
        <v>1</v>
      </c>
    </row>
    <row r="929" spans="1:9" ht="15.75" thickBot="1" x14ac:dyDescent="0.3">
      <c r="A929" s="1">
        <v>44197</v>
      </c>
      <c r="B929" t="s">
        <v>6</v>
      </c>
      <c r="C929" t="s">
        <v>7</v>
      </c>
      <c r="D929" t="s">
        <v>409</v>
      </c>
      <c r="E929" t="s">
        <v>9</v>
      </c>
      <c r="F929">
        <v>3253.8</v>
      </c>
      <c r="G929" s="3">
        <v>115</v>
      </c>
      <c r="H929">
        <f t="shared" si="14"/>
        <v>115</v>
      </c>
      <c r="I929">
        <v>1</v>
      </c>
    </row>
    <row r="930" spans="1:9" ht="15.75" thickBot="1" x14ac:dyDescent="0.3">
      <c r="A930" s="1">
        <v>44197</v>
      </c>
      <c r="B930" t="s">
        <v>6</v>
      </c>
      <c r="C930" t="s">
        <v>7</v>
      </c>
      <c r="D930" t="s">
        <v>410</v>
      </c>
      <c r="E930" t="s">
        <v>14</v>
      </c>
      <c r="F930">
        <v>791.19</v>
      </c>
      <c r="G930" s="3">
        <v>23</v>
      </c>
      <c r="H930">
        <f t="shared" si="14"/>
        <v>23</v>
      </c>
      <c r="I930">
        <v>1</v>
      </c>
    </row>
    <row r="931" spans="1:9" ht="15.75" thickBot="1" x14ac:dyDescent="0.3">
      <c r="A931" s="1">
        <v>44197</v>
      </c>
      <c r="B931" t="s">
        <v>6</v>
      </c>
      <c r="C931" t="s">
        <v>7</v>
      </c>
      <c r="D931" t="s">
        <v>410</v>
      </c>
      <c r="E931" t="s">
        <v>9</v>
      </c>
      <c r="F931">
        <v>81.569999999999993</v>
      </c>
      <c r="G931" s="4">
        <v>0</v>
      </c>
      <c r="H931">
        <f t="shared" si="14"/>
        <v>0</v>
      </c>
      <c r="I931">
        <v>1</v>
      </c>
    </row>
    <row r="932" spans="1:9" ht="15.75" thickBot="1" x14ac:dyDescent="0.3">
      <c r="A932" s="1">
        <v>44197</v>
      </c>
      <c r="B932" t="s">
        <v>6</v>
      </c>
      <c r="C932" t="s">
        <v>7</v>
      </c>
      <c r="D932" t="s">
        <v>411</v>
      </c>
      <c r="E932" t="s">
        <v>12</v>
      </c>
      <c r="F932">
        <v>829.31</v>
      </c>
      <c r="G932" s="5">
        <v>30000</v>
      </c>
      <c r="H932">
        <f t="shared" si="14"/>
        <v>30</v>
      </c>
      <c r="I932">
        <v>2</v>
      </c>
    </row>
    <row r="933" spans="1:9" ht="15.75" thickBot="1" x14ac:dyDescent="0.3">
      <c r="A933" s="1">
        <v>44197</v>
      </c>
      <c r="B933" t="s">
        <v>6</v>
      </c>
      <c r="C933" t="s">
        <v>7</v>
      </c>
      <c r="D933" t="s">
        <v>412</v>
      </c>
      <c r="E933" t="s">
        <v>14</v>
      </c>
      <c r="F933">
        <v>17895.82</v>
      </c>
      <c r="G933" s="3">
        <v>449</v>
      </c>
      <c r="H933">
        <f t="shared" si="14"/>
        <v>449</v>
      </c>
      <c r="I933">
        <v>4</v>
      </c>
    </row>
    <row r="934" spans="1:9" ht="15.75" thickBot="1" x14ac:dyDescent="0.3">
      <c r="A934" s="1">
        <v>44197</v>
      </c>
      <c r="B934" t="s">
        <v>6</v>
      </c>
      <c r="C934" t="s">
        <v>7</v>
      </c>
      <c r="D934" t="s">
        <v>412</v>
      </c>
      <c r="E934" t="s">
        <v>15</v>
      </c>
      <c r="F934">
        <v>400</v>
      </c>
      <c r="G934" s="3">
        <v>0</v>
      </c>
      <c r="H934">
        <f t="shared" si="14"/>
        <v>0</v>
      </c>
      <c r="I934">
        <v>1</v>
      </c>
    </row>
    <row r="935" spans="1:9" ht="15.75" thickBot="1" x14ac:dyDescent="0.3">
      <c r="A935" s="1">
        <v>44197</v>
      </c>
      <c r="B935" t="s">
        <v>6</v>
      </c>
      <c r="C935" t="s">
        <v>7</v>
      </c>
      <c r="D935" t="s">
        <v>412</v>
      </c>
      <c r="E935" t="s">
        <v>9</v>
      </c>
      <c r="F935">
        <v>2663.14</v>
      </c>
      <c r="G935" s="3">
        <v>0</v>
      </c>
      <c r="H935">
        <f t="shared" si="14"/>
        <v>0</v>
      </c>
      <c r="I935">
        <v>3</v>
      </c>
    </row>
    <row r="936" spans="1:9" ht="15.75" thickBot="1" x14ac:dyDescent="0.3">
      <c r="A936" s="1">
        <v>44197</v>
      </c>
      <c r="B936" t="s">
        <v>6</v>
      </c>
      <c r="C936" t="s">
        <v>7</v>
      </c>
      <c r="D936" t="s">
        <v>412</v>
      </c>
      <c r="E936" t="s">
        <v>17</v>
      </c>
      <c r="F936">
        <v>1713.34</v>
      </c>
      <c r="G936" s="3">
        <v>57</v>
      </c>
      <c r="H936">
        <f t="shared" si="14"/>
        <v>57</v>
      </c>
      <c r="I936">
        <v>1</v>
      </c>
    </row>
    <row r="937" spans="1:9" ht="15.75" thickBot="1" x14ac:dyDescent="0.3">
      <c r="A937" s="1">
        <v>44197</v>
      </c>
      <c r="B937" t="s">
        <v>6</v>
      </c>
      <c r="C937" t="s">
        <v>7</v>
      </c>
      <c r="D937" t="s">
        <v>413</v>
      </c>
      <c r="E937" t="s">
        <v>24</v>
      </c>
      <c r="F937">
        <v>81.569999999999993</v>
      </c>
      <c r="G937" s="4">
        <v>0</v>
      </c>
      <c r="H937">
        <f t="shared" si="14"/>
        <v>0</v>
      </c>
      <c r="I937">
        <v>1</v>
      </c>
    </row>
    <row r="938" spans="1:9" ht="15.75" thickBot="1" x14ac:dyDescent="0.3">
      <c r="A938" s="1">
        <v>44197</v>
      </c>
      <c r="B938" t="s">
        <v>6</v>
      </c>
      <c r="C938" t="s">
        <v>7</v>
      </c>
      <c r="D938" t="s">
        <v>413</v>
      </c>
      <c r="E938" t="s">
        <v>12</v>
      </c>
      <c r="F938">
        <v>3544.7</v>
      </c>
      <c r="G938" s="5">
        <v>131012</v>
      </c>
      <c r="H938">
        <f t="shared" si="14"/>
        <v>131.012</v>
      </c>
      <c r="I938">
        <v>12</v>
      </c>
    </row>
    <row r="939" spans="1:9" ht="15.75" thickBot="1" x14ac:dyDescent="0.3">
      <c r="A939" s="1">
        <v>44197</v>
      </c>
      <c r="B939" t="s">
        <v>6</v>
      </c>
      <c r="C939" t="s">
        <v>7</v>
      </c>
      <c r="D939" t="s">
        <v>413</v>
      </c>
      <c r="E939" t="s">
        <v>9</v>
      </c>
      <c r="F939">
        <v>982.73</v>
      </c>
      <c r="G939" s="6">
        <v>20488.552</v>
      </c>
      <c r="H939">
        <f t="shared" si="14"/>
        <v>20488.552</v>
      </c>
      <c r="I939">
        <v>13</v>
      </c>
    </row>
    <row r="940" spans="1:9" ht="15.75" thickBot="1" x14ac:dyDescent="0.3">
      <c r="A940" s="1">
        <v>44197</v>
      </c>
      <c r="B940" t="s">
        <v>6</v>
      </c>
      <c r="C940" t="s">
        <v>7</v>
      </c>
      <c r="D940" t="s">
        <v>414</v>
      </c>
      <c r="E940" t="s">
        <v>14</v>
      </c>
      <c r="F940">
        <v>8467.1200000000008</v>
      </c>
      <c r="G940" s="3">
        <v>244</v>
      </c>
      <c r="H940">
        <f t="shared" si="14"/>
        <v>244</v>
      </c>
      <c r="I940">
        <v>3</v>
      </c>
    </row>
    <row r="941" spans="1:9" ht="15.75" thickBot="1" x14ac:dyDescent="0.3">
      <c r="A941" s="1">
        <v>44197</v>
      </c>
      <c r="B941" t="s">
        <v>6</v>
      </c>
      <c r="C941" t="s">
        <v>7</v>
      </c>
      <c r="D941" t="s">
        <v>414</v>
      </c>
      <c r="E941" t="s">
        <v>24</v>
      </c>
      <c r="F941">
        <v>999.56</v>
      </c>
      <c r="G941" s="3">
        <v>8</v>
      </c>
      <c r="H941">
        <f t="shared" si="14"/>
        <v>8</v>
      </c>
      <c r="I941">
        <v>2</v>
      </c>
    </row>
    <row r="942" spans="1:9" ht="15.75" thickBot="1" x14ac:dyDescent="0.3">
      <c r="A942" s="1">
        <v>44197</v>
      </c>
      <c r="B942" t="s">
        <v>6</v>
      </c>
      <c r="C942" t="s">
        <v>7</v>
      </c>
      <c r="D942" t="s">
        <v>414</v>
      </c>
      <c r="E942" t="s">
        <v>12</v>
      </c>
      <c r="F942">
        <v>18809.400000000001</v>
      </c>
      <c r="G942" s="5">
        <v>605454.49899999995</v>
      </c>
      <c r="H942">
        <f t="shared" si="14"/>
        <v>605.45449899999994</v>
      </c>
      <c r="I942">
        <v>61</v>
      </c>
    </row>
    <row r="943" spans="1:9" ht="15.75" thickBot="1" x14ac:dyDescent="0.3">
      <c r="A943" s="1">
        <v>44197</v>
      </c>
      <c r="B943" t="s">
        <v>6</v>
      </c>
      <c r="C943" t="s">
        <v>7</v>
      </c>
      <c r="D943" t="s">
        <v>414</v>
      </c>
      <c r="E943" t="s">
        <v>15</v>
      </c>
      <c r="F943">
        <v>70226.45</v>
      </c>
      <c r="G943" s="3">
        <v>2298</v>
      </c>
      <c r="H943">
        <f t="shared" si="14"/>
        <v>2298</v>
      </c>
      <c r="I943">
        <v>4</v>
      </c>
    </row>
    <row r="944" spans="1:9" ht="15.75" thickBot="1" x14ac:dyDescent="0.3">
      <c r="A944" s="1">
        <v>44197</v>
      </c>
      <c r="B944" t="s">
        <v>6</v>
      </c>
      <c r="C944" t="s">
        <v>7</v>
      </c>
      <c r="D944" t="s">
        <v>414</v>
      </c>
      <c r="E944" t="s">
        <v>9</v>
      </c>
      <c r="F944">
        <v>3801.87</v>
      </c>
      <c r="G944" s="5">
        <v>99371.698000000004</v>
      </c>
      <c r="H944">
        <f t="shared" si="14"/>
        <v>99371.698000000004</v>
      </c>
      <c r="I944">
        <v>16</v>
      </c>
    </row>
    <row r="945" spans="1:9" ht="15.75" thickBot="1" x14ac:dyDescent="0.3">
      <c r="A945" s="1">
        <v>44197</v>
      </c>
      <c r="B945" t="s">
        <v>6</v>
      </c>
      <c r="C945" t="s">
        <v>7</v>
      </c>
      <c r="D945" t="s">
        <v>414</v>
      </c>
      <c r="E945" t="s">
        <v>17</v>
      </c>
      <c r="F945">
        <v>265.8</v>
      </c>
      <c r="G945" s="5">
        <v>9745.3119999999999</v>
      </c>
      <c r="H945">
        <f t="shared" si="14"/>
        <v>9745.3119999999999</v>
      </c>
      <c r="I945">
        <v>1</v>
      </c>
    </row>
    <row r="946" spans="1:9" ht="15.75" thickBot="1" x14ac:dyDescent="0.3">
      <c r="A946" s="1">
        <v>44197</v>
      </c>
      <c r="B946" t="s">
        <v>6</v>
      </c>
      <c r="C946" t="s">
        <v>7</v>
      </c>
      <c r="D946" t="s">
        <v>415</v>
      </c>
      <c r="E946" t="s">
        <v>24</v>
      </c>
      <c r="F946">
        <v>100</v>
      </c>
      <c r="G946" s="3">
        <v>0</v>
      </c>
      <c r="H946">
        <f t="shared" si="14"/>
        <v>0</v>
      </c>
      <c r="I946">
        <v>1</v>
      </c>
    </row>
    <row r="947" spans="1:9" ht="15.75" thickBot="1" x14ac:dyDescent="0.3">
      <c r="A947" s="1">
        <v>44197</v>
      </c>
      <c r="B947" t="s">
        <v>6</v>
      </c>
      <c r="C947" t="s">
        <v>7</v>
      </c>
      <c r="D947" t="s">
        <v>415</v>
      </c>
      <c r="E947" t="s">
        <v>12</v>
      </c>
      <c r="F947">
        <v>15616.3</v>
      </c>
      <c r="G947" s="5">
        <v>436547.82199999999</v>
      </c>
      <c r="H947">
        <f t="shared" si="14"/>
        <v>436.547822</v>
      </c>
      <c r="I947">
        <v>2</v>
      </c>
    </row>
    <row r="948" spans="1:9" ht="15.75" thickBot="1" x14ac:dyDescent="0.3">
      <c r="A948" s="1">
        <v>44197</v>
      </c>
      <c r="B948" t="s">
        <v>6</v>
      </c>
      <c r="C948" t="s">
        <v>7</v>
      </c>
      <c r="D948" t="s">
        <v>416</v>
      </c>
      <c r="E948" t="s">
        <v>24</v>
      </c>
      <c r="F948">
        <v>859.34</v>
      </c>
      <c r="G948" s="3">
        <v>28</v>
      </c>
      <c r="H948">
        <f t="shared" si="14"/>
        <v>28</v>
      </c>
      <c r="I948">
        <v>1</v>
      </c>
    </row>
    <row r="949" spans="1:9" ht="15.75" thickBot="1" x14ac:dyDescent="0.3">
      <c r="A949" s="1">
        <v>44197</v>
      </c>
      <c r="B949" t="s">
        <v>6</v>
      </c>
      <c r="C949" t="s">
        <v>7</v>
      </c>
      <c r="D949" t="s">
        <v>416</v>
      </c>
      <c r="E949" t="s">
        <v>9</v>
      </c>
      <c r="F949">
        <v>4224.68</v>
      </c>
      <c r="G949" s="5">
        <v>71000</v>
      </c>
      <c r="H949">
        <f t="shared" si="14"/>
        <v>71000</v>
      </c>
      <c r="I949">
        <v>1</v>
      </c>
    </row>
    <row r="950" spans="1:9" ht="15.75" thickBot="1" x14ac:dyDescent="0.3">
      <c r="A950" s="1">
        <v>44197</v>
      </c>
      <c r="B950" t="s">
        <v>6</v>
      </c>
      <c r="C950" t="s">
        <v>7</v>
      </c>
      <c r="D950" t="s">
        <v>417</v>
      </c>
      <c r="E950" t="s">
        <v>9</v>
      </c>
      <c r="F950">
        <v>81.569999999999993</v>
      </c>
      <c r="G950" s="4">
        <v>0</v>
      </c>
      <c r="H950">
        <f t="shared" si="14"/>
        <v>0</v>
      </c>
      <c r="I950">
        <v>1</v>
      </c>
    </row>
    <row r="951" spans="1:9" ht="15.75" thickBot="1" x14ac:dyDescent="0.3">
      <c r="A951" s="1">
        <v>44197</v>
      </c>
      <c r="B951" t="s">
        <v>6</v>
      </c>
      <c r="C951" t="s">
        <v>7</v>
      </c>
      <c r="D951" t="s">
        <v>418</v>
      </c>
      <c r="E951" t="s">
        <v>12</v>
      </c>
      <c r="F951">
        <v>223.49</v>
      </c>
      <c r="G951" s="5">
        <v>11770.4</v>
      </c>
      <c r="H951">
        <f t="shared" si="14"/>
        <v>11.7704</v>
      </c>
      <c r="I951">
        <v>2</v>
      </c>
    </row>
    <row r="952" spans="1:9" ht="15.75" thickBot="1" x14ac:dyDescent="0.3">
      <c r="A952" s="1">
        <v>44197</v>
      </c>
      <c r="B952" t="s">
        <v>6</v>
      </c>
      <c r="C952" t="s">
        <v>7</v>
      </c>
      <c r="D952" t="s">
        <v>419</v>
      </c>
      <c r="E952" t="s">
        <v>12</v>
      </c>
      <c r="F952">
        <v>730.59</v>
      </c>
      <c r="G952" s="5">
        <v>23000</v>
      </c>
      <c r="H952">
        <f t="shared" si="14"/>
        <v>23</v>
      </c>
      <c r="I952">
        <v>2</v>
      </c>
    </row>
    <row r="953" spans="1:9" ht="15.75" thickBot="1" x14ac:dyDescent="0.3">
      <c r="A953" s="1">
        <v>44197</v>
      </c>
      <c r="B953" t="s">
        <v>6</v>
      </c>
      <c r="C953" t="s">
        <v>7</v>
      </c>
      <c r="D953" t="s">
        <v>420</v>
      </c>
      <c r="E953" t="s">
        <v>14</v>
      </c>
      <c r="F953">
        <v>4882.2299999999996</v>
      </c>
      <c r="G953" s="3">
        <v>79</v>
      </c>
      <c r="H953">
        <f t="shared" si="14"/>
        <v>79</v>
      </c>
      <c r="I953">
        <v>3</v>
      </c>
    </row>
    <row r="954" spans="1:9" ht="15.75" thickBot="1" x14ac:dyDescent="0.3">
      <c r="A954" s="1">
        <v>44197</v>
      </c>
      <c r="B954" t="s">
        <v>6</v>
      </c>
      <c r="C954" t="s">
        <v>7</v>
      </c>
      <c r="D954" t="s">
        <v>420</v>
      </c>
      <c r="E954" t="s">
        <v>12</v>
      </c>
      <c r="F954">
        <v>3618.77</v>
      </c>
      <c r="G954" s="5">
        <v>60000</v>
      </c>
      <c r="H954">
        <f t="shared" si="14"/>
        <v>60</v>
      </c>
      <c r="I954">
        <v>5</v>
      </c>
    </row>
    <row r="955" spans="1:9" ht="15.75" thickBot="1" x14ac:dyDescent="0.3">
      <c r="A955" s="1">
        <v>44197</v>
      </c>
      <c r="B955" t="s">
        <v>6</v>
      </c>
      <c r="C955" t="s">
        <v>7</v>
      </c>
      <c r="D955" t="s">
        <v>420</v>
      </c>
      <c r="E955" t="s">
        <v>15</v>
      </c>
      <c r="F955">
        <v>31409.5</v>
      </c>
      <c r="G955" s="3">
        <v>490</v>
      </c>
      <c r="H955">
        <f t="shared" si="14"/>
        <v>490</v>
      </c>
      <c r="I955">
        <v>17</v>
      </c>
    </row>
    <row r="956" spans="1:9" ht="15.75" thickBot="1" x14ac:dyDescent="0.3">
      <c r="A956" s="1">
        <v>44197</v>
      </c>
      <c r="B956" t="s">
        <v>6</v>
      </c>
      <c r="C956" t="s">
        <v>7</v>
      </c>
      <c r="D956" t="s">
        <v>420</v>
      </c>
      <c r="E956" t="s">
        <v>9</v>
      </c>
      <c r="F956">
        <v>27667.77</v>
      </c>
      <c r="G956" s="3">
        <v>588</v>
      </c>
      <c r="H956">
        <f t="shared" si="14"/>
        <v>588</v>
      </c>
      <c r="I956">
        <v>42</v>
      </c>
    </row>
    <row r="957" spans="1:9" ht="15.75" thickBot="1" x14ac:dyDescent="0.3">
      <c r="A957" s="1">
        <v>44197</v>
      </c>
      <c r="B957" t="s">
        <v>6</v>
      </c>
      <c r="C957" t="s">
        <v>7</v>
      </c>
      <c r="D957" t="s">
        <v>421</v>
      </c>
      <c r="E957" t="s">
        <v>9</v>
      </c>
      <c r="F957">
        <v>193.57</v>
      </c>
      <c r="G957" s="3">
        <v>0</v>
      </c>
      <c r="H957">
        <f t="shared" si="14"/>
        <v>0</v>
      </c>
      <c r="I957">
        <v>2</v>
      </c>
    </row>
    <row r="958" spans="1:9" ht="15.75" thickBot="1" x14ac:dyDescent="0.3">
      <c r="A958" s="1">
        <v>44197</v>
      </c>
      <c r="B958" t="s">
        <v>6</v>
      </c>
      <c r="C958" t="s">
        <v>7</v>
      </c>
      <c r="D958" t="s">
        <v>421</v>
      </c>
      <c r="E958" t="s">
        <v>17</v>
      </c>
      <c r="F958">
        <v>3852.78</v>
      </c>
      <c r="G958" s="5">
        <v>138000</v>
      </c>
      <c r="H958">
        <f t="shared" si="14"/>
        <v>138000</v>
      </c>
      <c r="I958">
        <v>1</v>
      </c>
    </row>
    <row r="959" spans="1:9" ht="15.75" thickBot="1" x14ac:dyDescent="0.3">
      <c r="A959" s="1">
        <v>44197</v>
      </c>
      <c r="B959" t="s">
        <v>6</v>
      </c>
      <c r="C959" t="s">
        <v>7</v>
      </c>
      <c r="D959" t="s">
        <v>422</v>
      </c>
      <c r="E959" t="s">
        <v>9</v>
      </c>
      <c r="F959">
        <v>81.569999999999993</v>
      </c>
      <c r="G959" s="4">
        <v>0</v>
      </c>
      <c r="H959">
        <f t="shared" si="14"/>
        <v>0</v>
      </c>
      <c r="I959">
        <v>1</v>
      </c>
    </row>
    <row r="960" spans="1:9" ht="15.75" thickBot="1" x14ac:dyDescent="0.3">
      <c r="A960" s="1">
        <v>44197</v>
      </c>
      <c r="B960" t="s">
        <v>6</v>
      </c>
      <c r="C960" t="s">
        <v>7</v>
      </c>
      <c r="D960" t="s">
        <v>423</v>
      </c>
      <c r="E960" t="s">
        <v>12</v>
      </c>
      <c r="F960">
        <v>2430.73</v>
      </c>
      <c r="G960" s="5">
        <v>73771.599000000002</v>
      </c>
      <c r="H960">
        <f t="shared" si="14"/>
        <v>73.771599000000009</v>
      </c>
      <c r="I960">
        <v>12</v>
      </c>
    </row>
    <row r="961" spans="1:9" ht="15.75" thickBot="1" x14ac:dyDescent="0.3">
      <c r="A961" s="1">
        <v>44197</v>
      </c>
      <c r="B961" t="s">
        <v>6</v>
      </c>
      <c r="C961" t="s">
        <v>7</v>
      </c>
      <c r="D961" t="s">
        <v>423</v>
      </c>
      <c r="E961" t="s">
        <v>9</v>
      </c>
      <c r="F961">
        <v>371.03</v>
      </c>
      <c r="G961" s="5">
        <v>6000</v>
      </c>
      <c r="H961">
        <f t="shared" si="14"/>
        <v>6000</v>
      </c>
      <c r="I961">
        <v>3</v>
      </c>
    </row>
    <row r="962" spans="1:9" ht="15.75" thickBot="1" x14ac:dyDescent="0.3">
      <c r="A962" s="1">
        <v>44197</v>
      </c>
      <c r="B962" t="s">
        <v>6</v>
      </c>
      <c r="C962" t="s">
        <v>7</v>
      </c>
      <c r="D962" t="s">
        <v>424</v>
      </c>
      <c r="E962" t="s">
        <v>12</v>
      </c>
      <c r="F962">
        <v>593.72</v>
      </c>
      <c r="G962" s="5">
        <v>23000</v>
      </c>
      <c r="H962">
        <f t="shared" si="14"/>
        <v>23</v>
      </c>
      <c r="I962">
        <v>1</v>
      </c>
    </row>
    <row r="963" spans="1:9" ht="15.75" thickBot="1" x14ac:dyDescent="0.3">
      <c r="A963" s="1">
        <v>44197</v>
      </c>
      <c r="B963" t="s">
        <v>6</v>
      </c>
      <c r="C963" t="s">
        <v>7</v>
      </c>
      <c r="D963" t="s">
        <v>425</v>
      </c>
      <c r="E963" t="s">
        <v>14</v>
      </c>
      <c r="F963">
        <v>8928.07</v>
      </c>
      <c r="G963" s="6">
        <v>409868.12900000002</v>
      </c>
      <c r="H963">
        <f t="shared" ref="H963:H1026" si="15">IF(ISNUMBER(SEARCH("Domestic customer", E963)),G963/1000,G963)</f>
        <v>409868.12900000002</v>
      </c>
      <c r="I963">
        <v>2</v>
      </c>
    </row>
    <row r="964" spans="1:9" ht="15.75" thickBot="1" x14ac:dyDescent="0.3">
      <c r="A964" s="1">
        <v>44197</v>
      </c>
      <c r="B964" t="s">
        <v>6</v>
      </c>
      <c r="C964" t="s">
        <v>7</v>
      </c>
      <c r="D964" t="s">
        <v>425</v>
      </c>
      <c r="E964" t="s">
        <v>24</v>
      </c>
      <c r="F964">
        <v>16775.740000000002</v>
      </c>
      <c r="G964" s="6">
        <v>128667</v>
      </c>
      <c r="H964">
        <f t="shared" si="15"/>
        <v>128667</v>
      </c>
      <c r="I964">
        <v>3</v>
      </c>
    </row>
    <row r="965" spans="1:9" ht="15.75" thickBot="1" x14ac:dyDescent="0.3">
      <c r="A965" s="1">
        <v>44197</v>
      </c>
      <c r="B965" t="s">
        <v>6</v>
      </c>
      <c r="C965" t="s">
        <v>7</v>
      </c>
      <c r="D965" t="s">
        <v>425</v>
      </c>
      <c r="E965" t="s">
        <v>12</v>
      </c>
      <c r="F965">
        <v>42375.08</v>
      </c>
      <c r="G965" s="5">
        <v>1194443.04</v>
      </c>
      <c r="H965">
        <f t="shared" si="15"/>
        <v>1194.4430400000001</v>
      </c>
      <c r="I965">
        <v>36</v>
      </c>
    </row>
    <row r="966" spans="1:9" ht="15.75" thickBot="1" x14ac:dyDescent="0.3">
      <c r="A966" s="1">
        <v>44197</v>
      </c>
      <c r="B966" t="s">
        <v>6</v>
      </c>
      <c r="C966" t="s">
        <v>7</v>
      </c>
      <c r="D966" t="s">
        <v>425</v>
      </c>
      <c r="E966" t="s">
        <v>9</v>
      </c>
      <c r="F966">
        <v>708334.43</v>
      </c>
      <c r="G966" s="6">
        <v>304736.18199999997</v>
      </c>
      <c r="H966">
        <f t="shared" si="15"/>
        <v>304736.18199999997</v>
      </c>
      <c r="I966">
        <v>22</v>
      </c>
    </row>
    <row r="967" spans="1:9" ht="15.75" thickBot="1" x14ac:dyDescent="0.3">
      <c r="A967" s="1">
        <v>44197</v>
      </c>
      <c r="B967" t="s">
        <v>6</v>
      </c>
      <c r="C967" t="s">
        <v>7</v>
      </c>
      <c r="D967" t="s">
        <v>426</v>
      </c>
      <c r="E967" t="s">
        <v>12</v>
      </c>
      <c r="F967">
        <v>2795.93</v>
      </c>
      <c r="G967" s="5">
        <v>101026.75</v>
      </c>
      <c r="H967">
        <f t="shared" si="15"/>
        <v>101.02675000000001</v>
      </c>
      <c r="I967">
        <v>8</v>
      </c>
    </row>
    <row r="968" spans="1:9" ht="15.75" thickBot="1" x14ac:dyDescent="0.3">
      <c r="A968" s="1">
        <v>44197</v>
      </c>
      <c r="B968" t="s">
        <v>6</v>
      </c>
      <c r="C968" t="s">
        <v>7</v>
      </c>
      <c r="D968" t="s">
        <v>426</v>
      </c>
      <c r="E968" t="s">
        <v>9</v>
      </c>
      <c r="F968">
        <v>29719.33</v>
      </c>
      <c r="G968" s="5">
        <v>607000</v>
      </c>
      <c r="H968">
        <f t="shared" si="15"/>
        <v>607000</v>
      </c>
      <c r="I968">
        <v>2</v>
      </c>
    </row>
    <row r="969" spans="1:9" ht="15.75" thickBot="1" x14ac:dyDescent="0.3">
      <c r="A969" s="1">
        <v>44197</v>
      </c>
      <c r="B969" t="s">
        <v>6</v>
      </c>
      <c r="C969" t="s">
        <v>7</v>
      </c>
      <c r="D969" t="s">
        <v>427</v>
      </c>
      <c r="E969" t="s">
        <v>14</v>
      </c>
      <c r="F969">
        <v>291.24</v>
      </c>
      <c r="G969" s="3">
        <v>7</v>
      </c>
      <c r="H969">
        <f t="shared" si="15"/>
        <v>7</v>
      </c>
      <c r="I969">
        <v>1</v>
      </c>
    </row>
    <row r="970" spans="1:9" ht="15.75" thickBot="1" x14ac:dyDescent="0.3">
      <c r="A970" s="1">
        <v>44197</v>
      </c>
      <c r="B970" t="s">
        <v>6</v>
      </c>
      <c r="C970" t="s">
        <v>7</v>
      </c>
      <c r="D970" t="s">
        <v>427</v>
      </c>
      <c r="E970" t="s">
        <v>24</v>
      </c>
      <c r="F970">
        <v>356.52</v>
      </c>
      <c r="G970" s="3">
        <v>11</v>
      </c>
      <c r="H970">
        <f t="shared" si="15"/>
        <v>11</v>
      </c>
      <c r="I970">
        <v>1</v>
      </c>
    </row>
    <row r="971" spans="1:9" ht="15.75" thickBot="1" x14ac:dyDescent="0.3">
      <c r="A971" s="1">
        <v>44197</v>
      </c>
      <c r="B971" t="s">
        <v>6</v>
      </c>
      <c r="C971" t="s">
        <v>7</v>
      </c>
      <c r="D971" t="s">
        <v>427</v>
      </c>
      <c r="E971" t="s">
        <v>12</v>
      </c>
      <c r="F971">
        <v>14044.9</v>
      </c>
      <c r="G971" s="5">
        <v>558206.85199999996</v>
      </c>
      <c r="H971">
        <f t="shared" si="15"/>
        <v>558.20685199999991</v>
      </c>
      <c r="I971">
        <v>63</v>
      </c>
    </row>
    <row r="972" spans="1:9" ht="15.75" thickBot="1" x14ac:dyDescent="0.3">
      <c r="A972" s="1">
        <v>44197</v>
      </c>
      <c r="B972" t="s">
        <v>6</v>
      </c>
      <c r="C972" t="s">
        <v>7</v>
      </c>
      <c r="D972" t="s">
        <v>427</v>
      </c>
      <c r="E972" t="s">
        <v>9</v>
      </c>
      <c r="F972">
        <v>831.01</v>
      </c>
      <c r="G972" s="5">
        <v>15350</v>
      </c>
      <c r="H972">
        <f t="shared" si="15"/>
        <v>15350</v>
      </c>
      <c r="I972">
        <v>7</v>
      </c>
    </row>
    <row r="973" spans="1:9" ht="15.75" thickBot="1" x14ac:dyDescent="0.3">
      <c r="A973" s="1">
        <v>44197</v>
      </c>
      <c r="B973" t="s">
        <v>6</v>
      </c>
      <c r="C973" t="s">
        <v>7</v>
      </c>
      <c r="D973" t="s">
        <v>428</v>
      </c>
      <c r="E973" t="s">
        <v>24</v>
      </c>
      <c r="F973">
        <v>21426.89</v>
      </c>
      <c r="G973" s="6">
        <v>123374.048</v>
      </c>
      <c r="H973">
        <f t="shared" si="15"/>
        <v>123374.048</v>
      </c>
      <c r="I973">
        <v>78</v>
      </c>
    </row>
    <row r="974" spans="1:9" ht="15.75" thickBot="1" x14ac:dyDescent="0.3">
      <c r="A974" s="1">
        <v>44197</v>
      </c>
      <c r="B974" t="s">
        <v>6</v>
      </c>
      <c r="C974" t="s">
        <v>7</v>
      </c>
      <c r="D974" t="s">
        <v>428</v>
      </c>
      <c r="E974" t="s">
        <v>12</v>
      </c>
      <c r="F974">
        <v>326.27999999999997</v>
      </c>
      <c r="G974" s="5">
        <v>1116380.6229999999</v>
      </c>
      <c r="H974">
        <f t="shared" si="15"/>
        <v>1116.380623</v>
      </c>
      <c r="I974">
        <v>166</v>
      </c>
    </row>
    <row r="975" spans="1:9" ht="15.75" thickBot="1" x14ac:dyDescent="0.3">
      <c r="A975" s="1">
        <v>44197</v>
      </c>
      <c r="B975" t="s">
        <v>6</v>
      </c>
      <c r="C975" t="s">
        <v>7</v>
      </c>
      <c r="D975" t="s">
        <v>428</v>
      </c>
      <c r="E975" t="s">
        <v>9</v>
      </c>
      <c r="F975">
        <v>815.7</v>
      </c>
      <c r="G975" s="5">
        <v>30000</v>
      </c>
      <c r="H975">
        <f t="shared" si="15"/>
        <v>30000</v>
      </c>
      <c r="I975">
        <v>13</v>
      </c>
    </row>
    <row r="976" spans="1:9" ht="15.75" thickBot="1" x14ac:dyDescent="0.3">
      <c r="A976" s="1">
        <v>44197</v>
      </c>
      <c r="B976" t="s">
        <v>6</v>
      </c>
      <c r="C976" t="s">
        <v>7</v>
      </c>
      <c r="D976" t="s">
        <v>429</v>
      </c>
      <c r="E976" t="s">
        <v>24</v>
      </c>
      <c r="F976">
        <v>56</v>
      </c>
      <c r="G976" s="3">
        <v>0</v>
      </c>
      <c r="H976">
        <f t="shared" si="15"/>
        <v>0</v>
      </c>
      <c r="I976">
        <v>1</v>
      </c>
    </row>
    <row r="977" spans="1:9" ht="15.75" thickBot="1" x14ac:dyDescent="0.3">
      <c r="A977" s="1">
        <v>44197</v>
      </c>
      <c r="B977" t="s">
        <v>6</v>
      </c>
      <c r="C977" t="s">
        <v>7</v>
      </c>
      <c r="D977" t="s">
        <v>429</v>
      </c>
      <c r="E977" t="s">
        <v>12</v>
      </c>
      <c r="F977">
        <v>5681.15</v>
      </c>
      <c r="G977" s="5">
        <v>188768.6</v>
      </c>
      <c r="H977">
        <f t="shared" si="15"/>
        <v>188.76859999999999</v>
      </c>
      <c r="I977">
        <v>8</v>
      </c>
    </row>
    <row r="978" spans="1:9" ht="15.75" thickBot="1" x14ac:dyDescent="0.3">
      <c r="A978" s="1">
        <v>44197</v>
      </c>
      <c r="B978" t="s">
        <v>6</v>
      </c>
      <c r="C978" t="s">
        <v>7</v>
      </c>
      <c r="D978" t="s">
        <v>429</v>
      </c>
      <c r="E978" t="s">
        <v>9</v>
      </c>
      <c r="F978">
        <v>3733.44</v>
      </c>
      <c r="G978" s="6">
        <v>104035</v>
      </c>
      <c r="H978">
        <f t="shared" si="15"/>
        <v>104035</v>
      </c>
      <c r="I978">
        <v>4</v>
      </c>
    </row>
    <row r="979" spans="1:9" ht="15.75" thickBot="1" x14ac:dyDescent="0.3">
      <c r="A979" s="1">
        <v>44197</v>
      </c>
      <c r="B979" t="s">
        <v>6</v>
      </c>
      <c r="C979" t="s">
        <v>7</v>
      </c>
      <c r="D979" t="s">
        <v>430</v>
      </c>
      <c r="E979" t="s">
        <v>12</v>
      </c>
      <c r="F979">
        <v>30689.67</v>
      </c>
      <c r="G979" s="5">
        <v>1615000</v>
      </c>
      <c r="H979">
        <f t="shared" si="15"/>
        <v>1615</v>
      </c>
      <c r="I979">
        <v>2</v>
      </c>
    </row>
    <row r="980" spans="1:9" ht="15.75" thickBot="1" x14ac:dyDescent="0.3">
      <c r="A980" s="1">
        <v>44197</v>
      </c>
      <c r="B980" t="s">
        <v>6</v>
      </c>
      <c r="C980" t="s">
        <v>7</v>
      </c>
      <c r="D980" t="s">
        <v>430</v>
      </c>
      <c r="E980" t="s">
        <v>9</v>
      </c>
      <c r="F980">
        <v>163.13999999999999</v>
      </c>
      <c r="G980" s="4">
        <v>0</v>
      </c>
      <c r="H980">
        <f t="shared" si="15"/>
        <v>0</v>
      </c>
      <c r="I980">
        <v>2</v>
      </c>
    </row>
    <row r="981" spans="1:9" ht="15.75" thickBot="1" x14ac:dyDescent="0.3">
      <c r="A981" s="1">
        <v>44197</v>
      </c>
      <c r="B981" t="s">
        <v>6</v>
      </c>
      <c r="C981" t="s">
        <v>7</v>
      </c>
      <c r="D981" t="s">
        <v>431</v>
      </c>
      <c r="E981" t="s">
        <v>14</v>
      </c>
      <c r="F981">
        <v>975.6</v>
      </c>
      <c r="G981" s="3">
        <v>30</v>
      </c>
      <c r="H981">
        <f t="shared" si="15"/>
        <v>30</v>
      </c>
      <c r="I981">
        <v>1</v>
      </c>
    </row>
    <row r="982" spans="1:9" ht="15.75" thickBot="1" x14ac:dyDescent="0.3">
      <c r="A982" s="1">
        <v>44197</v>
      </c>
      <c r="B982" t="s">
        <v>6</v>
      </c>
      <c r="C982" t="s">
        <v>7</v>
      </c>
      <c r="D982" t="s">
        <v>431</v>
      </c>
      <c r="E982" t="s">
        <v>24</v>
      </c>
      <c r="F982">
        <v>161.81</v>
      </c>
      <c r="G982" s="3">
        <v>0</v>
      </c>
      <c r="H982">
        <f t="shared" si="15"/>
        <v>0</v>
      </c>
      <c r="I982">
        <v>1</v>
      </c>
    </row>
    <row r="983" spans="1:9" ht="15.75" thickBot="1" x14ac:dyDescent="0.3">
      <c r="A983" s="1">
        <v>44197</v>
      </c>
      <c r="B983" t="s">
        <v>6</v>
      </c>
      <c r="C983" t="s">
        <v>7</v>
      </c>
      <c r="D983" t="s">
        <v>431</v>
      </c>
      <c r="E983" t="s">
        <v>12</v>
      </c>
      <c r="F983">
        <v>145.35</v>
      </c>
      <c r="G983" s="5">
        <v>3041.3049999999998</v>
      </c>
      <c r="H983">
        <f t="shared" si="15"/>
        <v>3.0413049999999999</v>
      </c>
      <c r="I983">
        <v>1</v>
      </c>
    </row>
    <row r="984" spans="1:9" ht="15.75" thickBot="1" x14ac:dyDescent="0.3">
      <c r="A984" s="1">
        <v>44197</v>
      </c>
      <c r="B984" t="s">
        <v>6</v>
      </c>
      <c r="C984" t="s">
        <v>7</v>
      </c>
      <c r="D984" t="s">
        <v>432</v>
      </c>
      <c r="E984" t="s">
        <v>9</v>
      </c>
      <c r="F984">
        <v>81.569999999999993</v>
      </c>
      <c r="G984" s="4">
        <v>0</v>
      </c>
      <c r="H984">
        <f t="shared" si="15"/>
        <v>0</v>
      </c>
      <c r="I984">
        <v>1</v>
      </c>
    </row>
    <row r="985" spans="1:9" ht="15.75" thickBot="1" x14ac:dyDescent="0.3">
      <c r="A985" s="1">
        <v>44197</v>
      </c>
      <c r="B985" t="s">
        <v>6</v>
      </c>
      <c r="C985" t="s">
        <v>7</v>
      </c>
      <c r="D985" t="s">
        <v>433</v>
      </c>
      <c r="E985" t="s">
        <v>9</v>
      </c>
      <c r="F985">
        <v>2827.84</v>
      </c>
      <c r="G985" s="3">
        <v>12</v>
      </c>
      <c r="H985">
        <f t="shared" si="15"/>
        <v>12</v>
      </c>
      <c r="I985">
        <v>1</v>
      </c>
    </row>
    <row r="986" spans="1:9" ht="15.75" thickBot="1" x14ac:dyDescent="0.3">
      <c r="A986" s="1">
        <v>44197</v>
      </c>
      <c r="B986" t="s">
        <v>6</v>
      </c>
      <c r="C986" t="s">
        <v>7</v>
      </c>
      <c r="D986" t="s">
        <v>434</v>
      </c>
      <c r="E986" t="s">
        <v>24</v>
      </c>
      <c r="F986">
        <v>100</v>
      </c>
      <c r="G986" s="3">
        <v>0</v>
      </c>
      <c r="H986">
        <f t="shared" si="15"/>
        <v>0</v>
      </c>
      <c r="I986">
        <v>1</v>
      </c>
    </row>
    <row r="987" spans="1:9" ht="15.75" thickBot="1" x14ac:dyDescent="0.3">
      <c r="A987" s="1">
        <v>44197</v>
      </c>
      <c r="B987" t="s">
        <v>6</v>
      </c>
      <c r="C987" t="s">
        <v>7</v>
      </c>
      <c r="D987" t="s">
        <v>434</v>
      </c>
      <c r="E987" t="s">
        <v>12</v>
      </c>
      <c r="F987">
        <v>850.03</v>
      </c>
      <c r="G987" s="5">
        <v>27520</v>
      </c>
      <c r="H987">
        <f t="shared" si="15"/>
        <v>27.52</v>
      </c>
      <c r="I987">
        <v>3</v>
      </c>
    </row>
    <row r="988" spans="1:9" ht="15.75" thickBot="1" x14ac:dyDescent="0.3">
      <c r="A988" s="1">
        <v>44197</v>
      </c>
      <c r="B988" t="s">
        <v>6</v>
      </c>
      <c r="C988" t="s">
        <v>7</v>
      </c>
      <c r="D988" t="s">
        <v>434</v>
      </c>
      <c r="E988" t="s">
        <v>9</v>
      </c>
      <c r="F988">
        <v>337.96</v>
      </c>
      <c r="G988" s="3">
        <v>3</v>
      </c>
      <c r="H988">
        <f t="shared" si="15"/>
        <v>3</v>
      </c>
      <c r="I988">
        <v>2</v>
      </c>
    </row>
    <row r="989" spans="1:9" ht="15.75" thickBot="1" x14ac:dyDescent="0.3">
      <c r="A989" s="1">
        <v>44197</v>
      </c>
      <c r="B989" t="s">
        <v>6</v>
      </c>
      <c r="C989" t="s">
        <v>7</v>
      </c>
      <c r="D989" t="s">
        <v>435</v>
      </c>
      <c r="E989" t="s">
        <v>14</v>
      </c>
      <c r="F989">
        <v>2685.08</v>
      </c>
      <c r="G989" s="3">
        <v>69</v>
      </c>
      <c r="H989">
        <f t="shared" si="15"/>
        <v>69</v>
      </c>
      <c r="I989">
        <v>2</v>
      </c>
    </row>
    <row r="990" spans="1:9" ht="15.75" thickBot="1" x14ac:dyDescent="0.3">
      <c r="A990" s="1">
        <v>44197</v>
      </c>
      <c r="B990" t="s">
        <v>6</v>
      </c>
      <c r="C990" t="s">
        <v>7</v>
      </c>
      <c r="D990" t="s">
        <v>435</v>
      </c>
      <c r="E990" t="s">
        <v>12</v>
      </c>
      <c r="F990">
        <v>9616.92</v>
      </c>
      <c r="G990" s="5">
        <v>347402.78200000001</v>
      </c>
      <c r="H990">
        <f t="shared" si="15"/>
        <v>347.402782</v>
      </c>
      <c r="I990">
        <v>25</v>
      </c>
    </row>
    <row r="991" spans="1:9" ht="15.75" thickBot="1" x14ac:dyDescent="0.3">
      <c r="A991" s="1">
        <v>44197</v>
      </c>
      <c r="B991" t="s">
        <v>6</v>
      </c>
      <c r="C991" t="s">
        <v>7</v>
      </c>
      <c r="D991" t="s">
        <v>435</v>
      </c>
      <c r="E991" t="s">
        <v>9</v>
      </c>
      <c r="F991">
        <v>20117.939999999999</v>
      </c>
      <c r="G991" s="5">
        <v>1088000</v>
      </c>
      <c r="H991">
        <f t="shared" si="15"/>
        <v>1088000</v>
      </c>
      <c r="I991">
        <v>2</v>
      </c>
    </row>
    <row r="992" spans="1:9" ht="15.75" thickBot="1" x14ac:dyDescent="0.3">
      <c r="A992" s="1">
        <v>44197</v>
      </c>
      <c r="B992" t="s">
        <v>6</v>
      </c>
      <c r="C992" t="s">
        <v>7</v>
      </c>
      <c r="D992" t="s">
        <v>435</v>
      </c>
      <c r="E992" t="s">
        <v>17</v>
      </c>
      <c r="F992">
        <v>366.64</v>
      </c>
      <c r="G992" s="5">
        <v>14000</v>
      </c>
      <c r="H992">
        <f t="shared" si="15"/>
        <v>14000</v>
      </c>
      <c r="I992">
        <v>1</v>
      </c>
    </row>
    <row r="993" spans="1:9" ht="15.75" thickBot="1" x14ac:dyDescent="0.3">
      <c r="A993" s="1">
        <v>44197</v>
      </c>
      <c r="B993" t="s">
        <v>6</v>
      </c>
      <c r="C993" t="s">
        <v>7</v>
      </c>
      <c r="D993" t="s">
        <v>436</v>
      </c>
      <c r="E993" t="s">
        <v>12</v>
      </c>
      <c r="F993">
        <v>2744.84</v>
      </c>
      <c r="G993" s="5">
        <v>68000</v>
      </c>
      <c r="H993">
        <f t="shared" si="15"/>
        <v>68</v>
      </c>
      <c r="I993">
        <v>1</v>
      </c>
    </row>
    <row r="994" spans="1:9" ht="15.75" thickBot="1" x14ac:dyDescent="0.3">
      <c r="A994" s="1">
        <v>44197</v>
      </c>
      <c r="B994" t="s">
        <v>6</v>
      </c>
      <c r="C994" t="s">
        <v>7</v>
      </c>
      <c r="D994" t="s">
        <v>436</v>
      </c>
      <c r="E994" t="s">
        <v>9</v>
      </c>
      <c r="F994">
        <v>3485.08</v>
      </c>
      <c r="G994" s="3">
        <v>69</v>
      </c>
      <c r="H994">
        <f t="shared" si="15"/>
        <v>69</v>
      </c>
      <c r="I994">
        <v>1</v>
      </c>
    </row>
    <row r="995" spans="1:9" ht="15.75" thickBot="1" x14ac:dyDescent="0.3">
      <c r="A995" s="1">
        <v>44197</v>
      </c>
      <c r="B995" t="s">
        <v>6</v>
      </c>
      <c r="C995" t="s">
        <v>7</v>
      </c>
      <c r="D995" t="s">
        <v>437</v>
      </c>
      <c r="E995" t="s">
        <v>14</v>
      </c>
      <c r="F995">
        <v>3241.28</v>
      </c>
      <c r="G995" s="3">
        <v>104</v>
      </c>
      <c r="H995">
        <f t="shared" si="15"/>
        <v>104</v>
      </c>
      <c r="I995">
        <v>1</v>
      </c>
    </row>
    <row r="996" spans="1:9" ht="15.75" thickBot="1" x14ac:dyDescent="0.3">
      <c r="A996" s="1">
        <v>44197</v>
      </c>
      <c r="B996" t="s">
        <v>6</v>
      </c>
      <c r="C996" t="s">
        <v>7</v>
      </c>
      <c r="D996" t="s">
        <v>437</v>
      </c>
      <c r="E996" t="s">
        <v>12</v>
      </c>
      <c r="F996">
        <v>401.07</v>
      </c>
      <c r="G996" s="5">
        <v>15000</v>
      </c>
      <c r="H996">
        <f t="shared" si="15"/>
        <v>15</v>
      </c>
      <c r="I996">
        <v>1</v>
      </c>
    </row>
    <row r="997" spans="1:9" ht="15.75" thickBot="1" x14ac:dyDescent="0.3">
      <c r="A997" s="1">
        <v>44197</v>
      </c>
      <c r="B997" t="s">
        <v>6</v>
      </c>
      <c r="C997" t="s">
        <v>7</v>
      </c>
      <c r="D997" t="s">
        <v>438</v>
      </c>
      <c r="E997" t="s">
        <v>12</v>
      </c>
      <c r="F997">
        <v>3216.3</v>
      </c>
      <c r="G997" s="6">
        <v>20092.055</v>
      </c>
      <c r="H997">
        <f t="shared" si="15"/>
        <v>20.092055000000002</v>
      </c>
      <c r="I997">
        <v>4</v>
      </c>
    </row>
    <row r="998" spans="1:9" ht="15.75" thickBot="1" x14ac:dyDescent="0.3">
      <c r="A998" s="1">
        <v>44197</v>
      </c>
      <c r="B998" t="s">
        <v>6</v>
      </c>
      <c r="C998" t="s">
        <v>7</v>
      </c>
      <c r="D998" t="s">
        <v>439</v>
      </c>
      <c r="E998" t="s">
        <v>14</v>
      </c>
      <c r="F998">
        <v>452.92</v>
      </c>
      <c r="G998" s="3">
        <v>23</v>
      </c>
      <c r="H998">
        <f t="shared" si="15"/>
        <v>23</v>
      </c>
      <c r="I998">
        <v>2</v>
      </c>
    </row>
    <row r="999" spans="1:9" ht="15.75" thickBot="1" x14ac:dyDescent="0.3">
      <c r="A999" s="1">
        <v>44197</v>
      </c>
      <c r="B999" t="s">
        <v>6</v>
      </c>
      <c r="C999" t="s">
        <v>7</v>
      </c>
      <c r="D999" t="s">
        <v>439</v>
      </c>
      <c r="E999" t="s">
        <v>12</v>
      </c>
      <c r="F999">
        <v>17636.38</v>
      </c>
      <c r="G999" s="5">
        <v>594048.57900000003</v>
      </c>
      <c r="H999">
        <f t="shared" si="15"/>
        <v>594.04857900000002</v>
      </c>
      <c r="I999">
        <v>28</v>
      </c>
    </row>
    <row r="1000" spans="1:9" ht="15.75" thickBot="1" x14ac:dyDescent="0.3">
      <c r="A1000" s="1">
        <v>44197</v>
      </c>
      <c r="B1000" t="s">
        <v>6</v>
      </c>
      <c r="C1000" t="s">
        <v>7</v>
      </c>
      <c r="D1000" t="s">
        <v>439</v>
      </c>
      <c r="E1000" t="s">
        <v>9</v>
      </c>
      <c r="F1000">
        <v>1852.87</v>
      </c>
      <c r="G1000" s="5">
        <v>49000</v>
      </c>
      <c r="H1000">
        <f t="shared" si="15"/>
        <v>49000</v>
      </c>
      <c r="I1000">
        <v>8</v>
      </c>
    </row>
    <row r="1001" spans="1:9" ht="15.75" thickBot="1" x14ac:dyDescent="0.3">
      <c r="A1001" s="1">
        <v>44197</v>
      </c>
      <c r="B1001" t="s">
        <v>6</v>
      </c>
      <c r="C1001" t="s">
        <v>7</v>
      </c>
      <c r="D1001" t="s">
        <v>440</v>
      </c>
      <c r="E1001" t="s">
        <v>14</v>
      </c>
      <c r="F1001">
        <v>24916.83</v>
      </c>
      <c r="G1001" s="3">
        <v>764</v>
      </c>
      <c r="H1001">
        <f t="shared" si="15"/>
        <v>764</v>
      </c>
      <c r="I1001">
        <v>6</v>
      </c>
    </row>
    <row r="1002" spans="1:9" ht="15.75" thickBot="1" x14ac:dyDescent="0.3">
      <c r="A1002" s="1">
        <v>44197</v>
      </c>
      <c r="B1002" t="s">
        <v>6</v>
      </c>
      <c r="C1002" t="s">
        <v>7</v>
      </c>
      <c r="D1002" t="s">
        <v>440</v>
      </c>
      <c r="E1002" t="s">
        <v>9</v>
      </c>
      <c r="F1002">
        <v>237249.33</v>
      </c>
      <c r="G1002" s="3">
        <v>8068</v>
      </c>
      <c r="H1002">
        <f t="shared" si="15"/>
        <v>8068</v>
      </c>
      <c r="I1002">
        <v>2</v>
      </c>
    </row>
    <row r="1003" spans="1:9" ht="15.75" thickBot="1" x14ac:dyDescent="0.3">
      <c r="A1003" s="1">
        <v>44197</v>
      </c>
      <c r="B1003" t="s">
        <v>6</v>
      </c>
      <c r="C1003" t="s">
        <v>7</v>
      </c>
      <c r="D1003" t="s">
        <v>441</v>
      </c>
      <c r="E1003" t="s">
        <v>14</v>
      </c>
      <c r="F1003">
        <v>400</v>
      </c>
      <c r="G1003" s="3">
        <v>0</v>
      </c>
      <c r="H1003">
        <f t="shared" si="15"/>
        <v>0</v>
      </c>
      <c r="I1003">
        <v>1</v>
      </c>
    </row>
    <row r="1004" spans="1:9" ht="15.75" thickBot="1" x14ac:dyDescent="0.3">
      <c r="A1004" s="1">
        <v>44197</v>
      </c>
      <c r="B1004" t="s">
        <v>6</v>
      </c>
      <c r="C1004" t="s">
        <v>7</v>
      </c>
      <c r="D1004" t="s">
        <v>441</v>
      </c>
      <c r="E1004" t="s">
        <v>12</v>
      </c>
      <c r="F1004">
        <v>25395.52</v>
      </c>
      <c r="G1004" s="5">
        <v>807913.74</v>
      </c>
      <c r="H1004">
        <f t="shared" si="15"/>
        <v>807.91373999999996</v>
      </c>
      <c r="I1004">
        <v>48</v>
      </c>
    </row>
    <row r="1005" spans="1:9" ht="15.75" thickBot="1" x14ac:dyDescent="0.3">
      <c r="A1005" s="1">
        <v>44197</v>
      </c>
      <c r="B1005" t="s">
        <v>6</v>
      </c>
      <c r="C1005" t="s">
        <v>7</v>
      </c>
      <c r="D1005" t="s">
        <v>441</v>
      </c>
      <c r="E1005" t="s">
        <v>15</v>
      </c>
      <c r="F1005">
        <v>13035.56</v>
      </c>
      <c r="G1005" s="3">
        <v>311</v>
      </c>
      <c r="H1005">
        <f t="shared" si="15"/>
        <v>311</v>
      </c>
      <c r="I1005">
        <v>2</v>
      </c>
    </row>
    <row r="1006" spans="1:9" ht="15.75" thickBot="1" x14ac:dyDescent="0.3">
      <c r="A1006" s="1">
        <v>44197</v>
      </c>
      <c r="B1006" t="s">
        <v>6</v>
      </c>
      <c r="C1006" t="s">
        <v>7</v>
      </c>
      <c r="D1006" t="s">
        <v>441</v>
      </c>
      <c r="E1006" t="s">
        <v>9</v>
      </c>
      <c r="F1006">
        <v>12051.8</v>
      </c>
      <c r="G1006" s="3">
        <v>298</v>
      </c>
      <c r="H1006">
        <f t="shared" si="15"/>
        <v>298</v>
      </c>
      <c r="I1006">
        <v>7</v>
      </c>
    </row>
    <row r="1007" spans="1:9" ht="15.75" thickBot="1" x14ac:dyDescent="0.3">
      <c r="A1007" s="1">
        <v>44197</v>
      </c>
      <c r="B1007" t="s">
        <v>6</v>
      </c>
      <c r="C1007" t="s">
        <v>7</v>
      </c>
      <c r="D1007" t="s">
        <v>441</v>
      </c>
      <c r="E1007" t="s">
        <v>17</v>
      </c>
      <c r="F1007">
        <v>611.78</v>
      </c>
      <c r="G1007" s="5">
        <v>26000</v>
      </c>
      <c r="H1007">
        <f t="shared" si="15"/>
        <v>26000</v>
      </c>
      <c r="I1007">
        <v>3</v>
      </c>
    </row>
    <row r="1008" spans="1:9" ht="15.75" thickBot="1" x14ac:dyDescent="0.3">
      <c r="A1008" s="1">
        <v>44197</v>
      </c>
      <c r="B1008" t="s">
        <v>6</v>
      </c>
      <c r="C1008" t="s">
        <v>7</v>
      </c>
      <c r="D1008" t="s">
        <v>442</v>
      </c>
      <c r="E1008" t="s">
        <v>12</v>
      </c>
      <c r="F1008">
        <v>26575.34</v>
      </c>
      <c r="G1008" s="5">
        <v>1211000</v>
      </c>
      <c r="H1008">
        <f t="shared" si="15"/>
        <v>1211</v>
      </c>
      <c r="I1008">
        <v>7</v>
      </c>
    </row>
    <row r="1009" spans="1:9" ht="15.75" thickBot="1" x14ac:dyDescent="0.3">
      <c r="A1009" s="1">
        <v>44197</v>
      </c>
      <c r="B1009" t="s">
        <v>6</v>
      </c>
      <c r="C1009" t="s">
        <v>7</v>
      </c>
      <c r="D1009" t="s">
        <v>443</v>
      </c>
      <c r="E1009" t="s">
        <v>12</v>
      </c>
      <c r="F1009">
        <v>10373.700000000001</v>
      </c>
      <c r="G1009" s="5">
        <v>318491.25</v>
      </c>
      <c r="H1009">
        <f t="shared" si="15"/>
        <v>318.49124999999998</v>
      </c>
      <c r="I1009">
        <v>1</v>
      </c>
    </row>
    <row r="1010" spans="1:9" ht="15.75" thickBot="1" x14ac:dyDescent="0.3">
      <c r="A1010" s="1">
        <v>44197</v>
      </c>
      <c r="B1010" t="s">
        <v>6</v>
      </c>
      <c r="C1010" t="s">
        <v>7</v>
      </c>
      <c r="D1010" t="s">
        <v>443</v>
      </c>
      <c r="E1010" t="s">
        <v>9</v>
      </c>
      <c r="F1010">
        <v>1312.51</v>
      </c>
      <c r="G1010" s="3">
        <v>48</v>
      </c>
      <c r="H1010">
        <f t="shared" si="15"/>
        <v>48</v>
      </c>
      <c r="I1010">
        <v>1</v>
      </c>
    </row>
    <row r="1011" spans="1:9" ht="15.75" thickBot="1" x14ac:dyDescent="0.3">
      <c r="A1011" s="1">
        <v>44197</v>
      </c>
      <c r="B1011" t="s">
        <v>6</v>
      </c>
      <c r="C1011" t="s">
        <v>7</v>
      </c>
      <c r="D1011" t="s">
        <v>444</v>
      </c>
      <c r="E1011" t="s">
        <v>14</v>
      </c>
      <c r="F1011">
        <v>2558.2800000000002</v>
      </c>
      <c r="G1011" s="3">
        <v>79</v>
      </c>
      <c r="H1011">
        <f t="shared" si="15"/>
        <v>79</v>
      </c>
      <c r="I1011">
        <v>1</v>
      </c>
    </row>
    <row r="1012" spans="1:9" ht="15.75" thickBot="1" x14ac:dyDescent="0.3">
      <c r="A1012" s="1">
        <v>44197</v>
      </c>
      <c r="B1012" t="s">
        <v>6</v>
      </c>
      <c r="C1012" t="s">
        <v>7</v>
      </c>
      <c r="D1012" t="s">
        <v>444</v>
      </c>
      <c r="E1012" t="s">
        <v>12</v>
      </c>
      <c r="F1012">
        <v>449.46</v>
      </c>
      <c r="G1012" s="5">
        <v>20000</v>
      </c>
      <c r="H1012">
        <f t="shared" si="15"/>
        <v>20</v>
      </c>
      <c r="I1012">
        <v>2</v>
      </c>
    </row>
    <row r="1013" spans="1:9" ht="15.75" thickBot="1" x14ac:dyDescent="0.3">
      <c r="A1013" s="1">
        <v>44197</v>
      </c>
      <c r="B1013" t="s">
        <v>6</v>
      </c>
      <c r="C1013" t="s">
        <v>7</v>
      </c>
      <c r="D1013" t="s">
        <v>445</v>
      </c>
      <c r="E1013" t="s">
        <v>14</v>
      </c>
      <c r="F1013">
        <v>864.44</v>
      </c>
      <c r="G1013" s="3">
        <v>17</v>
      </c>
      <c r="H1013">
        <f t="shared" si="15"/>
        <v>17</v>
      </c>
      <c r="I1013">
        <v>1</v>
      </c>
    </row>
    <row r="1014" spans="1:9" ht="15.75" thickBot="1" x14ac:dyDescent="0.3">
      <c r="A1014" s="1">
        <v>44197</v>
      </c>
      <c r="B1014" t="s">
        <v>6</v>
      </c>
      <c r="C1014" t="s">
        <v>7</v>
      </c>
      <c r="D1014" t="s">
        <v>445</v>
      </c>
      <c r="E1014" t="s">
        <v>15</v>
      </c>
      <c r="F1014">
        <v>9998.32</v>
      </c>
      <c r="G1014" s="3">
        <v>126</v>
      </c>
      <c r="H1014">
        <f t="shared" si="15"/>
        <v>126</v>
      </c>
      <c r="I1014">
        <v>5</v>
      </c>
    </row>
    <row r="1015" spans="1:9" ht="15.75" thickBot="1" x14ac:dyDescent="0.3">
      <c r="A1015" s="1">
        <v>44197</v>
      </c>
      <c r="B1015" t="s">
        <v>6</v>
      </c>
      <c r="C1015" t="s">
        <v>7</v>
      </c>
      <c r="D1015" t="s">
        <v>445</v>
      </c>
      <c r="E1015" t="s">
        <v>9</v>
      </c>
      <c r="F1015">
        <v>3018.69</v>
      </c>
      <c r="G1015" s="3">
        <v>16</v>
      </c>
      <c r="H1015">
        <f t="shared" si="15"/>
        <v>16</v>
      </c>
      <c r="I1015">
        <v>2</v>
      </c>
    </row>
    <row r="1016" spans="1:9" ht="15.75" thickBot="1" x14ac:dyDescent="0.3">
      <c r="A1016" s="1">
        <v>44197</v>
      </c>
      <c r="B1016" t="s">
        <v>6</v>
      </c>
      <c r="C1016" t="s">
        <v>7</v>
      </c>
      <c r="D1016" t="s">
        <v>446</v>
      </c>
      <c r="E1016" t="s">
        <v>9</v>
      </c>
      <c r="F1016">
        <v>81.569999999999993</v>
      </c>
      <c r="G1016" s="4">
        <v>0</v>
      </c>
      <c r="H1016">
        <f t="shared" si="15"/>
        <v>0</v>
      </c>
      <c r="I1016">
        <v>1</v>
      </c>
    </row>
    <row r="1017" spans="1:9" ht="15.75" thickBot="1" x14ac:dyDescent="0.3">
      <c r="A1017" s="1">
        <v>44197</v>
      </c>
      <c r="B1017" t="s">
        <v>6</v>
      </c>
      <c r="C1017" t="s">
        <v>7</v>
      </c>
      <c r="D1017" t="s">
        <v>447</v>
      </c>
      <c r="E1017" t="s">
        <v>14</v>
      </c>
      <c r="F1017">
        <v>389042.76</v>
      </c>
      <c r="G1017" s="3">
        <v>14143</v>
      </c>
      <c r="H1017">
        <f t="shared" si="15"/>
        <v>14143</v>
      </c>
      <c r="I1017">
        <v>2</v>
      </c>
    </row>
    <row r="1018" spans="1:9" ht="15.75" thickBot="1" x14ac:dyDescent="0.3">
      <c r="A1018" s="1">
        <v>44197</v>
      </c>
      <c r="B1018" t="s">
        <v>6</v>
      </c>
      <c r="C1018" t="s">
        <v>7</v>
      </c>
      <c r="D1018" t="s">
        <v>447</v>
      </c>
      <c r="E1018" t="s">
        <v>9</v>
      </c>
      <c r="F1018">
        <v>163.13999999999999</v>
      </c>
      <c r="G1018" s="4">
        <v>0</v>
      </c>
      <c r="H1018">
        <f t="shared" si="15"/>
        <v>0</v>
      </c>
      <c r="I1018">
        <v>2</v>
      </c>
    </row>
    <row r="1019" spans="1:9" ht="15.75" thickBot="1" x14ac:dyDescent="0.3">
      <c r="A1019" s="1">
        <v>44197</v>
      </c>
      <c r="B1019" t="s">
        <v>6</v>
      </c>
      <c r="C1019" t="s">
        <v>7</v>
      </c>
      <c r="D1019" t="s">
        <v>448</v>
      </c>
      <c r="E1019" t="s">
        <v>24</v>
      </c>
      <c r="F1019">
        <v>97585.79</v>
      </c>
      <c r="G1019" s="3">
        <v>3482</v>
      </c>
      <c r="H1019">
        <f t="shared" si="15"/>
        <v>3482</v>
      </c>
      <c r="I1019">
        <v>24</v>
      </c>
    </row>
    <row r="1020" spans="1:9" ht="15.75" thickBot="1" x14ac:dyDescent="0.3">
      <c r="A1020" s="1">
        <v>44197</v>
      </c>
      <c r="B1020" t="s">
        <v>6</v>
      </c>
      <c r="C1020" t="s">
        <v>7</v>
      </c>
      <c r="D1020" t="s">
        <v>448</v>
      </c>
      <c r="E1020" t="s">
        <v>12</v>
      </c>
      <c r="F1020">
        <v>600.28</v>
      </c>
      <c r="G1020" s="5">
        <v>31000</v>
      </c>
      <c r="H1020">
        <f t="shared" si="15"/>
        <v>31</v>
      </c>
      <c r="I1020">
        <v>4</v>
      </c>
    </row>
    <row r="1021" spans="1:9" ht="15.75" thickBot="1" x14ac:dyDescent="0.3">
      <c r="A1021" s="1">
        <v>44197</v>
      </c>
      <c r="B1021" t="s">
        <v>6</v>
      </c>
      <c r="C1021" t="s">
        <v>7</v>
      </c>
      <c r="D1021" t="s">
        <v>449</v>
      </c>
      <c r="E1021" t="s">
        <v>12</v>
      </c>
      <c r="F1021">
        <v>2029.51</v>
      </c>
      <c r="G1021" s="5">
        <v>55500</v>
      </c>
      <c r="H1021">
        <f t="shared" si="15"/>
        <v>55.5</v>
      </c>
      <c r="I1021">
        <v>9</v>
      </c>
    </row>
    <row r="1022" spans="1:9" ht="15.75" thickBot="1" x14ac:dyDescent="0.3">
      <c r="A1022" s="1">
        <v>44197</v>
      </c>
      <c r="B1022" t="s">
        <v>6</v>
      </c>
      <c r="C1022" t="s">
        <v>7</v>
      </c>
      <c r="D1022" t="s">
        <v>449</v>
      </c>
      <c r="E1022" t="s">
        <v>9</v>
      </c>
      <c r="F1022">
        <v>680.31</v>
      </c>
      <c r="G1022" s="5">
        <v>18997.650000000001</v>
      </c>
      <c r="H1022">
        <f t="shared" si="15"/>
        <v>18997.650000000001</v>
      </c>
      <c r="I1022">
        <v>3</v>
      </c>
    </row>
    <row r="1023" spans="1:9" ht="15.75" thickBot="1" x14ac:dyDescent="0.3">
      <c r="A1023" s="1">
        <v>44197</v>
      </c>
      <c r="B1023" t="s">
        <v>6</v>
      </c>
      <c r="C1023" t="s">
        <v>7</v>
      </c>
      <c r="D1023" t="s">
        <v>450</v>
      </c>
      <c r="E1023" t="s">
        <v>12</v>
      </c>
      <c r="F1023">
        <v>7192.22</v>
      </c>
      <c r="G1023" s="5">
        <v>257000</v>
      </c>
      <c r="H1023">
        <f t="shared" si="15"/>
        <v>257</v>
      </c>
      <c r="I1023">
        <v>4</v>
      </c>
    </row>
    <row r="1024" spans="1:9" ht="15.75" thickBot="1" x14ac:dyDescent="0.3">
      <c r="A1024" s="1">
        <v>44197</v>
      </c>
      <c r="B1024" t="s">
        <v>6</v>
      </c>
      <c r="C1024" t="s">
        <v>7</v>
      </c>
      <c r="D1024" t="s">
        <v>450</v>
      </c>
      <c r="E1024" t="s">
        <v>9</v>
      </c>
      <c r="F1024">
        <v>1274.3699999999999</v>
      </c>
      <c r="G1024" s="3">
        <v>40</v>
      </c>
      <c r="H1024">
        <f t="shared" si="15"/>
        <v>40</v>
      </c>
      <c r="I1024">
        <v>2</v>
      </c>
    </row>
    <row r="1025" spans="1:9" ht="15.75" thickBot="1" x14ac:dyDescent="0.3">
      <c r="A1025" s="1">
        <v>44197</v>
      </c>
      <c r="B1025" t="s">
        <v>6</v>
      </c>
      <c r="C1025" t="s">
        <v>7</v>
      </c>
      <c r="D1025" t="s">
        <v>451</v>
      </c>
      <c r="E1025" t="s">
        <v>14</v>
      </c>
      <c r="F1025">
        <v>137.96</v>
      </c>
      <c r="G1025" s="3">
        <v>3</v>
      </c>
      <c r="H1025">
        <f t="shared" si="15"/>
        <v>3</v>
      </c>
      <c r="I1025">
        <v>1</v>
      </c>
    </row>
    <row r="1026" spans="1:9" ht="15.75" thickBot="1" x14ac:dyDescent="0.3">
      <c r="A1026" s="1">
        <v>44197</v>
      </c>
      <c r="B1026" t="s">
        <v>6</v>
      </c>
      <c r="C1026" t="s">
        <v>7</v>
      </c>
      <c r="D1026" t="s">
        <v>451</v>
      </c>
      <c r="E1026" t="s">
        <v>24</v>
      </c>
      <c r="F1026">
        <v>13606.22</v>
      </c>
      <c r="G1026" s="5">
        <v>159511.731</v>
      </c>
      <c r="H1026">
        <f t="shared" si="15"/>
        <v>159511.731</v>
      </c>
      <c r="I1026">
        <v>5</v>
      </c>
    </row>
    <row r="1027" spans="1:9" ht="15.75" thickBot="1" x14ac:dyDescent="0.3">
      <c r="A1027" s="1">
        <v>44197</v>
      </c>
      <c r="B1027" t="s">
        <v>6</v>
      </c>
      <c r="C1027" t="s">
        <v>7</v>
      </c>
      <c r="D1027" t="s">
        <v>451</v>
      </c>
      <c r="E1027" t="s">
        <v>12</v>
      </c>
      <c r="F1027">
        <v>21347.78</v>
      </c>
      <c r="G1027" s="6">
        <v>516062.54800000001</v>
      </c>
      <c r="H1027">
        <f t="shared" ref="H1027:H1090" si="16">IF(ISNUMBER(SEARCH("Domestic customer", E1027)),G1027/1000,G1027)</f>
        <v>516.06254799999999</v>
      </c>
      <c r="I1027">
        <v>28</v>
      </c>
    </row>
    <row r="1028" spans="1:9" ht="15.75" thickBot="1" x14ac:dyDescent="0.3">
      <c r="A1028" s="1">
        <v>44197</v>
      </c>
      <c r="B1028" t="s">
        <v>6</v>
      </c>
      <c r="C1028" t="s">
        <v>7</v>
      </c>
      <c r="D1028" t="s">
        <v>451</v>
      </c>
      <c r="E1028" t="s">
        <v>9</v>
      </c>
      <c r="F1028">
        <v>1110.6400000000001</v>
      </c>
      <c r="G1028" s="3">
        <v>23</v>
      </c>
      <c r="H1028">
        <f t="shared" si="16"/>
        <v>23</v>
      </c>
      <c r="I1028">
        <v>5</v>
      </c>
    </row>
    <row r="1029" spans="1:9" ht="15.75" thickBot="1" x14ac:dyDescent="0.3">
      <c r="A1029" s="1">
        <v>44197</v>
      </c>
      <c r="B1029" t="s">
        <v>6</v>
      </c>
      <c r="C1029" t="s">
        <v>7</v>
      </c>
      <c r="D1029" t="s">
        <v>452</v>
      </c>
      <c r="E1029" t="s">
        <v>14</v>
      </c>
      <c r="F1029">
        <v>13726.84</v>
      </c>
      <c r="G1029" s="3">
        <v>87</v>
      </c>
      <c r="H1029">
        <f t="shared" si="16"/>
        <v>87</v>
      </c>
      <c r="I1029">
        <v>3</v>
      </c>
    </row>
    <row r="1030" spans="1:9" ht="15.75" thickBot="1" x14ac:dyDescent="0.3">
      <c r="A1030" s="1">
        <v>44197</v>
      </c>
      <c r="B1030" t="s">
        <v>6</v>
      </c>
      <c r="C1030" t="s">
        <v>7</v>
      </c>
      <c r="D1030" t="s">
        <v>452</v>
      </c>
      <c r="E1030" t="s">
        <v>24</v>
      </c>
      <c r="F1030">
        <v>2592.08</v>
      </c>
      <c r="G1030" s="3">
        <v>45</v>
      </c>
      <c r="H1030">
        <f t="shared" si="16"/>
        <v>45</v>
      </c>
      <c r="I1030">
        <v>19</v>
      </c>
    </row>
    <row r="1031" spans="1:9" ht="15.75" thickBot="1" x14ac:dyDescent="0.3">
      <c r="A1031" s="1">
        <v>44197</v>
      </c>
      <c r="B1031" t="s">
        <v>6</v>
      </c>
      <c r="C1031" t="s">
        <v>7</v>
      </c>
      <c r="D1031" t="s">
        <v>452</v>
      </c>
      <c r="E1031" t="s">
        <v>12</v>
      </c>
      <c r="F1031">
        <v>89784.66</v>
      </c>
      <c r="G1031" s="6">
        <v>5446150.0939999996</v>
      </c>
      <c r="H1031">
        <f t="shared" si="16"/>
        <v>5446.1500939999996</v>
      </c>
      <c r="I1031">
        <v>453</v>
      </c>
    </row>
    <row r="1032" spans="1:9" ht="15.75" thickBot="1" x14ac:dyDescent="0.3">
      <c r="A1032" s="1">
        <v>44197</v>
      </c>
      <c r="B1032" t="s">
        <v>6</v>
      </c>
      <c r="C1032" t="s">
        <v>7</v>
      </c>
      <c r="D1032" t="s">
        <v>452</v>
      </c>
      <c r="E1032" t="s">
        <v>9</v>
      </c>
      <c r="F1032">
        <v>17524.86</v>
      </c>
      <c r="G1032" s="6">
        <v>3695703.787</v>
      </c>
      <c r="H1032">
        <f t="shared" si="16"/>
        <v>3695703.787</v>
      </c>
      <c r="I1032">
        <v>59</v>
      </c>
    </row>
    <row r="1033" spans="1:9" ht="15.75" thickBot="1" x14ac:dyDescent="0.3">
      <c r="A1033" s="1">
        <v>44197</v>
      </c>
      <c r="B1033" t="s">
        <v>6</v>
      </c>
      <c r="C1033" t="s">
        <v>7</v>
      </c>
      <c r="D1033" t="s">
        <v>452</v>
      </c>
      <c r="E1033" t="s">
        <v>17</v>
      </c>
      <c r="F1033">
        <v>47320.6</v>
      </c>
      <c r="G1033" s="6">
        <v>11369.338</v>
      </c>
      <c r="H1033">
        <f t="shared" si="16"/>
        <v>11369.338</v>
      </c>
      <c r="I1033">
        <v>3</v>
      </c>
    </row>
    <row r="1034" spans="1:9" ht="15.75" thickBot="1" x14ac:dyDescent="0.3">
      <c r="A1034" s="1">
        <v>44197</v>
      </c>
      <c r="B1034" t="s">
        <v>6</v>
      </c>
      <c r="C1034" t="s">
        <v>7</v>
      </c>
      <c r="D1034" t="s">
        <v>453</v>
      </c>
      <c r="E1034" t="s">
        <v>14</v>
      </c>
      <c r="F1034">
        <v>7304.56</v>
      </c>
      <c r="G1034" s="3">
        <v>258</v>
      </c>
      <c r="H1034">
        <f t="shared" si="16"/>
        <v>258</v>
      </c>
      <c r="I1034">
        <v>2</v>
      </c>
    </row>
    <row r="1035" spans="1:9" ht="15.75" thickBot="1" x14ac:dyDescent="0.3">
      <c r="A1035" s="1">
        <v>44197</v>
      </c>
      <c r="B1035" t="s">
        <v>6</v>
      </c>
      <c r="C1035" t="s">
        <v>7</v>
      </c>
      <c r="D1035" t="s">
        <v>453</v>
      </c>
      <c r="E1035" t="s">
        <v>24</v>
      </c>
      <c r="F1035">
        <v>939.97</v>
      </c>
      <c r="G1035" s="3">
        <v>20</v>
      </c>
      <c r="H1035">
        <f t="shared" si="16"/>
        <v>20</v>
      </c>
      <c r="I1035">
        <v>3</v>
      </c>
    </row>
    <row r="1036" spans="1:9" ht="15.75" thickBot="1" x14ac:dyDescent="0.3">
      <c r="A1036" s="1">
        <v>44197</v>
      </c>
      <c r="B1036" t="s">
        <v>6</v>
      </c>
      <c r="C1036" t="s">
        <v>7</v>
      </c>
      <c r="D1036" t="s">
        <v>453</v>
      </c>
      <c r="E1036" t="s">
        <v>12</v>
      </c>
      <c r="F1036">
        <v>18430.21</v>
      </c>
      <c r="G1036" s="6">
        <v>483845.88799999998</v>
      </c>
      <c r="H1036">
        <f t="shared" si="16"/>
        <v>483.845888</v>
      </c>
      <c r="I1036">
        <v>15</v>
      </c>
    </row>
    <row r="1037" spans="1:9" ht="15.75" thickBot="1" x14ac:dyDescent="0.3">
      <c r="A1037" s="1">
        <v>44197</v>
      </c>
      <c r="B1037" t="s">
        <v>6</v>
      </c>
      <c r="C1037" t="s">
        <v>7</v>
      </c>
      <c r="D1037" t="s">
        <v>453</v>
      </c>
      <c r="E1037" t="s">
        <v>9</v>
      </c>
      <c r="F1037">
        <v>12488.8</v>
      </c>
      <c r="G1037" s="6">
        <v>168891.91099999999</v>
      </c>
      <c r="H1037">
        <f t="shared" si="16"/>
        <v>168891.91099999999</v>
      </c>
      <c r="I1037">
        <v>7</v>
      </c>
    </row>
    <row r="1038" spans="1:9" ht="15.75" thickBot="1" x14ac:dyDescent="0.3">
      <c r="A1038" s="1">
        <v>44197</v>
      </c>
      <c r="B1038" t="s">
        <v>6</v>
      </c>
      <c r="C1038" t="s">
        <v>7</v>
      </c>
      <c r="D1038" t="s">
        <v>454</v>
      </c>
      <c r="E1038" t="s">
        <v>24</v>
      </c>
      <c r="F1038">
        <v>3625.29</v>
      </c>
      <c r="G1038" s="3">
        <v>543</v>
      </c>
      <c r="H1038">
        <f t="shared" si="16"/>
        <v>543</v>
      </c>
      <c r="I1038">
        <v>2</v>
      </c>
    </row>
    <row r="1039" spans="1:9" ht="15.75" thickBot="1" x14ac:dyDescent="0.3">
      <c r="A1039" s="1">
        <v>44197</v>
      </c>
      <c r="B1039" t="s">
        <v>6</v>
      </c>
      <c r="C1039" t="s">
        <v>7</v>
      </c>
      <c r="D1039" t="s">
        <v>454</v>
      </c>
      <c r="E1039" t="s">
        <v>12</v>
      </c>
      <c r="F1039">
        <v>0</v>
      </c>
      <c r="G1039" s="6">
        <v>10774</v>
      </c>
      <c r="H1039">
        <f t="shared" si="16"/>
        <v>10.773999999999999</v>
      </c>
      <c r="I1039">
        <v>2</v>
      </c>
    </row>
    <row r="1040" spans="1:9" ht="15.75" thickBot="1" x14ac:dyDescent="0.3">
      <c r="A1040" s="1">
        <v>44197</v>
      </c>
      <c r="B1040" t="s">
        <v>6</v>
      </c>
      <c r="C1040" t="s">
        <v>7</v>
      </c>
      <c r="D1040" t="s">
        <v>455</v>
      </c>
      <c r="E1040" t="s">
        <v>12</v>
      </c>
      <c r="F1040">
        <v>730.82</v>
      </c>
      <c r="G1040" s="5">
        <v>24000</v>
      </c>
      <c r="H1040">
        <f t="shared" si="16"/>
        <v>24</v>
      </c>
      <c r="I1040">
        <v>2</v>
      </c>
    </row>
    <row r="1041" spans="1:9" ht="15.75" thickBot="1" x14ac:dyDescent="0.3">
      <c r="A1041" s="1">
        <v>44197</v>
      </c>
      <c r="B1041" t="s">
        <v>6</v>
      </c>
      <c r="C1041" t="s">
        <v>7</v>
      </c>
      <c r="D1041" t="s">
        <v>456</v>
      </c>
      <c r="E1041" t="s">
        <v>12</v>
      </c>
      <c r="F1041">
        <v>2185.5700000000002</v>
      </c>
      <c r="G1041" s="5">
        <v>947848</v>
      </c>
      <c r="H1041">
        <f t="shared" si="16"/>
        <v>947.84799999999996</v>
      </c>
      <c r="I1041">
        <v>145</v>
      </c>
    </row>
    <row r="1042" spans="1:9" ht="15.75" thickBot="1" x14ac:dyDescent="0.3">
      <c r="A1042" s="1">
        <v>44197</v>
      </c>
      <c r="B1042" t="s">
        <v>6</v>
      </c>
      <c r="C1042" t="s">
        <v>7</v>
      </c>
      <c r="D1042" t="s">
        <v>457</v>
      </c>
      <c r="E1042" t="s">
        <v>24</v>
      </c>
      <c r="F1042">
        <v>219838.32</v>
      </c>
      <c r="G1042" s="3">
        <v>6793</v>
      </c>
      <c r="H1042">
        <f t="shared" si="16"/>
        <v>6793</v>
      </c>
      <c r="I1042">
        <v>414</v>
      </c>
    </row>
    <row r="1043" spans="1:9" ht="15.75" thickBot="1" x14ac:dyDescent="0.3">
      <c r="A1043" s="1">
        <v>44197</v>
      </c>
      <c r="B1043" t="s">
        <v>6</v>
      </c>
      <c r="C1043" t="s">
        <v>7</v>
      </c>
      <c r="D1043" t="s">
        <v>457</v>
      </c>
      <c r="E1043" t="s">
        <v>17</v>
      </c>
      <c r="F1043">
        <v>958</v>
      </c>
      <c r="G1043" s="3">
        <v>24</v>
      </c>
      <c r="H1043">
        <f t="shared" si="16"/>
        <v>24</v>
      </c>
      <c r="I1043">
        <v>3</v>
      </c>
    </row>
    <row r="1044" spans="1:9" ht="15.75" thickBot="1" x14ac:dyDescent="0.3">
      <c r="A1044" s="1">
        <v>44197</v>
      </c>
      <c r="B1044" t="s">
        <v>6</v>
      </c>
      <c r="C1044" t="s">
        <v>7</v>
      </c>
      <c r="D1044" t="s">
        <v>458</v>
      </c>
      <c r="E1044" t="s">
        <v>12</v>
      </c>
      <c r="F1044">
        <v>292.41000000000003</v>
      </c>
      <c r="G1044" s="5">
        <v>11000</v>
      </c>
      <c r="H1044">
        <f t="shared" si="16"/>
        <v>11</v>
      </c>
      <c r="I1044">
        <v>1</v>
      </c>
    </row>
    <row r="1045" spans="1:9" ht="15.75" thickBot="1" x14ac:dyDescent="0.3">
      <c r="A1045" s="1">
        <v>44197</v>
      </c>
      <c r="B1045" t="s">
        <v>6</v>
      </c>
      <c r="C1045" t="s">
        <v>7</v>
      </c>
      <c r="D1045" t="s">
        <v>459</v>
      </c>
      <c r="E1045" t="s">
        <v>24</v>
      </c>
      <c r="F1045">
        <v>10992.84</v>
      </c>
      <c r="G1045" s="5">
        <v>101000</v>
      </c>
      <c r="H1045">
        <f t="shared" si="16"/>
        <v>101000</v>
      </c>
      <c r="I1045">
        <v>1</v>
      </c>
    </row>
    <row r="1046" spans="1:9" ht="15.75" thickBot="1" x14ac:dyDescent="0.3">
      <c r="A1046" s="1">
        <v>44197</v>
      </c>
      <c r="B1046" t="s">
        <v>6</v>
      </c>
      <c r="C1046" t="s">
        <v>7</v>
      </c>
      <c r="D1046" t="s">
        <v>459</v>
      </c>
      <c r="E1046" t="s">
        <v>9</v>
      </c>
      <c r="F1046">
        <v>127.32</v>
      </c>
      <c r="G1046" s="3">
        <v>1</v>
      </c>
      <c r="H1046">
        <f t="shared" si="16"/>
        <v>1</v>
      </c>
      <c r="I1046">
        <v>1</v>
      </c>
    </row>
    <row r="1047" spans="1:9" ht="15.75" thickBot="1" x14ac:dyDescent="0.3">
      <c r="A1047" s="1">
        <v>44197</v>
      </c>
      <c r="B1047" t="s">
        <v>6</v>
      </c>
      <c r="C1047" t="s">
        <v>7</v>
      </c>
      <c r="D1047" t="s">
        <v>460</v>
      </c>
      <c r="E1047" t="s">
        <v>14</v>
      </c>
      <c r="F1047">
        <v>2556.1999999999998</v>
      </c>
      <c r="G1047" s="3">
        <v>35</v>
      </c>
      <c r="H1047">
        <f t="shared" si="16"/>
        <v>35</v>
      </c>
      <c r="I1047">
        <v>1</v>
      </c>
    </row>
    <row r="1048" spans="1:9" ht="15.75" thickBot="1" x14ac:dyDescent="0.3">
      <c r="A1048" s="1">
        <v>44197</v>
      </c>
      <c r="B1048" t="s">
        <v>6</v>
      </c>
      <c r="C1048" t="s">
        <v>7</v>
      </c>
      <c r="D1048" t="s">
        <v>461</v>
      </c>
      <c r="E1048" t="s">
        <v>24</v>
      </c>
      <c r="F1048">
        <v>1795.92</v>
      </c>
      <c r="G1048" s="3">
        <v>36</v>
      </c>
      <c r="H1048">
        <f t="shared" si="16"/>
        <v>36</v>
      </c>
      <c r="I1048">
        <v>1</v>
      </c>
    </row>
    <row r="1049" spans="1:9" ht="15.75" thickBot="1" x14ac:dyDescent="0.3">
      <c r="A1049" s="1">
        <v>44197</v>
      </c>
      <c r="B1049" t="s">
        <v>6</v>
      </c>
      <c r="C1049" t="s">
        <v>7</v>
      </c>
      <c r="D1049" t="s">
        <v>461</v>
      </c>
      <c r="E1049" t="s">
        <v>12</v>
      </c>
      <c r="F1049">
        <v>35574.370000000003</v>
      </c>
      <c r="G1049" s="5">
        <v>1022296.286</v>
      </c>
      <c r="H1049">
        <f t="shared" si="16"/>
        <v>1022.296286</v>
      </c>
      <c r="I1049">
        <v>180</v>
      </c>
    </row>
    <row r="1050" spans="1:9" ht="15.75" thickBot="1" x14ac:dyDescent="0.3">
      <c r="A1050" s="1">
        <v>44197</v>
      </c>
      <c r="B1050" t="s">
        <v>6</v>
      </c>
      <c r="C1050" t="s">
        <v>7</v>
      </c>
      <c r="D1050" t="s">
        <v>461</v>
      </c>
      <c r="E1050" t="s">
        <v>9</v>
      </c>
      <c r="F1050">
        <v>12612.22</v>
      </c>
      <c r="G1050" s="6">
        <v>43177</v>
      </c>
      <c r="H1050">
        <f t="shared" si="16"/>
        <v>43177</v>
      </c>
      <c r="I1050">
        <v>6</v>
      </c>
    </row>
    <row r="1051" spans="1:9" ht="15.75" thickBot="1" x14ac:dyDescent="0.3">
      <c r="A1051" s="1">
        <v>44197</v>
      </c>
      <c r="B1051" t="s">
        <v>6</v>
      </c>
      <c r="C1051" t="s">
        <v>7</v>
      </c>
      <c r="D1051" t="s">
        <v>461</v>
      </c>
      <c r="E1051" t="s">
        <v>17</v>
      </c>
      <c r="F1051">
        <v>1263.8699999999999</v>
      </c>
      <c r="G1051" s="5">
        <v>46000</v>
      </c>
      <c r="H1051">
        <f t="shared" si="16"/>
        <v>46000</v>
      </c>
      <c r="I1051">
        <v>3</v>
      </c>
    </row>
    <row r="1052" spans="1:9" ht="15.75" thickBot="1" x14ac:dyDescent="0.3">
      <c r="A1052" s="1">
        <v>44197</v>
      </c>
      <c r="B1052" t="s">
        <v>6</v>
      </c>
      <c r="C1052" t="s">
        <v>7</v>
      </c>
      <c r="D1052" t="s">
        <v>462</v>
      </c>
      <c r="E1052" t="s">
        <v>24</v>
      </c>
      <c r="F1052">
        <v>156</v>
      </c>
      <c r="G1052" s="3">
        <v>0</v>
      </c>
      <c r="H1052">
        <f t="shared" si="16"/>
        <v>0</v>
      </c>
      <c r="I1052">
        <v>1</v>
      </c>
    </row>
    <row r="1053" spans="1:9" ht="15.75" thickBot="1" x14ac:dyDescent="0.3">
      <c r="A1053" s="1">
        <v>44197</v>
      </c>
      <c r="B1053" t="s">
        <v>6</v>
      </c>
      <c r="C1053" t="s">
        <v>7</v>
      </c>
      <c r="D1053" t="s">
        <v>462</v>
      </c>
      <c r="E1053" t="s">
        <v>12</v>
      </c>
      <c r="F1053">
        <v>242.26</v>
      </c>
      <c r="G1053" s="5">
        <v>10710</v>
      </c>
      <c r="H1053">
        <f t="shared" si="16"/>
        <v>10.71</v>
      </c>
      <c r="I1053">
        <v>1</v>
      </c>
    </row>
    <row r="1054" spans="1:9" ht="15.75" thickBot="1" x14ac:dyDescent="0.3">
      <c r="A1054" s="1">
        <v>44197</v>
      </c>
      <c r="B1054" t="s">
        <v>6</v>
      </c>
      <c r="C1054" t="s">
        <v>7</v>
      </c>
      <c r="D1054" t="s">
        <v>463</v>
      </c>
      <c r="E1054" t="s">
        <v>14</v>
      </c>
      <c r="F1054">
        <v>32416.2</v>
      </c>
      <c r="G1054" s="3">
        <v>1160</v>
      </c>
      <c r="H1054">
        <f t="shared" si="16"/>
        <v>1160</v>
      </c>
      <c r="I1054">
        <v>1</v>
      </c>
    </row>
    <row r="1055" spans="1:9" ht="15.75" thickBot="1" x14ac:dyDescent="0.3">
      <c r="A1055" s="1">
        <v>44197</v>
      </c>
      <c r="B1055" t="s">
        <v>6</v>
      </c>
      <c r="C1055" t="s">
        <v>7</v>
      </c>
      <c r="D1055" t="s">
        <v>463</v>
      </c>
      <c r="E1055" t="s">
        <v>12</v>
      </c>
      <c r="F1055">
        <v>400</v>
      </c>
      <c r="G1055" s="5">
        <v>0</v>
      </c>
      <c r="H1055">
        <f t="shared" si="16"/>
        <v>0</v>
      </c>
      <c r="I1055">
        <v>1</v>
      </c>
    </row>
    <row r="1056" spans="1:9" ht="15.75" thickBot="1" x14ac:dyDescent="0.3">
      <c r="A1056" s="1">
        <v>44197</v>
      </c>
      <c r="B1056" t="s">
        <v>6</v>
      </c>
      <c r="C1056" t="s">
        <v>7</v>
      </c>
      <c r="D1056" t="s">
        <v>464</v>
      </c>
      <c r="E1056" t="s">
        <v>14</v>
      </c>
      <c r="F1056">
        <v>4616.5600000000004</v>
      </c>
      <c r="G1056" s="3">
        <v>158</v>
      </c>
      <c r="H1056">
        <f t="shared" si="16"/>
        <v>158</v>
      </c>
      <c r="I1056">
        <v>1</v>
      </c>
    </row>
    <row r="1057" spans="1:9" ht="15.75" thickBot="1" x14ac:dyDescent="0.3">
      <c r="A1057" s="1">
        <v>44197</v>
      </c>
      <c r="B1057" t="s">
        <v>6</v>
      </c>
      <c r="C1057" t="s">
        <v>7</v>
      </c>
      <c r="D1057" t="s">
        <v>464</v>
      </c>
      <c r="E1057" t="s">
        <v>24</v>
      </c>
      <c r="F1057">
        <v>554.64</v>
      </c>
      <c r="G1057" s="3">
        <v>2</v>
      </c>
      <c r="H1057">
        <f t="shared" si="16"/>
        <v>2</v>
      </c>
      <c r="I1057">
        <v>2</v>
      </c>
    </row>
    <row r="1058" spans="1:9" ht="15.75" thickBot="1" x14ac:dyDescent="0.3">
      <c r="A1058" s="1">
        <v>44197</v>
      </c>
      <c r="B1058" t="s">
        <v>6</v>
      </c>
      <c r="C1058" t="s">
        <v>7</v>
      </c>
      <c r="D1058" t="s">
        <v>464</v>
      </c>
      <c r="E1058" t="s">
        <v>12</v>
      </c>
      <c r="F1058">
        <v>8837.4599999999991</v>
      </c>
      <c r="G1058" s="6">
        <v>612300.31099999999</v>
      </c>
      <c r="H1058">
        <f t="shared" si="16"/>
        <v>612.30031099999997</v>
      </c>
      <c r="I1058">
        <v>37</v>
      </c>
    </row>
    <row r="1059" spans="1:9" ht="15.75" thickBot="1" x14ac:dyDescent="0.3">
      <c r="A1059" s="1">
        <v>44197</v>
      </c>
      <c r="B1059" t="s">
        <v>6</v>
      </c>
      <c r="C1059" t="s">
        <v>7</v>
      </c>
      <c r="D1059" t="s">
        <v>464</v>
      </c>
      <c r="E1059" t="s">
        <v>9</v>
      </c>
      <c r="F1059">
        <v>44836.47</v>
      </c>
      <c r="G1059" s="6">
        <v>75950.345000000001</v>
      </c>
      <c r="H1059">
        <f t="shared" si="16"/>
        <v>75950.345000000001</v>
      </c>
      <c r="I1059">
        <v>17</v>
      </c>
    </row>
    <row r="1060" spans="1:9" ht="15.75" thickBot="1" x14ac:dyDescent="0.3">
      <c r="A1060" s="1">
        <v>44197</v>
      </c>
      <c r="B1060" t="s">
        <v>6</v>
      </c>
      <c r="C1060" t="s">
        <v>7</v>
      </c>
      <c r="D1060" t="s">
        <v>464</v>
      </c>
      <c r="E1060" t="s">
        <v>17</v>
      </c>
      <c r="F1060">
        <v>100</v>
      </c>
      <c r="G1060" s="5">
        <v>0</v>
      </c>
      <c r="H1060">
        <f t="shared" si="16"/>
        <v>0</v>
      </c>
      <c r="I1060">
        <v>1</v>
      </c>
    </row>
    <row r="1061" spans="1:9" ht="15.75" thickBot="1" x14ac:dyDescent="0.3">
      <c r="A1061" s="1">
        <v>44197</v>
      </c>
      <c r="B1061" t="s">
        <v>6</v>
      </c>
      <c r="C1061" t="s">
        <v>7</v>
      </c>
      <c r="D1061" t="s">
        <v>465</v>
      </c>
      <c r="E1061" t="s">
        <v>12</v>
      </c>
      <c r="F1061">
        <v>56</v>
      </c>
      <c r="G1061" s="5">
        <v>0</v>
      </c>
      <c r="H1061">
        <f t="shared" si="16"/>
        <v>0</v>
      </c>
      <c r="I1061">
        <v>1</v>
      </c>
    </row>
    <row r="1062" spans="1:9" ht="15.75" thickBot="1" x14ac:dyDescent="0.3">
      <c r="A1062" s="1">
        <v>44197</v>
      </c>
      <c r="B1062" t="s">
        <v>6</v>
      </c>
      <c r="C1062" t="s">
        <v>7</v>
      </c>
      <c r="D1062" t="s">
        <v>466</v>
      </c>
      <c r="E1062" t="s">
        <v>12</v>
      </c>
      <c r="F1062">
        <v>144.72999999999999</v>
      </c>
      <c r="G1062" s="5">
        <v>3000</v>
      </c>
      <c r="H1062">
        <f t="shared" si="16"/>
        <v>3</v>
      </c>
      <c r="I1062">
        <v>1</v>
      </c>
    </row>
    <row r="1063" spans="1:9" ht="15.75" thickBot="1" x14ac:dyDescent="0.3">
      <c r="A1063" s="1">
        <v>44197</v>
      </c>
      <c r="B1063" t="s">
        <v>6</v>
      </c>
      <c r="C1063" t="s">
        <v>7</v>
      </c>
      <c r="D1063" t="s">
        <v>467</v>
      </c>
      <c r="E1063" t="s">
        <v>14</v>
      </c>
      <c r="F1063">
        <v>57164.4</v>
      </c>
      <c r="G1063" s="3">
        <v>1795</v>
      </c>
      <c r="H1063">
        <f t="shared" si="16"/>
        <v>1795</v>
      </c>
      <c r="I1063">
        <v>2</v>
      </c>
    </row>
    <row r="1064" spans="1:9" ht="15.75" thickBot="1" x14ac:dyDescent="0.3">
      <c r="A1064" s="1">
        <v>44197</v>
      </c>
      <c r="B1064" t="s">
        <v>6</v>
      </c>
      <c r="C1064" t="s">
        <v>7</v>
      </c>
      <c r="D1064" t="s">
        <v>467</v>
      </c>
      <c r="E1064" t="s">
        <v>12</v>
      </c>
      <c r="F1064">
        <v>160628.62</v>
      </c>
      <c r="G1064" s="5">
        <v>8310000</v>
      </c>
      <c r="H1064">
        <f t="shared" si="16"/>
        <v>8310</v>
      </c>
      <c r="I1064">
        <v>1</v>
      </c>
    </row>
    <row r="1065" spans="1:9" ht="15.75" thickBot="1" x14ac:dyDescent="0.3">
      <c r="A1065" s="1">
        <v>44197</v>
      </c>
      <c r="B1065" t="s">
        <v>6</v>
      </c>
      <c r="C1065" t="s">
        <v>7</v>
      </c>
      <c r="D1065" t="s">
        <v>467</v>
      </c>
      <c r="E1065" t="s">
        <v>9</v>
      </c>
      <c r="F1065">
        <v>2039.25</v>
      </c>
      <c r="G1065" s="4">
        <v>0</v>
      </c>
      <c r="H1065">
        <f t="shared" si="16"/>
        <v>0</v>
      </c>
      <c r="I1065">
        <v>25</v>
      </c>
    </row>
    <row r="1066" spans="1:9" ht="15.75" thickBot="1" x14ac:dyDescent="0.3">
      <c r="A1066" s="1">
        <v>44197</v>
      </c>
      <c r="B1066" t="s">
        <v>6</v>
      </c>
      <c r="C1066" t="s">
        <v>7</v>
      </c>
      <c r="D1066" t="s">
        <v>468</v>
      </c>
      <c r="E1066" t="s">
        <v>24</v>
      </c>
      <c r="F1066">
        <v>1941.72</v>
      </c>
      <c r="G1066" s="3">
        <v>67</v>
      </c>
      <c r="H1066">
        <f t="shared" si="16"/>
        <v>67</v>
      </c>
      <c r="I1066">
        <v>1</v>
      </c>
    </row>
    <row r="1067" spans="1:9" ht="15.75" thickBot="1" x14ac:dyDescent="0.3">
      <c r="A1067" s="1">
        <v>44197</v>
      </c>
      <c r="B1067" t="s">
        <v>6</v>
      </c>
      <c r="C1067" t="s">
        <v>7</v>
      </c>
      <c r="D1067" t="s">
        <v>469</v>
      </c>
      <c r="E1067" t="s">
        <v>12</v>
      </c>
      <c r="F1067">
        <v>1070.8699999999999</v>
      </c>
      <c r="G1067" s="5">
        <v>40000</v>
      </c>
      <c r="H1067">
        <f t="shared" si="16"/>
        <v>40</v>
      </c>
      <c r="I1067">
        <v>3</v>
      </c>
    </row>
    <row r="1068" spans="1:9" ht="15.75" thickBot="1" x14ac:dyDescent="0.3">
      <c r="A1068" s="1">
        <v>44197</v>
      </c>
      <c r="B1068" t="s">
        <v>6</v>
      </c>
      <c r="C1068" t="s">
        <v>7</v>
      </c>
      <c r="D1068" t="s">
        <v>470</v>
      </c>
      <c r="E1068" t="s">
        <v>14</v>
      </c>
      <c r="F1068">
        <v>2382.48</v>
      </c>
      <c r="G1068" s="3">
        <v>14</v>
      </c>
      <c r="H1068">
        <f t="shared" si="16"/>
        <v>14</v>
      </c>
      <c r="I1068">
        <v>2</v>
      </c>
    </row>
    <row r="1069" spans="1:9" ht="15.75" thickBot="1" x14ac:dyDescent="0.3">
      <c r="A1069" s="1">
        <v>44197</v>
      </c>
      <c r="B1069" t="s">
        <v>6</v>
      </c>
      <c r="C1069" t="s">
        <v>7</v>
      </c>
      <c r="D1069" t="s">
        <v>470</v>
      </c>
      <c r="E1069" t="s">
        <v>12</v>
      </c>
      <c r="F1069">
        <v>13963.12</v>
      </c>
      <c r="G1069" s="5">
        <v>385000</v>
      </c>
      <c r="H1069">
        <f t="shared" si="16"/>
        <v>385</v>
      </c>
      <c r="I1069">
        <v>16</v>
      </c>
    </row>
    <row r="1070" spans="1:9" ht="15.75" thickBot="1" x14ac:dyDescent="0.3">
      <c r="A1070" s="1">
        <v>44197</v>
      </c>
      <c r="B1070" t="s">
        <v>6</v>
      </c>
      <c r="C1070" t="s">
        <v>7</v>
      </c>
      <c r="D1070" t="s">
        <v>470</v>
      </c>
      <c r="E1070" t="s">
        <v>9</v>
      </c>
      <c r="F1070">
        <v>407.85</v>
      </c>
      <c r="G1070" s="4">
        <v>0</v>
      </c>
      <c r="H1070">
        <f t="shared" si="16"/>
        <v>0</v>
      </c>
      <c r="I1070">
        <v>6</v>
      </c>
    </row>
    <row r="1071" spans="1:9" ht="15.75" thickBot="1" x14ac:dyDescent="0.3">
      <c r="A1071" s="1">
        <v>44197</v>
      </c>
      <c r="B1071" t="s">
        <v>6</v>
      </c>
      <c r="C1071" t="s">
        <v>7</v>
      </c>
      <c r="D1071" t="s">
        <v>471</v>
      </c>
      <c r="E1071" t="s">
        <v>14</v>
      </c>
      <c r="F1071">
        <v>939</v>
      </c>
      <c r="G1071" s="3">
        <v>25</v>
      </c>
      <c r="H1071">
        <f t="shared" si="16"/>
        <v>25</v>
      </c>
      <c r="I1071">
        <v>2</v>
      </c>
    </row>
    <row r="1072" spans="1:9" ht="15.75" thickBot="1" x14ac:dyDescent="0.3">
      <c r="A1072" s="1">
        <v>44197</v>
      </c>
      <c r="B1072" t="s">
        <v>6</v>
      </c>
      <c r="C1072" t="s">
        <v>7</v>
      </c>
      <c r="D1072" t="s">
        <v>471</v>
      </c>
      <c r="E1072" t="s">
        <v>24</v>
      </c>
      <c r="F1072">
        <v>127.32</v>
      </c>
      <c r="G1072" s="3">
        <v>1</v>
      </c>
      <c r="H1072">
        <f t="shared" si="16"/>
        <v>1</v>
      </c>
      <c r="I1072">
        <v>1</v>
      </c>
    </row>
    <row r="1073" spans="1:9" ht="15.75" thickBot="1" x14ac:dyDescent="0.3">
      <c r="A1073" s="1">
        <v>44197</v>
      </c>
      <c r="B1073" t="s">
        <v>6</v>
      </c>
      <c r="C1073" t="s">
        <v>7</v>
      </c>
      <c r="D1073" t="s">
        <v>471</v>
      </c>
      <c r="E1073" t="s">
        <v>15</v>
      </c>
      <c r="F1073">
        <v>18848.07</v>
      </c>
      <c r="G1073" s="3">
        <v>598</v>
      </c>
      <c r="H1073">
        <f t="shared" si="16"/>
        <v>598</v>
      </c>
      <c r="I1073">
        <v>1</v>
      </c>
    </row>
    <row r="1074" spans="1:9" ht="15.75" thickBot="1" x14ac:dyDescent="0.3">
      <c r="A1074" s="1">
        <v>44197</v>
      </c>
      <c r="B1074" t="s">
        <v>6</v>
      </c>
      <c r="C1074" t="s">
        <v>7</v>
      </c>
      <c r="D1074" t="s">
        <v>471</v>
      </c>
      <c r="E1074" t="s">
        <v>9</v>
      </c>
      <c r="F1074">
        <v>975.21</v>
      </c>
      <c r="G1074" s="3">
        <v>27</v>
      </c>
      <c r="H1074">
        <f t="shared" si="16"/>
        <v>27</v>
      </c>
      <c r="I1074">
        <v>2</v>
      </c>
    </row>
    <row r="1075" spans="1:9" ht="15.75" thickBot="1" x14ac:dyDescent="0.3">
      <c r="A1075" s="1">
        <v>44197</v>
      </c>
      <c r="B1075" t="s">
        <v>6</v>
      </c>
      <c r="C1075" t="s">
        <v>7</v>
      </c>
      <c r="D1075" t="s">
        <v>472</v>
      </c>
      <c r="E1075" t="s">
        <v>24</v>
      </c>
      <c r="F1075">
        <v>5942.32</v>
      </c>
      <c r="G1075" s="3">
        <v>126</v>
      </c>
      <c r="H1075">
        <f t="shared" si="16"/>
        <v>126</v>
      </c>
      <c r="I1075">
        <v>1</v>
      </c>
    </row>
    <row r="1076" spans="1:9" ht="15.75" thickBot="1" x14ac:dyDescent="0.3">
      <c r="A1076" s="1">
        <v>44197</v>
      </c>
      <c r="B1076" t="s">
        <v>6</v>
      </c>
      <c r="C1076" t="s">
        <v>7</v>
      </c>
      <c r="D1076" t="s">
        <v>473</v>
      </c>
      <c r="E1076" t="s">
        <v>12</v>
      </c>
      <c r="F1076">
        <v>4069.49</v>
      </c>
      <c r="G1076" s="5">
        <v>222000</v>
      </c>
      <c r="H1076">
        <f t="shared" si="16"/>
        <v>222</v>
      </c>
      <c r="I1076">
        <v>1</v>
      </c>
    </row>
    <row r="1077" spans="1:9" ht="15.75" thickBot="1" x14ac:dyDescent="0.3">
      <c r="A1077" s="1">
        <v>44197</v>
      </c>
      <c r="B1077" t="s">
        <v>6</v>
      </c>
      <c r="C1077" t="s">
        <v>7</v>
      </c>
      <c r="D1077" t="s">
        <v>474</v>
      </c>
      <c r="E1077" t="s">
        <v>14</v>
      </c>
      <c r="F1077">
        <v>482.48</v>
      </c>
      <c r="G1077" s="3">
        <v>14</v>
      </c>
      <c r="H1077">
        <f t="shared" si="16"/>
        <v>14</v>
      </c>
      <c r="I1077">
        <v>1</v>
      </c>
    </row>
    <row r="1078" spans="1:9" ht="15.75" thickBot="1" x14ac:dyDescent="0.3">
      <c r="A1078" s="1">
        <v>44197</v>
      </c>
      <c r="B1078" t="s">
        <v>6</v>
      </c>
      <c r="C1078" t="s">
        <v>7</v>
      </c>
      <c r="D1078" t="s">
        <v>474</v>
      </c>
      <c r="E1078" t="s">
        <v>12</v>
      </c>
      <c r="F1078">
        <v>12384.45</v>
      </c>
      <c r="G1078" s="5">
        <v>421000</v>
      </c>
      <c r="H1078">
        <f t="shared" si="16"/>
        <v>421</v>
      </c>
      <c r="I1078">
        <v>47</v>
      </c>
    </row>
    <row r="1079" spans="1:9" ht="15.75" thickBot="1" x14ac:dyDescent="0.3">
      <c r="A1079" s="1">
        <v>44197</v>
      </c>
      <c r="B1079" t="s">
        <v>6</v>
      </c>
      <c r="C1079" t="s">
        <v>7</v>
      </c>
      <c r="D1079" t="s">
        <v>474</v>
      </c>
      <c r="E1079" t="s">
        <v>9</v>
      </c>
      <c r="F1079">
        <v>1770.39</v>
      </c>
      <c r="G1079" s="5">
        <v>56000</v>
      </c>
      <c r="H1079">
        <f t="shared" si="16"/>
        <v>56000</v>
      </c>
      <c r="I1079">
        <v>6</v>
      </c>
    </row>
    <row r="1080" spans="1:9" ht="15.75" thickBot="1" x14ac:dyDescent="0.3">
      <c r="A1080" s="1">
        <v>44197</v>
      </c>
      <c r="B1080" t="s">
        <v>6</v>
      </c>
      <c r="C1080" t="s">
        <v>7</v>
      </c>
      <c r="D1080" t="s">
        <v>474</v>
      </c>
      <c r="E1080" t="s">
        <v>17</v>
      </c>
      <c r="F1080">
        <v>567.14</v>
      </c>
      <c r="G1080" s="5">
        <v>21000</v>
      </c>
      <c r="H1080">
        <f t="shared" si="16"/>
        <v>21000</v>
      </c>
      <c r="I1080">
        <v>2</v>
      </c>
    </row>
    <row r="1081" spans="1:9" ht="15.75" thickBot="1" x14ac:dyDescent="0.3">
      <c r="A1081" s="1">
        <v>44197</v>
      </c>
      <c r="B1081" t="s">
        <v>6</v>
      </c>
      <c r="C1081" t="s">
        <v>7</v>
      </c>
      <c r="D1081" t="s">
        <v>475</v>
      </c>
      <c r="E1081" t="s">
        <v>24</v>
      </c>
      <c r="F1081">
        <v>312</v>
      </c>
      <c r="G1081" s="3">
        <v>0</v>
      </c>
      <c r="H1081">
        <f t="shared" si="16"/>
        <v>0</v>
      </c>
      <c r="I1081">
        <v>2</v>
      </c>
    </row>
    <row r="1082" spans="1:9" ht="15.75" thickBot="1" x14ac:dyDescent="0.3">
      <c r="A1082" s="1">
        <v>44197</v>
      </c>
      <c r="B1082" t="s">
        <v>6</v>
      </c>
      <c r="C1082" t="s">
        <v>7</v>
      </c>
      <c r="D1082" t="s">
        <v>475</v>
      </c>
      <c r="E1082" t="s">
        <v>12</v>
      </c>
      <c r="F1082">
        <v>8735.48</v>
      </c>
      <c r="G1082" s="5">
        <v>408000</v>
      </c>
      <c r="H1082">
        <f t="shared" si="16"/>
        <v>408</v>
      </c>
      <c r="I1082">
        <v>1</v>
      </c>
    </row>
    <row r="1083" spans="1:9" ht="15.75" thickBot="1" x14ac:dyDescent="0.3">
      <c r="A1083" s="1">
        <v>44197</v>
      </c>
      <c r="B1083" t="s">
        <v>6</v>
      </c>
      <c r="C1083" t="s">
        <v>7</v>
      </c>
      <c r="D1083" t="s">
        <v>476</v>
      </c>
      <c r="E1083" t="s">
        <v>12</v>
      </c>
      <c r="F1083">
        <v>457.07</v>
      </c>
      <c r="G1083" s="5">
        <v>15000</v>
      </c>
      <c r="H1083">
        <f t="shared" si="16"/>
        <v>15</v>
      </c>
      <c r="I1083">
        <v>2</v>
      </c>
    </row>
    <row r="1084" spans="1:9" ht="15.75" thickBot="1" x14ac:dyDescent="0.3">
      <c r="A1084" s="1">
        <v>44197</v>
      </c>
      <c r="B1084" t="s">
        <v>6</v>
      </c>
      <c r="C1084" t="s">
        <v>7</v>
      </c>
      <c r="D1084" t="s">
        <v>477</v>
      </c>
      <c r="E1084" t="s">
        <v>12</v>
      </c>
      <c r="F1084">
        <v>37539.300000000003</v>
      </c>
      <c r="G1084" s="5">
        <v>1635187.6</v>
      </c>
      <c r="H1084">
        <f t="shared" si="16"/>
        <v>1635.1876000000002</v>
      </c>
      <c r="I1084">
        <v>6</v>
      </c>
    </row>
    <row r="1085" spans="1:9" ht="15.75" thickBot="1" x14ac:dyDescent="0.3">
      <c r="A1085" s="1">
        <v>44197</v>
      </c>
      <c r="B1085" t="s">
        <v>6</v>
      </c>
      <c r="C1085" t="s">
        <v>7</v>
      </c>
      <c r="D1085" t="s">
        <v>478</v>
      </c>
      <c r="E1085" t="s">
        <v>24</v>
      </c>
      <c r="F1085">
        <v>291.24</v>
      </c>
      <c r="G1085" s="3">
        <v>7</v>
      </c>
      <c r="H1085">
        <f t="shared" si="16"/>
        <v>7</v>
      </c>
      <c r="I1085">
        <v>1</v>
      </c>
    </row>
    <row r="1086" spans="1:9" ht="15.75" thickBot="1" x14ac:dyDescent="0.3">
      <c r="A1086" s="1">
        <v>44197</v>
      </c>
      <c r="B1086" t="s">
        <v>6</v>
      </c>
      <c r="C1086" t="s">
        <v>7</v>
      </c>
      <c r="D1086" t="s">
        <v>478</v>
      </c>
      <c r="E1086" t="s">
        <v>12</v>
      </c>
      <c r="F1086">
        <v>1439.22</v>
      </c>
      <c r="G1086" s="5">
        <v>53752.4</v>
      </c>
      <c r="H1086">
        <f t="shared" si="16"/>
        <v>53.752400000000002</v>
      </c>
      <c r="I1086">
        <v>6</v>
      </c>
    </row>
    <row r="1087" spans="1:9" ht="15.75" thickBot="1" x14ac:dyDescent="0.3">
      <c r="A1087" s="1">
        <v>44197</v>
      </c>
      <c r="B1087" t="s">
        <v>6</v>
      </c>
      <c r="C1087" t="s">
        <v>7</v>
      </c>
      <c r="D1087" t="s">
        <v>478</v>
      </c>
      <c r="E1087" t="s">
        <v>15</v>
      </c>
      <c r="F1087">
        <v>5809.36</v>
      </c>
      <c r="G1087" s="3">
        <v>198</v>
      </c>
      <c r="H1087">
        <f t="shared" si="16"/>
        <v>198</v>
      </c>
      <c r="I1087">
        <v>1</v>
      </c>
    </row>
    <row r="1088" spans="1:9" ht="15.75" thickBot="1" x14ac:dyDescent="0.3">
      <c r="A1088" s="1">
        <v>44197</v>
      </c>
      <c r="B1088" t="s">
        <v>6</v>
      </c>
      <c r="C1088" t="s">
        <v>7</v>
      </c>
      <c r="D1088" t="s">
        <v>478</v>
      </c>
      <c r="E1088" t="s">
        <v>9</v>
      </c>
      <c r="F1088">
        <v>322.77999999999997</v>
      </c>
      <c r="G1088" s="5">
        <v>4000</v>
      </c>
      <c r="H1088">
        <f t="shared" si="16"/>
        <v>4000</v>
      </c>
      <c r="I1088">
        <v>3</v>
      </c>
    </row>
    <row r="1089" spans="1:9" ht="15.75" thickBot="1" x14ac:dyDescent="0.3">
      <c r="A1089" s="1">
        <v>44197</v>
      </c>
      <c r="B1089" t="s">
        <v>6</v>
      </c>
      <c r="C1089" t="s">
        <v>7</v>
      </c>
      <c r="D1089" t="s">
        <v>479</v>
      </c>
      <c r="E1089" t="s">
        <v>12</v>
      </c>
      <c r="F1089">
        <v>3797.99</v>
      </c>
      <c r="G1089" s="5">
        <v>111923.1</v>
      </c>
      <c r="H1089">
        <f t="shared" si="16"/>
        <v>111.92310000000001</v>
      </c>
      <c r="I1089">
        <v>16</v>
      </c>
    </row>
    <row r="1090" spans="1:9" ht="15.75" thickBot="1" x14ac:dyDescent="0.3">
      <c r="A1090" s="1">
        <v>44197</v>
      </c>
      <c r="B1090" t="s">
        <v>6</v>
      </c>
      <c r="C1090" t="s">
        <v>7</v>
      </c>
      <c r="D1090" t="s">
        <v>480</v>
      </c>
      <c r="E1090" t="s">
        <v>12</v>
      </c>
      <c r="F1090">
        <v>302.27</v>
      </c>
      <c r="G1090" s="5">
        <v>9000</v>
      </c>
      <c r="H1090">
        <f t="shared" si="16"/>
        <v>9</v>
      </c>
      <c r="I1090">
        <v>1</v>
      </c>
    </row>
    <row r="1091" spans="1:9" ht="15.75" thickBot="1" x14ac:dyDescent="0.3">
      <c r="A1091" s="1">
        <v>44197</v>
      </c>
      <c r="B1091" t="s">
        <v>6</v>
      </c>
      <c r="C1091" t="s">
        <v>7</v>
      </c>
      <c r="D1091" t="s">
        <v>480</v>
      </c>
      <c r="E1091" t="s">
        <v>9</v>
      </c>
      <c r="F1091">
        <v>81.569999999999993</v>
      </c>
      <c r="G1091" s="4">
        <v>0</v>
      </c>
      <c r="H1091">
        <f t="shared" ref="H1091:H1154" si="17">IF(ISNUMBER(SEARCH("Domestic customer", E1091)),G1091/1000,G1091)</f>
        <v>0</v>
      </c>
      <c r="I1091">
        <v>1</v>
      </c>
    </row>
    <row r="1092" spans="1:9" ht="15.75" thickBot="1" x14ac:dyDescent="0.3">
      <c r="A1092" s="1">
        <v>44197</v>
      </c>
      <c r="B1092" t="s">
        <v>6</v>
      </c>
      <c r="C1092" t="s">
        <v>7</v>
      </c>
      <c r="D1092" t="s">
        <v>481</v>
      </c>
      <c r="E1092" t="s">
        <v>12</v>
      </c>
      <c r="F1092">
        <v>5853.67</v>
      </c>
      <c r="G1092" s="5">
        <v>76781.248999999996</v>
      </c>
      <c r="H1092">
        <f t="shared" si="17"/>
        <v>76.781249000000003</v>
      </c>
      <c r="I1092">
        <v>1</v>
      </c>
    </row>
    <row r="1093" spans="1:9" ht="15.75" thickBot="1" x14ac:dyDescent="0.3">
      <c r="A1093" s="1">
        <v>44197</v>
      </c>
      <c r="B1093" t="s">
        <v>6</v>
      </c>
      <c r="C1093" t="s">
        <v>7</v>
      </c>
      <c r="D1093" t="s">
        <v>482</v>
      </c>
      <c r="E1093" t="s">
        <v>12</v>
      </c>
      <c r="F1093">
        <v>328.74</v>
      </c>
      <c r="G1093" s="5">
        <v>11000</v>
      </c>
      <c r="H1093">
        <f t="shared" si="17"/>
        <v>11</v>
      </c>
      <c r="I1093">
        <v>2</v>
      </c>
    </row>
    <row r="1094" spans="1:9" ht="15.75" thickBot="1" x14ac:dyDescent="0.3">
      <c r="A1094" s="1">
        <v>44197</v>
      </c>
      <c r="B1094" t="s">
        <v>6</v>
      </c>
      <c r="C1094" t="s">
        <v>7</v>
      </c>
      <c r="D1094" t="s">
        <v>482</v>
      </c>
      <c r="E1094" t="s">
        <v>9</v>
      </c>
      <c r="F1094">
        <v>31629.94</v>
      </c>
      <c r="G1094" s="3">
        <v>740</v>
      </c>
      <c r="H1094">
        <f t="shared" si="17"/>
        <v>740</v>
      </c>
      <c r="I1094">
        <v>3</v>
      </c>
    </row>
    <row r="1095" spans="1:9" ht="15.75" thickBot="1" x14ac:dyDescent="0.3">
      <c r="A1095" s="1">
        <v>44197</v>
      </c>
      <c r="B1095" t="s">
        <v>6</v>
      </c>
      <c r="C1095" t="s">
        <v>7</v>
      </c>
      <c r="D1095" t="s">
        <v>483</v>
      </c>
      <c r="E1095" t="s">
        <v>12</v>
      </c>
      <c r="F1095">
        <v>2036.42</v>
      </c>
      <c r="G1095" s="5">
        <v>62000</v>
      </c>
      <c r="H1095">
        <f t="shared" si="17"/>
        <v>62</v>
      </c>
      <c r="I1095">
        <v>6</v>
      </c>
    </row>
    <row r="1096" spans="1:9" ht="15.75" thickBot="1" x14ac:dyDescent="0.3">
      <c r="A1096" s="1">
        <v>44197</v>
      </c>
      <c r="B1096" t="s">
        <v>6</v>
      </c>
      <c r="C1096" t="s">
        <v>7</v>
      </c>
      <c r="D1096" t="s">
        <v>483</v>
      </c>
      <c r="E1096" t="s">
        <v>9</v>
      </c>
      <c r="F1096">
        <v>732.39</v>
      </c>
      <c r="G1096" s="5">
        <v>26000</v>
      </c>
      <c r="H1096">
        <f t="shared" si="17"/>
        <v>26000</v>
      </c>
      <c r="I1096">
        <v>1</v>
      </c>
    </row>
    <row r="1097" spans="1:9" ht="15.75" thickBot="1" x14ac:dyDescent="0.3">
      <c r="A1097" s="1">
        <v>44197</v>
      </c>
      <c r="B1097" t="s">
        <v>6</v>
      </c>
      <c r="C1097" t="s">
        <v>7</v>
      </c>
      <c r="D1097" t="s">
        <v>484</v>
      </c>
      <c r="E1097" t="s">
        <v>9</v>
      </c>
      <c r="F1097">
        <v>512.88</v>
      </c>
      <c r="G1097" s="3">
        <v>2</v>
      </c>
      <c r="H1097">
        <f t="shared" si="17"/>
        <v>2</v>
      </c>
      <c r="I1097">
        <v>2</v>
      </c>
    </row>
    <row r="1098" spans="1:9" ht="15.75" thickBot="1" x14ac:dyDescent="0.3">
      <c r="A1098" s="1">
        <v>44197</v>
      </c>
      <c r="B1098" t="s">
        <v>6</v>
      </c>
      <c r="C1098" t="s">
        <v>7</v>
      </c>
      <c r="D1098" t="s">
        <v>485</v>
      </c>
      <c r="E1098" t="s">
        <v>12</v>
      </c>
      <c r="F1098">
        <v>6479.09</v>
      </c>
      <c r="G1098" s="5">
        <v>205571.64300000001</v>
      </c>
      <c r="H1098">
        <f t="shared" si="17"/>
        <v>205.57164300000002</v>
      </c>
      <c r="I1098">
        <v>9</v>
      </c>
    </row>
    <row r="1099" spans="1:9" ht="15.75" thickBot="1" x14ac:dyDescent="0.3">
      <c r="A1099" s="1">
        <v>44197</v>
      </c>
      <c r="B1099" t="s">
        <v>6</v>
      </c>
      <c r="C1099" t="s">
        <v>7</v>
      </c>
      <c r="D1099" t="s">
        <v>485</v>
      </c>
      <c r="E1099" t="s">
        <v>15</v>
      </c>
      <c r="F1099">
        <v>389.04</v>
      </c>
      <c r="G1099" s="3">
        <v>11</v>
      </c>
      <c r="H1099">
        <f t="shared" si="17"/>
        <v>11</v>
      </c>
      <c r="I1099">
        <v>1</v>
      </c>
    </row>
    <row r="1100" spans="1:9" ht="15.75" thickBot="1" x14ac:dyDescent="0.3">
      <c r="A1100" s="1">
        <v>44197</v>
      </c>
      <c r="B1100" t="s">
        <v>6</v>
      </c>
      <c r="C1100" t="s">
        <v>7</v>
      </c>
      <c r="D1100" t="s">
        <v>485</v>
      </c>
      <c r="E1100" t="s">
        <v>9</v>
      </c>
      <c r="F1100">
        <v>12066.36</v>
      </c>
      <c r="G1100" s="6">
        <v>18549.832999999999</v>
      </c>
      <c r="H1100">
        <f t="shared" si="17"/>
        <v>18549.832999999999</v>
      </c>
      <c r="I1100">
        <v>8</v>
      </c>
    </row>
    <row r="1101" spans="1:9" ht="15.75" thickBot="1" x14ac:dyDescent="0.3">
      <c r="A1101" s="1">
        <v>44197</v>
      </c>
      <c r="B1101" t="s">
        <v>6</v>
      </c>
      <c r="C1101" t="s">
        <v>7</v>
      </c>
      <c r="D1101" t="s">
        <v>486</v>
      </c>
      <c r="E1101" t="s">
        <v>12</v>
      </c>
      <c r="F1101">
        <v>81.569999999999993</v>
      </c>
      <c r="G1101" s="4">
        <v>0</v>
      </c>
      <c r="H1101">
        <f t="shared" si="17"/>
        <v>0</v>
      </c>
      <c r="I1101">
        <v>1</v>
      </c>
    </row>
    <row r="1102" spans="1:9" ht="15.75" thickBot="1" x14ac:dyDescent="0.3">
      <c r="A1102" s="1">
        <v>44197</v>
      </c>
      <c r="B1102" t="s">
        <v>6</v>
      </c>
      <c r="C1102" t="s">
        <v>7</v>
      </c>
      <c r="D1102" t="s">
        <v>486</v>
      </c>
      <c r="E1102" t="s">
        <v>17</v>
      </c>
      <c r="F1102">
        <v>1928.06</v>
      </c>
      <c r="G1102" s="5">
        <v>69000</v>
      </c>
      <c r="H1102">
        <f t="shared" si="17"/>
        <v>69000</v>
      </c>
      <c r="I1102">
        <v>1</v>
      </c>
    </row>
    <row r="1103" spans="1:9" ht="15.75" thickBot="1" x14ac:dyDescent="0.3">
      <c r="A1103" s="1">
        <v>44197</v>
      </c>
      <c r="B1103" t="s">
        <v>6</v>
      </c>
      <c r="C1103" t="s">
        <v>7</v>
      </c>
      <c r="D1103" t="s">
        <v>487</v>
      </c>
      <c r="E1103" t="s">
        <v>12</v>
      </c>
      <c r="F1103">
        <v>81.569999999999993</v>
      </c>
      <c r="G1103" s="4">
        <v>0</v>
      </c>
      <c r="H1103">
        <f t="shared" si="17"/>
        <v>0</v>
      </c>
      <c r="I1103">
        <v>1</v>
      </c>
    </row>
    <row r="1104" spans="1:9" ht="15.75" thickBot="1" x14ac:dyDescent="0.3">
      <c r="A1104" s="1">
        <v>44197</v>
      </c>
      <c r="B1104" t="s">
        <v>6</v>
      </c>
      <c r="C1104" t="s">
        <v>7</v>
      </c>
      <c r="D1104" t="s">
        <v>487</v>
      </c>
      <c r="E1104" t="s">
        <v>15</v>
      </c>
      <c r="F1104">
        <v>3557.76</v>
      </c>
      <c r="G1104" s="3">
        <v>68</v>
      </c>
      <c r="H1104">
        <f t="shared" si="17"/>
        <v>68</v>
      </c>
      <c r="I1104">
        <v>2</v>
      </c>
    </row>
    <row r="1105" spans="1:9" ht="15.75" thickBot="1" x14ac:dyDescent="0.3">
      <c r="A1105" s="1">
        <v>44197</v>
      </c>
      <c r="B1105" t="s">
        <v>6</v>
      </c>
      <c r="C1105" t="s">
        <v>7</v>
      </c>
      <c r="D1105" t="s">
        <v>487</v>
      </c>
      <c r="E1105" t="s">
        <v>9</v>
      </c>
      <c r="F1105">
        <v>2466.39</v>
      </c>
      <c r="G1105" s="3">
        <v>74</v>
      </c>
      <c r="H1105">
        <f t="shared" si="17"/>
        <v>74</v>
      </c>
      <c r="I1105">
        <v>5</v>
      </c>
    </row>
    <row r="1106" spans="1:9" ht="15.75" thickBot="1" x14ac:dyDescent="0.3">
      <c r="A1106" s="1">
        <v>44197</v>
      </c>
      <c r="B1106" t="s">
        <v>6</v>
      </c>
      <c r="C1106" t="s">
        <v>7</v>
      </c>
      <c r="D1106" t="s">
        <v>488</v>
      </c>
      <c r="E1106" t="s">
        <v>9</v>
      </c>
      <c r="F1106">
        <v>81.569999999999993</v>
      </c>
      <c r="G1106" s="4">
        <v>0</v>
      </c>
      <c r="H1106">
        <f t="shared" si="17"/>
        <v>0</v>
      </c>
      <c r="I1106">
        <v>1</v>
      </c>
    </row>
    <row r="1107" spans="1:9" ht="15.75" thickBot="1" x14ac:dyDescent="0.3">
      <c r="A1107" s="1">
        <v>44197</v>
      </c>
      <c r="B1107" t="s">
        <v>6</v>
      </c>
      <c r="C1107" t="s">
        <v>7</v>
      </c>
      <c r="D1107" t="s">
        <v>489</v>
      </c>
      <c r="E1107" t="s">
        <v>12</v>
      </c>
      <c r="F1107">
        <v>22803.78</v>
      </c>
      <c r="G1107" s="5">
        <v>977000</v>
      </c>
      <c r="H1107">
        <f t="shared" si="17"/>
        <v>977</v>
      </c>
      <c r="I1107">
        <v>2</v>
      </c>
    </row>
    <row r="1108" spans="1:9" ht="15.75" thickBot="1" x14ac:dyDescent="0.3">
      <c r="A1108" s="1">
        <v>44197</v>
      </c>
      <c r="B1108" t="s">
        <v>6</v>
      </c>
      <c r="C1108" t="s">
        <v>7</v>
      </c>
      <c r="D1108" t="s">
        <v>489</v>
      </c>
      <c r="E1108" t="s">
        <v>9</v>
      </c>
      <c r="F1108">
        <v>2522.65</v>
      </c>
      <c r="G1108" s="6">
        <v>33017</v>
      </c>
      <c r="H1108">
        <f t="shared" si="17"/>
        <v>33017</v>
      </c>
      <c r="I1108">
        <v>19</v>
      </c>
    </row>
    <row r="1109" spans="1:9" ht="15.75" thickBot="1" x14ac:dyDescent="0.3">
      <c r="A1109" s="1">
        <v>44197</v>
      </c>
      <c r="B1109" t="s">
        <v>6</v>
      </c>
      <c r="C1109" t="s">
        <v>7</v>
      </c>
      <c r="D1109" t="s">
        <v>490</v>
      </c>
      <c r="E1109" t="s">
        <v>12</v>
      </c>
      <c r="F1109">
        <v>5751.61</v>
      </c>
      <c r="G1109" s="6">
        <v>2216580</v>
      </c>
      <c r="H1109">
        <f t="shared" si="17"/>
        <v>2216.58</v>
      </c>
      <c r="I1109">
        <v>48</v>
      </c>
    </row>
    <row r="1110" spans="1:9" ht="15.75" thickBot="1" x14ac:dyDescent="0.3">
      <c r="A1110" s="1">
        <v>44197</v>
      </c>
      <c r="B1110" t="s">
        <v>6</v>
      </c>
      <c r="C1110" t="s">
        <v>7</v>
      </c>
      <c r="D1110" t="s">
        <v>490</v>
      </c>
      <c r="E1110" t="s">
        <v>9</v>
      </c>
      <c r="F1110">
        <v>834.86</v>
      </c>
      <c r="G1110" s="5">
        <v>3000</v>
      </c>
      <c r="H1110">
        <f t="shared" si="17"/>
        <v>3000</v>
      </c>
      <c r="I1110">
        <v>11</v>
      </c>
    </row>
    <row r="1111" spans="1:9" ht="15.75" thickBot="1" x14ac:dyDescent="0.3">
      <c r="A1111" s="1">
        <v>44197</v>
      </c>
      <c r="B1111" t="s">
        <v>6</v>
      </c>
      <c r="C1111" t="s">
        <v>7</v>
      </c>
      <c r="D1111" t="s">
        <v>490</v>
      </c>
      <c r="E1111" t="s">
        <v>17</v>
      </c>
      <c r="F1111">
        <v>206.33</v>
      </c>
      <c r="G1111" s="5">
        <v>7000</v>
      </c>
      <c r="H1111">
        <f t="shared" si="17"/>
        <v>7000</v>
      </c>
      <c r="I1111">
        <v>1</v>
      </c>
    </row>
    <row r="1112" spans="1:9" ht="15.75" thickBot="1" x14ac:dyDescent="0.3">
      <c r="A1112" s="1">
        <v>44197</v>
      </c>
      <c r="B1112" t="s">
        <v>6</v>
      </c>
      <c r="C1112" t="s">
        <v>7</v>
      </c>
      <c r="D1112" t="s">
        <v>491</v>
      </c>
      <c r="E1112" t="s">
        <v>12</v>
      </c>
      <c r="F1112">
        <v>655.97</v>
      </c>
      <c r="G1112" s="5">
        <v>20000</v>
      </c>
      <c r="H1112">
        <f t="shared" si="17"/>
        <v>20</v>
      </c>
      <c r="I1112">
        <v>1</v>
      </c>
    </row>
    <row r="1113" spans="1:9" ht="15.75" thickBot="1" x14ac:dyDescent="0.3">
      <c r="A1113" s="1">
        <v>44197</v>
      </c>
      <c r="B1113" t="s">
        <v>6</v>
      </c>
      <c r="C1113" t="s">
        <v>7</v>
      </c>
      <c r="D1113" t="s">
        <v>492</v>
      </c>
      <c r="E1113" t="s">
        <v>12</v>
      </c>
      <c r="F1113">
        <v>469.92</v>
      </c>
      <c r="G1113" s="5">
        <v>17000</v>
      </c>
      <c r="H1113">
        <f t="shared" si="17"/>
        <v>17</v>
      </c>
      <c r="I1113">
        <v>1</v>
      </c>
    </row>
    <row r="1114" spans="1:9" ht="15.75" thickBot="1" x14ac:dyDescent="0.3">
      <c r="A1114" s="1">
        <v>44197</v>
      </c>
      <c r="B1114" t="s">
        <v>6</v>
      </c>
      <c r="C1114" t="s">
        <v>7</v>
      </c>
      <c r="D1114" t="s">
        <v>493</v>
      </c>
      <c r="E1114" t="s">
        <v>9</v>
      </c>
      <c r="F1114">
        <v>115102.72</v>
      </c>
      <c r="G1114" s="3">
        <v>3821</v>
      </c>
      <c r="H1114">
        <f t="shared" si="17"/>
        <v>3821</v>
      </c>
      <c r="I1114">
        <v>2</v>
      </c>
    </row>
    <row r="1115" spans="1:9" ht="15.75" thickBot="1" x14ac:dyDescent="0.3">
      <c r="A1115" s="1">
        <v>44197</v>
      </c>
      <c r="B1115" t="s">
        <v>6</v>
      </c>
      <c r="C1115" t="s">
        <v>7</v>
      </c>
      <c r="D1115" t="s">
        <v>494</v>
      </c>
      <c r="E1115" t="s">
        <v>14</v>
      </c>
      <c r="F1115">
        <v>35515.050000000003</v>
      </c>
      <c r="G1115" s="3">
        <v>1092</v>
      </c>
      <c r="H1115">
        <f t="shared" si="17"/>
        <v>1092</v>
      </c>
      <c r="I1115">
        <v>7</v>
      </c>
    </row>
    <row r="1116" spans="1:9" ht="15.75" thickBot="1" x14ac:dyDescent="0.3">
      <c r="A1116" s="1">
        <v>44197</v>
      </c>
      <c r="B1116" t="s">
        <v>6</v>
      </c>
      <c r="C1116" t="s">
        <v>7</v>
      </c>
      <c r="D1116" t="s">
        <v>494</v>
      </c>
      <c r="E1116" t="s">
        <v>12</v>
      </c>
      <c r="F1116">
        <v>81.569999999999993</v>
      </c>
      <c r="G1116" s="4">
        <v>0</v>
      </c>
      <c r="H1116">
        <f t="shared" si="17"/>
        <v>0</v>
      </c>
      <c r="I1116">
        <v>1</v>
      </c>
    </row>
    <row r="1117" spans="1:9" ht="15.75" thickBot="1" x14ac:dyDescent="0.3">
      <c r="A1117" s="1">
        <v>44197</v>
      </c>
      <c r="B1117" t="s">
        <v>6</v>
      </c>
      <c r="C1117" t="s">
        <v>7</v>
      </c>
      <c r="D1117" t="s">
        <v>494</v>
      </c>
      <c r="E1117" t="s">
        <v>15</v>
      </c>
      <c r="F1117">
        <v>6953.16</v>
      </c>
      <c r="G1117" s="3">
        <v>163</v>
      </c>
      <c r="H1117">
        <f t="shared" si="17"/>
        <v>163</v>
      </c>
      <c r="I1117">
        <v>1</v>
      </c>
    </row>
    <row r="1118" spans="1:9" ht="15.75" thickBot="1" x14ac:dyDescent="0.3">
      <c r="A1118" s="1">
        <v>44197</v>
      </c>
      <c r="B1118" t="s">
        <v>6</v>
      </c>
      <c r="C1118" t="s">
        <v>7</v>
      </c>
      <c r="D1118" t="s">
        <v>494</v>
      </c>
      <c r="E1118" t="s">
        <v>9</v>
      </c>
      <c r="F1118">
        <v>22659.43</v>
      </c>
      <c r="G1118" s="3">
        <v>717</v>
      </c>
      <c r="H1118">
        <f t="shared" si="17"/>
        <v>717</v>
      </c>
      <c r="I1118">
        <v>8</v>
      </c>
    </row>
    <row r="1119" spans="1:9" ht="15.75" thickBot="1" x14ac:dyDescent="0.3">
      <c r="A1119" s="1">
        <v>44197</v>
      </c>
      <c r="B1119" t="s">
        <v>6</v>
      </c>
      <c r="C1119" t="s">
        <v>7</v>
      </c>
      <c r="D1119" t="s">
        <v>494</v>
      </c>
      <c r="E1119" t="s">
        <v>17</v>
      </c>
      <c r="F1119">
        <v>0</v>
      </c>
      <c r="G1119" s="3">
        <v>0</v>
      </c>
      <c r="H1119">
        <f t="shared" si="17"/>
        <v>0</v>
      </c>
      <c r="I1119">
        <v>1</v>
      </c>
    </row>
    <row r="1120" spans="1:9" ht="15.75" thickBot="1" x14ac:dyDescent="0.3">
      <c r="A1120" s="1">
        <v>44197</v>
      </c>
      <c r="B1120" t="s">
        <v>6</v>
      </c>
      <c r="C1120" t="s">
        <v>7</v>
      </c>
      <c r="D1120" t="s">
        <v>495</v>
      </c>
      <c r="E1120" t="s">
        <v>14</v>
      </c>
      <c r="F1120">
        <v>17602.240000000002</v>
      </c>
      <c r="G1120" s="3">
        <v>432</v>
      </c>
      <c r="H1120">
        <f t="shared" si="17"/>
        <v>432</v>
      </c>
      <c r="I1120">
        <v>4</v>
      </c>
    </row>
    <row r="1121" spans="1:9" ht="15.75" thickBot="1" x14ac:dyDescent="0.3">
      <c r="A1121" s="1">
        <v>44197</v>
      </c>
      <c r="B1121" t="s">
        <v>6</v>
      </c>
      <c r="C1121" t="s">
        <v>7</v>
      </c>
      <c r="D1121" t="s">
        <v>495</v>
      </c>
      <c r="E1121" t="s">
        <v>12</v>
      </c>
      <c r="F1121">
        <v>31827.91</v>
      </c>
      <c r="G1121" s="5">
        <v>1240241.4720000001</v>
      </c>
      <c r="H1121">
        <f t="shared" si="17"/>
        <v>1240.2414720000002</v>
      </c>
      <c r="I1121">
        <v>55</v>
      </c>
    </row>
    <row r="1122" spans="1:9" ht="15.75" thickBot="1" x14ac:dyDescent="0.3">
      <c r="A1122" s="1">
        <v>44197</v>
      </c>
      <c r="B1122" t="s">
        <v>6</v>
      </c>
      <c r="C1122" t="s">
        <v>7</v>
      </c>
      <c r="D1122" t="s">
        <v>495</v>
      </c>
      <c r="E1122" t="s">
        <v>15</v>
      </c>
      <c r="F1122">
        <v>1823.75</v>
      </c>
      <c r="G1122" s="3">
        <v>8</v>
      </c>
      <c r="H1122">
        <f t="shared" si="17"/>
        <v>8</v>
      </c>
      <c r="I1122">
        <v>1</v>
      </c>
    </row>
    <row r="1123" spans="1:9" ht="15.75" thickBot="1" x14ac:dyDescent="0.3">
      <c r="A1123" s="1">
        <v>44197</v>
      </c>
      <c r="B1123" t="s">
        <v>6</v>
      </c>
      <c r="C1123" t="s">
        <v>7</v>
      </c>
      <c r="D1123" t="s">
        <v>495</v>
      </c>
      <c r="E1123" t="s">
        <v>9</v>
      </c>
      <c r="F1123">
        <v>21780.32</v>
      </c>
      <c r="G1123" s="6">
        <v>163519.22</v>
      </c>
      <c r="H1123">
        <f t="shared" si="17"/>
        <v>163519.22</v>
      </c>
      <c r="I1123">
        <v>13</v>
      </c>
    </row>
    <row r="1124" spans="1:9" ht="15.75" thickBot="1" x14ac:dyDescent="0.3">
      <c r="A1124" s="1">
        <v>44197</v>
      </c>
      <c r="B1124" t="s">
        <v>6</v>
      </c>
      <c r="C1124" t="s">
        <v>7</v>
      </c>
      <c r="D1124" t="s">
        <v>495</v>
      </c>
      <c r="E1124" t="s">
        <v>17</v>
      </c>
      <c r="F1124">
        <v>1806.46</v>
      </c>
      <c r="G1124" s="5">
        <v>55000</v>
      </c>
      <c r="H1124">
        <f t="shared" si="17"/>
        <v>55000</v>
      </c>
      <c r="I1124">
        <v>5</v>
      </c>
    </row>
    <row r="1125" spans="1:9" ht="15.75" thickBot="1" x14ac:dyDescent="0.3">
      <c r="A1125" s="1">
        <v>44197</v>
      </c>
      <c r="B1125" t="s">
        <v>6</v>
      </c>
      <c r="C1125" t="s">
        <v>7</v>
      </c>
      <c r="D1125" t="s">
        <v>496</v>
      </c>
      <c r="E1125" t="s">
        <v>14</v>
      </c>
      <c r="F1125">
        <v>3370.48</v>
      </c>
      <c r="G1125" s="3">
        <v>114</v>
      </c>
      <c r="H1125">
        <f t="shared" si="17"/>
        <v>114</v>
      </c>
      <c r="I1125">
        <v>3</v>
      </c>
    </row>
    <row r="1126" spans="1:9" ht="15.75" thickBot="1" x14ac:dyDescent="0.3">
      <c r="A1126" s="1">
        <v>44197</v>
      </c>
      <c r="B1126" t="s">
        <v>6</v>
      </c>
      <c r="C1126" t="s">
        <v>7</v>
      </c>
      <c r="D1126" t="s">
        <v>496</v>
      </c>
      <c r="E1126" t="s">
        <v>9</v>
      </c>
      <c r="F1126">
        <v>244.71</v>
      </c>
      <c r="G1126" s="4">
        <v>0</v>
      </c>
      <c r="H1126">
        <f t="shared" si="17"/>
        <v>0</v>
      </c>
      <c r="I1126">
        <v>3</v>
      </c>
    </row>
    <row r="1127" spans="1:9" ht="15.75" thickBot="1" x14ac:dyDescent="0.3">
      <c r="A1127" s="1">
        <v>44197</v>
      </c>
      <c r="B1127" t="s">
        <v>6</v>
      </c>
      <c r="C1127" t="s">
        <v>7</v>
      </c>
      <c r="D1127" t="s">
        <v>497</v>
      </c>
      <c r="E1127" t="s">
        <v>14</v>
      </c>
      <c r="F1127">
        <v>3387.68</v>
      </c>
      <c r="G1127" s="3">
        <v>124</v>
      </c>
      <c r="H1127">
        <f t="shared" si="17"/>
        <v>124</v>
      </c>
      <c r="I1127">
        <v>1</v>
      </c>
    </row>
    <row r="1128" spans="1:9" ht="15.75" thickBot="1" x14ac:dyDescent="0.3">
      <c r="A1128" s="1">
        <v>44197</v>
      </c>
      <c r="B1128" t="s">
        <v>6</v>
      </c>
      <c r="C1128" t="s">
        <v>7</v>
      </c>
      <c r="D1128" t="s">
        <v>497</v>
      </c>
      <c r="E1128" t="s">
        <v>24</v>
      </c>
      <c r="F1128">
        <v>1624.67</v>
      </c>
      <c r="G1128" s="3">
        <v>22</v>
      </c>
      <c r="H1128">
        <f t="shared" si="17"/>
        <v>22</v>
      </c>
      <c r="I1128">
        <v>2</v>
      </c>
    </row>
    <row r="1129" spans="1:9" ht="15.75" thickBot="1" x14ac:dyDescent="0.3">
      <c r="A1129" s="1">
        <v>44197</v>
      </c>
      <c r="B1129" t="s">
        <v>6</v>
      </c>
      <c r="C1129" t="s">
        <v>7</v>
      </c>
      <c r="D1129" t="s">
        <v>497</v>
      </c>
      <c r="E1129" t="s">
        <v>12</v>
      </c>
      <c r="F1129">
        <v>17166.919999999998</v>
      </c>
      <c r="G1129" s="5">
        <v>668674.99100000004</v>
      </c>
      <c r="H1129">
        <f t="shared" si="17"/>
        <v>668.67499100000009</v>
      </c>
      <c r="I1129">
        <v>89</v>
      </c>
    </row>
    <row r="1130" spans="1:9" ht="15.75" thickBot="1" x14ac:dyDescent="0.3">
      <c r="A1130" s="1">
        <v>44197</v>
      </c>
      <c r="B1130" t="s">
        <v>6</v>
      </c>
      <c r="C1130" t="s">
        <v>7</v>
      </c>
      <c r="D1130" t="s">
        <v>497</v>
      </c>
      <c r="E1130" t="s">
        <v>9</v>
      </c>
      <c r="F1130">
        <v>163.13999999999999</v>
      </c>
      <c r="G1130" s="4">
        <v>0</v>
      </c>
      <c r="H1130">
        <f t="shared" si="17"/>
        <v>0</v>
      </c>
      <c r="I1130">
        <v>2</v>
      </c>
    </row>
    <row r="1131" spans="1:9" ht="15.75" thickBot="1" x14ac:dyDescent="0.3">
      <c r="A1131" s="1">
        <v>44197</v>
      </c>
      <c r="B1131" t="s">
        <v>6</v>
      </c>
      <c r="C1131" t="s">
        <v>7</v>
      </c>
      <c r="D1131" t="s">
        <v>498</v>
      </c>
      <c r="E1131" t="s">
        <v>14</v>
      </c>
      <c r="F1131">
        <v>3538.16</v>
      </c>
      <c r="G1131" s="3">
        <v>38</v>
      </c>
      <c r="H1131">
        <f t="shared" si="17"/>
        <v>38</v>
      </c>
      <c r="I1131">
        <v>1</v>
      </c>
    </row>
    <row r="1132" spans="1:9" ht="15.75" thickBot="1" x14ac:dyDescent="0.3">
      <c r="A1132" s="1">
        <v>44197</v>
      </c>
      <c r="B1132" t="s">
        <v>6</v>
      </c>
      <c r="C1132" t="s">
        <v>7</v>
      </c>
      <c r="D1132" t="s">
        <v>498</v>
      </c>
      <c r="E1132" t="s">
        <v>9</v>
      </c>
      <c r="F1132">
        <v>3496.3</v>
      </c>
      <c r="G1132" s="6">
        <v>77002</v>
      </c>
      <c r="H1132">
        <f t="shared" si="17"/>
        <v>77002</v>
      </c>
      <c r="I1132">
        <v>2</v>
      </c>
    </row>
    <row r="1133" spans="1:9" ht="15.75" thickBot="1" x14ac:dyDescent="0.3">
      <c r="A1133" s="1">
        <v>44197</v>
      </c>
      <c r="B1133" t="s">
        <v>6</v>
      </c>
      <c r="C1133" t="s">
        <v>7</v>
      </c>
      <c r="D1133" t="s">
        <v>499</v>
      </c>
      <c r="E1133" t="s">
        <v>9</v>
      </c>
      <c r="F1133">
        <v>81.569999999999993</v>
      </c>
      <c r="G1133" s="4">
        <v>0</v>
      </c>
      <c r="H1133">
        <f t="shared" si="17"/>
        <v>0</v>
      </c>
      <c r="I1133">
        <v>1</v>
      </c>
    </row>
    <row r="1134" spans="1:9" ht="15.75" thickBot="1" x14ac:dyDescent="0.3">
      <c r="A1134" s="1">
        <v>44197</v>
      </c>
      <c r="B1134" t="s">
        <v>6</v>
      </c>
      <c r="C1134" t="s">
        <v>7</v>
      </c>
      <c r="D1134" t="s">
        <v>500</v>
      </c>
      <c r="E1134" t="s">
        <v>12</v>
      </c>
      <c r="F1134">
        <v>1070.95</v>
      </c>
      <c r="G1134" s="5">
        <v>36000</v>
      </c>
      <c r="H1134">
        <f t="shared" si="17"/>
        <v>36</v>
      </c>
      <c r="I1134">
        <v>3</v>
      </c>
    </row>
    <row r="1135" spans="1:9" ht="15.75" thickBot="1" x14ac:dyDescent="0.3">
      <c r="A1135" s="1">
        <v>44197</v>
      </c>
      <c r="B1135" t="s">
        <v>6</v>
      </c>
      <c r="C1135" t="s">
        <v>7</v>
      </c>
      <c r="D1135" t="s">
        <v>501</v>
      </c>
      <c r="E1135" t="s">
        <v>14</v>
      </c>
      <c r="F1135">
        <v>839</v>
      </c>
      <c r="G1135" s="3">
        <v>25</v>
      </c>
      <c r="H1135">
        <f t="shared" si="17"/>
        <v>25</v>
      </c>
      <c r="I1135">
        <v>1</v>
      </c>
    </row>
    <row r="1136" spans="1:9" ht="15.75" thickBot="1" x14ac:dyDescent="0.3">
      <c r="A1136" s="1">
        <v>44197</v>
      </c>
      <c r="B1136" t="s">
        <v>6</v>
      </c>
      <c r="C1136" t="s">
        <v>7</v>
      </c>
      <c r="D1136" t="s">
        <v>501</v>
      </c>
      <c r="E1136" t="s">
        <v>24</v>
      </c>
      <c r="F1136">
        <v>52773.68</v>
      </c>
      <c r="G1136" s="3">
        <v>1574</v>
      </c>
      <c r="H1136">
        <f t="shared" si="17"/>
        <v>1574</v>
      </c>
      <c r="I1136">
        <v>15</v>
      </c>
    </row>
    <row r="1137" spans="1:9" ht="15.75" thickBot="1" x14ac:dyDescent="0.3">
      <c r="A1137" s="1">
        <v>44197</v>
      </c>
      <c r="B1137" t="s">
        <v>6</v>
      </c>
      <c r="C1137" t="s">
        <v>7</v>
      </c>
      <c r="D1137" t="s">
        <v>501</v>
      </c>
      <c r="E1137" t="s">
        <v>12</v>
      </c>
      <c r="F1137">
        <v>307997.15000000002</v>
      </c>
      <c r="G1137" s="5">
        <v>8937187.5010000002</v>
      </c>
      <c r="H1137">
        <f t="shared" si="17"/>
        <v>8937.1875010000003</v>
      </c>
      <c r="I1137">
        <v>701</v>
      </c>
    </row>
    <row r="1138" spans="1:9" ht="15.75" thickBot="1" x14ac:dyDescent="0.3">
      <c r="A1138" s="1">
        <v>44197</v>
      </c>
      <c r="B1138" t="s">
        <v>6</v>
      </c>
      <c r="C1138" t="s">
        <v>7</v>
      </c>
      <c r="D1138" t="s">
        <v>501</v>
      </c>
      <c r="E1138" t="s">
        <v>9</v>
      </c>
      <c r="F1138">
        <v>24160.25</v>
      </c>
      <c r="G1138" s="6">
        <v>708023</v>
      </c>
      <c r="H1138">
        <f t="shared" si="17"/>
        <v>708023</v>
      </c>
      <c r="I1138">
        <v>46</v>
      </c>
    </row>
    <row r="1139" spans="1:9" ht="15.75" thickBot="1" x14ac:dyDescent="0.3">
      <c r="A1139" s="1">
        <v>44197</v>
      </c>
      <c r="B1139" t="s">
        <v>6</v>
      </c>
      <c r="C1139" t="s">
        <v>7</v>
      </c>
      <c r="D1139" t="s">
        <v>501</v>
      </c>
      <c r="E1139" t="s">
        <v>17</v>
      </c>
      <c r="F1139">
        <v>1479.32</v>
      </c>
      <c r="G1139" s="5">
        <v>36000</v>
      </c>
      <c r="H1139">
        <f t="shared" si="17"/>
        <v>36000</v>
      </c>
      <c r="I1139">
        <v>5</v>
      </c>
    </row>
    <row r="1140" spans="1:9" ht="15.75" thickBot="1" x14ac:dyDescent="0.3">
      <c r="A1140" s="1">
        <v>44197</v>
      </c>
      <c r="B1140" t="s">
        <v>6</v>
      </c>
      <c r="C1140" t="s">
        <v>7</v>
      </c>
      <c r="D1140" t="s">
        <v>502</v>
      </c>
      <c r="E1140" t="s">
        <v>14</v>
      </c>
      <c r="F1140">
        <v>4701.4799999999996</v>
      </c>
      <c r="G1140" s="3">
        <v>144</v>
      </c>
      <c r="H1140">
        <f t="shared" si="17"/>
        <v>144</v>
      </c>
      <c r="I1140">
        <v>3</v>
      </c>
    </row>
    <row r="1141" spans="1:9" ht="15.75" thickBot="1" x14ac:dyDescent="0.3">
      <c r="A1141" s="1">
        <v>44197</v>
      </c>
      <c r="B1141" t="s">
        <v>6</v>
      </c>
      <c r="C1141" t="s">
        <v>7</v>
      </c>
      <c r="D1141" t="s">
        <v>502</v>
      </c>
      <c r="E1141" t="s">
        <v>24</v>
      </c>
      <c r="F1141">
        <v>334.64</v>
      </c>
      <c r="G1141" s="3">
        <v>1214</v>
      </c>
      <c r="H1141">
        <f t="shared" si="17"/>
        <v>1214</v>
      </c>
      <c r="I1141">
        <v>6</v>
      </c>
    </row>
    <row r="1142" spans="1:9" ht="15.75" thickBot="1" x14ac:dyDescent="0.3">
      <c r="A1142" s="1">
        <v>44197</v>
      </c>
      <c r="B1142" t="s">
        <v>6</v>
      </c>
      <c r="C1142" t="s">
        <v>7</v>
      </c>
      <c r="D1142" t="s">
        <v>502</v>
      </c>
      <c r="E1142" t="s">
        <v>12</v>
      </c>
      <c r="F1142">
        <v>29939</v>
      </c>
      <c r="G1142" s="6">
        <v>730289.54</v>
      </c>
      <c r="H1142">
        <f t="shared" si="17"/>
        <v>730.28953999999999</v>
      </c>
      <c r="I1142">
        <v>58</v>
      </c>
    </row>
    <row r="1143" spans="1:9" ht="15.75" thickBot="1" x14ac:dyDescent="0.3">
      <c r="A1143" s="1">
        <v>44197</v>
      </c>
      <c r="B1143" t="s">
        <v>6</v>
      </c>
      <c r="C1143" t="s">
        <v>7</v>
      </c>
      <c r="D1143" t="s">
        <v>502</v>
      </c>
      <c r="E1143" t="s">
        <v>15</v>
      </c>
      <c r="F1143">
        <v>181.96</v>
      </c>
      <c r="G1143" s="3">
        <v>3</v>
      </c>
      <c r="H1143">
        <f t="shared" si="17"/>
        <v>3</v>
      </c>
      <c r="I1143">
        <v>1</v>
      </c>
    </row>
    <row r="1144" spans="1:9" ht="15.75" thickBot="1" x14ac:dyDescent="0.3">
      <c r="A1144" s="1">
        <v>44197</v>
      </c>
      <c r="B1144" t="s">
        <v>6</v>
      </c>
      <c r="C1144" t="s">
        <v>7</v>
      </c>
      <c r="D1144" t="s">
        <v>502</v>
      </c>
      <c r="E1144" t="s">
        <v>9</v>
      </c>
      <c r="F1144">
        <v>9211.19</v>
      </c>
      <c r="G1144" s="6">
        <v>20222.968000000001</v>
      </c>
      <c r="H1144">
        <f t="shared" si="17"/>
        <v>20222.968000000001</v>
      </c>
      <c r="I1144">
        <v>45</v>
      </c>
    </row>
    <row r="1145" spans="1:9" ht="15.75" thickBot="1" x14ac:dyDescent="0.3">
      <c r="A1145" s="1">
        <v>44197</v>
      </c>
      <c r="B1145" t="s">
        <v>6</v>
      </c>
      <c r="C1145" t="s">
        <v>7</v>
      </c>
      <c r="D1145" t="s">
        <v>503</v>
      </c>
      <c r="E1145" t="s">
        <v>24</v>
      </c>
      <c r="F1145">
        <v>100</v>
      </c>
      <c r="G1145" s="3">
        <v>0</v>
      </c>
      <c r="H1145">
        <f t="shared" si="17"/>
        <v>0</v>
      </c>
      <c r="I1145">
        <v>1</v>
      </c>
    </row>
    <row r="1146" spans="1:9" ht="15.75" thickBot="1" x14ac:dyDescent="0.3">
      <c r="A1146" s="1">
        <v>44197</v>
      </c>
      <c r="B1146" t="s">
        <v>6</v>
      </c>
      <c r="C1146" t="s">
        <v>7</v>
      </c>
      <c r="D1146" t="s">
        <v>504</v>
      </c>
      <c r="E1146" t="s">
        <v>12</v>
      </c>
      <c r="F1146">
        <v>10724.03</v>
      </c>
      <c r="G1146" s="5">
        <v>238926.14600000001</v>
      </c>
      <c r="H1146">
        <f t="shared" si="17"/>
        <v>238.92614600000002</v>
      </c>
      <c r="I1146">
        <v>10</v>
      </c>
    </row>
    <row r="1147" spans="1:9" ht="15.75" thickBot="1" x14ac:dyDescent="0.3">
      <c r="A1147" s="1">
        <v>44197</v>
      </c>
      <c r="B1147" t="s">
        <v>6</v>
      </c>
      <c r="C1147" t="s">
        <v>7</v>
      </c>
      <c r="D1147" t="s">
        <v>504</v>
      </c>
      <c r="E1147" t="s">
        <v>9</v>
      </c>
      <c r="F1147">
        <v>414.02</v>
      </c>
      <c r="G1147" s="5">
        <v>14000</v>
      </c>
      <c r="H1147">
        <f t="shared" si="17"/>
        <v>14000</v>
      </c>
      <c r="I1147">
        <v>1</v>
      </c>
    </row>
    <row r="1148" spans="1:9" ht="15.75" thickBot="1" x14ac:dyDescent="0.3">
      <c r="A1148" s="1">
        <v>44197</v>
      </c>
      <c r="B1148" t="s">
        <v>6</v>
      </c>
      <c r="C1148" t="s">
        <v>7</v>
      </c>
      <c r="D1148" t="s">
        <v>505</v>
      </c>
      <c r="E1148" t="s">
        <v>9</v>
      </c>
      <c r="F1148">
        <v>3514.48</v>
      </c>
      <c r="G1148" s="3">
        <v>114</v>
      </c>
      <c r="H1148">
        <f t="shared" si="17"/>
        <v>114</v>
      </c>
      <c r="I1148">
        <v>1</v>
      </c>
    </row>
    <row r="1149" spans="1:9" ht="15.75" thickBot="1" x14ac:dyDescent="0.3">
      <c r="A1149" s="1">
        <v>44197</v>
      </c>
      <c r="B1149" t="s">
        <v>6</v>
      </c>
      <c r="C1149" t="s">
        <v>7</v>
      </c>
      <c r="D1149" t="s">
        <v>506</v>
      </c>
      <c r="E1149" t="s">
        <v>12</v>
      </c>
      <c r="F1149">
        <v>10355.450000000001</v>
      </c>
      <c r="G1149" s="5">
        <v>351000</v>
      </c>
      <c r="H1149">
        <f t="shared" si="17"/>
        <v>351</v>
      </c>
      <c r="I1149">
        <v>20</v>
      </c>
    </row>
    <row r="1150" spans="1:9" ht="15.75" thickBot="1" x14ac:dyDescent="0.3">
      <c r="A1150" s="1">
        <v>44197</v>
      </c>
      <c r="B1150" t="s">
        <v>6</v>
      </c>
      <c r="C1150" t="s">
        <v>7</v>
      </c>
      <c r="D1150" t="s">
        <v>506</v>
      </c>
      <c r="E1150" t="s">
        <v>9</v>
      </c>
      <c r="F1150">
        <v>244.71</v>
      </c>
      <c r="G1150" s="4">
        <v>0</v>
      </c>
      <c r="H1150">
        <f t="shared" si="17"/>
        <v>0</v>
      </c>
      <c r="I1150">
        <v>3</v>
      </c>
    </row>
    <row r="1151" spans="1:9" ht="15.75" thickBot="1" x14ac:dyDescent="0.3">
      <c r="A1151" s="1">
        <v>44197</v>
      </c>
      <c r="B1151" t="s">
        <v>6</v>
      </c>
      <c r="C1151" t="s">
        <v>7</v>
      </c>
      <c r="D1151" t="s">
        <v>507</v>
      </c>
      <c r="E1151" t="s">
        <v>14</v>
      </c>
      <c r="F1151">
        <v>3779450.71</v>
      </c>
      <c r="G1151" s="6">
        <v>3292422.122</v>
      </c>
      <c r="H1151">
        <f t="shared" si="17"/>
        <v>3292422.122</v>
      </c>
      <c r="I1151">
        <v>1143</v>
      </c>
    </row>
    <row r="1152" spans="1:9" ht="15.75" thickBot="1" x14ac:dyDescent="0.3">
      <c r="A1152" s="1">
        <v>44197</v>
      </c>
      <c r="B1152" t="s">
        <v>6</v>
      </c>
      <c r="C1152" t="s">
        <v>7</v>
      </c>
      <c r="D1152" t="s">
        <v>507</v>
      </c>
      <c r="E1152" t="s">
        <v>24</v>
      </c>
      <c r="F1152">
        <v>1588678.78</v>
      </c>
      <c r="G1152" s="6">
        <v>17595541.704</v>
      </c>
      <c r="H1152">
        <f t="shared" si="17"/>
        <v>17595541.704</v>
      </c>
      <c r="I1152">
        <v>814</v>
      </c>
    </row>
    <row r="1153" spans="1:9" ht="15.75" thickBot="1" x14ac:dyDescent="0.3">
      <c r="A1153" s="1">
        <v>44197</v>
      </c>
      <c r="B1153" t="s">
        <v>6</v>
      </c>
      <c r="C1153" t="s">
        <v>7</v>
      </c>
      <c r="D1153" t="s">
        <v>507</v>
      </c>
      <c r="E1153" t="s">
        <v>12</v>
      </c>
      <c r="F1153">
        <v>27686954.079999998</v>
      </c>
      <c r="G1153" s="6">
        <v>1029430904.842</v>
      </c>
      <c r="H1153">
        <f t="shared" si="17"/>
        <v>1029430.904842</v>
      </c>
      <c r="I1153">
        <v>64853</v>
      </c>
    </row>
    <row r="1154" spans="1:9" ht="15.75" thickBot="1" x14ac:dyDescent="0.3">
      <c r="A1154" s="1">
        <v>44197</v>
      </c>
      <c r="B1154" t="s">
        <v>6</v>
      </c>
      <c r="C1154" t="s">
        <v>7</v>
      </c>
      <c r="D1154" t="s">
        <v>507</v>
      </c>
      <c r="E1154" t="s">
        <v>15</v>
      </c>
      <c r="F1154">
        <v>681497.13</v>
      </c>
      <c r="G1154" s="3">
        <v>18818</v>
      </c>
      <c r="H1154">
        <f t="shared" si="17"/>
        <v>18818</v>
      </c>
      <c r="I1154">
        <v>209</v>
      </c>
    </row>
    <row r="1155" spans="1:9" ht="15.75" thickBot="1" x14ac:dyDescent="0.3">
      <c r="A1155" s="1">
        <v>44197</v>
      </c>
      <c r="B1155" t="s">
        <v>6</v>
      </c>
      <c r="C1155" t="s">
        <v>7</v>
      </c>
      <c r="D1155" t="s">
        <v>507</v>
      </c>
      <c r="E1155" t="s">
        <v>9</v>
      </c>
      <c r="F1155">
        <v>6658229.1100000003</v>
      </c>
      <c r="G1155" s="6">
        <v>15115919.789000001</v>
      </c>
      <c r="H1155">
        <f t="shared" ref="H1155:H1218" si="18">IF(ISNUMBER(SEARCH("Domestic customer", E1155)),G1155/1000,G1155)</f>
        <v>15115919.789000001</v>
      </c>
      <c r="I1155">
        <v>1491</v>
      </c>
    </row>
    <row r="1156" spans="1:9" ht="15.75" thickBot="1" x14ac:dyDescent="0.3">
      <c r="A1156" s="1">
        <v>44197</v>
      </c>
      <c r="B1156" t="s">
        <v>6</v>
      </c>
      <c r="C1156" t="s">
        <v>7</v>
      </c>
      <c r="D1156" t="s">
        <v>507</v>
      </c>
      <c r="E1156" t="s">
        <v>17</v>
      </c>
      <c r="F1156">
        <v>426710.16</v>
      </c>
      <c r="G1156" s="6">
        <v>7137292.5240000002</v>
      </c>
      <c r="H1156">
        <f t="shared" si="18"/>
        <v>7137292.5240000002</v>
      </c>
      <c r="I1156">
        <v>438</v>
      </c>
    </row>
    <row r="1157" spans="1:9" ht="15.75" thickBot="1" x14ac:dyDescent="0.3">
      <c r="A1157" s="1">
        <v>44197</v>
      </c>
      <c r="B1157" t="s">
        <v>6</v>
      </c>
      <c r="C1157" t="s">
        <v>7</v>
      </c>
      <c r="D1157" t="s">
        <v>508</v>
      </c>
      <c r="E1157" t="s">
        <v>14</v>
      </c>
      <c r="F1157">
        <v>32379.94</v>
      </c>
      <c r="G1157" s="3">
        <v>1001</v>
      </c>
      <c r="H1157">
        <f t="shared" si="18"/>
        <v>1001</v>
      </c>
      <c r="I1157">
        <v>7</v>
      </c>
    </row>
    <row r="1158" spans="1:9" ht="15.75" thickBot="1" x14ac:dyDescent="0.3">
      <c r="A1158" s="1">
        <v>44197</v>
      </c>
      <c r="B1158" t="s">
        <v>6</v>
      </c>
      <c r="C1158" t="s">
        <v>7</v>
      </c>
      <c r="D1158" t="s">
        <v>508</v>
      </c>
      <c r="E1158" t="s">
        <v>24</v>
      </c>
      <c r="F1158">
        <v>5077.67</v>
      </c>
      <c r="G1158" s="3">
        <v>83</v>
      </c>
      <c r="H1158">
        <f t="shared" si="18"/>
        <v>83</v>
      </c>
      <c r="I1158">
        <v>2</v>
      </c>
    </row>
    <row r="1159" spans="1:9" ht="15.75" thickBot="1" x14ac:dyDescent="0.3">
      <c r="A1159" s="1">
        <v>44197</v>
      </c>
      <c r="B1159" t="s">
        <v>6</v>
      </c>
      <c r="C1159" t="s">
        <v>7</v>
      </c>
      <c r="D1159" t="s">
        <v>508</v>
      </c>
      <c r="E1159" t="s">
        <v>12</v>
      </c>
      <c r="F1159">
        <v>19741.310000000001</v>
      </c>
      <c r="G1159" s="5">
        <v>714000</v>
      </c>
      <c r="H1159">
        <f t="shared" si="18"/>
        <v>714</v>
      </c>
      <c r="I1159">
        <v>11</v>
      </c>
    </row>
    <row r="1160" spans="1:9" ht="15.75" thickBot="1" x14ac:dyDescent="0.3">
      <c r="A1160" s="1">
        <v>44197</v>
      </c>
      <c r="B1160" t="s">
        <v>6</v>
      </c>
      <c r="C1160" t="s">
        <v>7</v>
      </c>
      <c r="D1160" t="s">
        <v>508</v>
      </c>
      <c r="E1160" t="s">
        <v>9</v>
      </c>
      <c r="F1160">
        <v>9669.14</v>
      </c>
      <c r="G1160" s="6">
        <v>147090</v>
      </c>
      <c r="H1160">
        <f t="shared" si="18"/>
        <v>147090</v>
      </c>
      <c r="I1160">
        <v>5</v>
      </c>
    </row>
    <row r="1161" spans="1:9" ht="15.75" thickBot="1" x14ac:dyDescent="0.3">
      <c r="A1161" s="1">
        <v>44197</v>
      </c>
      <c r="B1161" t="s">
        <v>6</v>
      </c>
      <c r="C1161" t="s">
        <v>7</v>
      </c>
      <c r="D1161" t="s">
        <v>509</v>
      </c>
      <c r="E1161" t="s">
        <v>24</v>
      </c>
      <c r="F1161">
        <v>2385</v>
      </c>
      <c r="G1161" s="3">
        <v>53</v>
      </c>
      <c r="H1161">
        <f t="shared" si="18"/>
        <v>53</v>
      </c>
      <c r="I1161">
        <v>7</v>
      </c>
    </row>
    <row r="1162" spans="1:9" ht="15.75" thickBot="1" x14ac:dyDescent="0.3">
      <c r="A1162" s="1">
        <v>44197</v>
      </c>
      <c r="B1162" t="s">
        <v>6</v>
      </c>
      <c r="C1162" t="s">
        <v>7</v>
      </c>
      <c r="D1162" t="s">
        <v>509</v>
      </c>
      <c r="E1162" t="s">
        <v>12</v>
      </c>
      <c r="F1162">
        <v>113652.32</v>
      </c>
      <c r="G1162" s="6">
        <v>5455639.1299999999</v>
      </c>
      <c r="H1162">
        <f t="shared" si="18"/>
        <v>5455.6391299999996</v>
      </c>
      <c r="I1162">
        <v>466</v>
      </c>
    </row>
    <row r="1163" spans="1:9" ht="15.75" thickBot="1" x14ac:dyDescent="0.3">
      <c r="A1163" s="1">
        <v>44197</v>
      </c>
      <c r="B1163" t="s">
        <v>6</v>
      </c>
      <c r="C1163" t="s">
        <v>7</v>
      </c>
      <c r="D1163" t="s">
        <v>509</v>
      </c>
      <c r="E1163" t="s">
        <v>9</v>
      </c>
      <c r="F1163">
        <v>0</v>
      </c>
      <c r="G1163" s="5">
        <v>12150.75</v>
      </c>
      <c r="H1163">
        <f t="shared" si="18"/>
        <v>12150.75</v>
      </c>
      <c r="I1163">
        <v>1</v>
      </c>
    </row>
    <row r="1164" spans="1:9" ht="15.75" thickBot="1" x14ac:dyDescent="0.3">
      <c r="A1164" s="1">
        <v>44197</v>
      </c>
      <c r="B1164" t="s">
        <v>6</v>
      </c>
      <c r="C1164" t="s">
        <v>7</v>
      </c>
      <c r="D1164" t="s">
        <v>509</v>
      </c>
      <c r="E1164" t="s">
        <v>17</v>
      </c>
      <c r="F1164">
        <v>1447.92</v>
      </c>
      <c r="G1164" s="6">
        <v>54129.428999999996</v>
      </c>
      <c r="H1164">
        <f t="shared" si="18"/>
        <v>54129.428999999996</v>
      </c>
      <c r="I1164">
        <v>5</v>
      </c>
    </row>
    <row r="1165" spans="1:9" ht="15.75" thickBot="1" x14ac:dyDescent="0.3">
      <c r="A1165" s="1">
        <v>44197</v>
      </c>
      <c r="B1165" t="s">
        <v>6</v>
      </c>
      <c r="C1165" t="s">
        <v>7</v>
      </c>
      <c r="D1165" t="s">
        <v>510</v>
      </c>
      <c r="E1165" t="s">
        <v>14</v>
      </c>
      <c r="F1165">
        <v>757.04</v>
      </c>
      <c r="G1165" s="3">
        <v>22</v>
      </c>
      <c r="H1165">
        <f t="shared" si="18"/>
        <v>22</v>
      </c>
      <c r="I1165">
        <v>1</v>
      </c>
    </row>
    <row r="1166" spans="1:9" ht="15.75" thickBot="1" x14ac:dyDescent="0.3">
      <c r="A1166" s="1">
        <v>44197</v>
      </c>
      <c r="B1166" t="s">
        <v>6</v>
      </c>
      <c r="C1166" t="s">
        <v>7</v>
      </c>
      <c r="D1166" t="s">
        <v>510</v>
      </c>
      <c r="E1166" t="s">
        <v>12</v>
      </c>
      <c r="F1166">
        <v>28047.119999999999</v>
      </c>
      <c r="G1166" s="5">
        <v>562277.39899999998</v>
      </c>
      <c r="H1166">
        <f t="shared" si="18"/>
        <v>562.27739899999995</v>
      </c>
      <c r="I1166">
        <v>14</v>
      </c>
    </row>
    <row r="1167" spans="1:9" ht="15.75" thickBot="1" x14ac:dyDescent="0.3">
      <c r="A1167" s="1">
        <v>44197</v>
      </c>
      <c r="B1167" t="s">
        <v>6</v>
      </c>
      <c r="C1167" t="s">
        <v>7</v>
      </c>
      <c r="D1167" t="s">
        <v>510</v>
      </c>
      <c r="E1167" t="s">
        <v>9</v>
      </c>
      <c r="F1167">
        <v>9845.3700000000008</v>
      </c>
      <c r="G1167" s="5">
        <v>161350.35</v>
      </c>
      <c r="H1167">
        <f t="shared" si="18"/>
        <v>161350.35</v>
      </c>
      <c r="I1167">
        <v>7</v>
      </c>
    </row>
    <row r="1168" spans="1:9" ht="15.75" thickBot="1" x14ac:dyDescent="0.3">
      <c r="A1168" s="1">
        <v>44197</v>
      </c>
      <c r="B1168" t="s">
        <v>6</v>
      </c>
      <c r="C1168" t="s">
        <v>7</v>
      </c>
      <c r="D1168" t="s">
        <v>511</v>
      </c>
      <c r="E1168" t="s">
        <v>12</v>
      </c>
      <c r="F1168">
        <v>995.95</v>
      </c>
      <c r="G1168" s="5">
        <v>389961.53899999999</v>
      </c>
      <c r="H1168">
        <f t="shared" si="18"/>
        <v>389.96153900000002</v>
      </c>
      <c r="I1168">
        <v>62</v>
      </c>
    </row>
    <row r="1169" spans="1:9" ht="15.75" thickBot="1" x14ac:dyDescent="0.3">
      <c r="A1169" s="1">
        <v>44197</v>
      </c>
      <c r="B1169" t="s">
        <v>6</v>
      </c>
      <c r="C1169" t="s">
        <v>7</v>
      </c>
      <c r="D1169" t="s">
        <v>511</v>
      </c>
      <c r="E1169" t="s">
        <v>9</v>
      </c>
      <c r="F1169">
        <v>500.52</v>
      </c>
      <c r="G1169" s="3">
        <v>11</v>
      </c>
      <c r="H1169">
        <f t="shared" si="18"/>
        <v>11</v>
      </c>
      <c r="I1169">
        <v>2</v>
      </c>
    </row>
    <row r="1170" spans="1:9" ht="15.75" thickBot="1" x14ac:dyDescent="0.3">
      <c r="A1170" s="1">
        <v>44197</v>
      </c>
      <c r="B1170" t="s">
        <v>6</v>
      </c>
      <c r="C1170" t="s">
        <v>7</v>
      </c>
      <c r="D1170" t="s">
        <v>511</v>
      </c>
      <c r="E1170" t="s">
        <v>17</v>
      </c>
      <c r="F1170">
        <v>144.66999999999999</v>
      </c>
      <c r="G1170" s="5">
        <v>66000</v>
      </c>
      <c r="H1170">
        <f t="shared" si="18"/>
        <v>66000</v>
      </c>
      <c r="I1170">
        <v>8</v>
      </c>
    </row>
    <row r="1171" spans="1:9" ht="15.75" thickBot="1" x14ac:dyDescent="0.3">
      <c r="A1171" s="1">
        <v>44197</v>
      </c>
      <c r="B1171" t="s">
        <v>6</v>
      </c>
      <c r="C1171" t="s">
        <v>7</v>
      </c>
      <c r="D1171" t="s">
        <v>512</v>
      </c>
      <c r="E1171" t="s">
        <v>9</v>
      </c>
      <c r="F1171">
        <v>244.71</v>
      </c>
      <c r="G1171" s="4">
        <v>0</v>
      </c>
      <c r="H1171">
        <f t="shared" si="18"/>
        <v>0</v>
      </c>
      <c r="I1171">
        <v>3</v>
      </c>
    </row>
    <row r="1172" spans="1:9" ht="15.75" thickBot="1" x14ac:dyDescent="0.3">
      <c r="A1172" s="1">
        <v>44197</v>
      </c>
      <c r="B1172" t="s">
        <v>6</v>
      </c>
      <c r="C1172" t="s">
        <v>7</v>
      </c>
      <c r="D1172" t="s">
        <v>513</v>
      </c>
      <c r="E1172" t="s">
        <v>24</v>
      </c>
      <c r="F1172">
        <v>61172.88</v>
      </c>
      <c r="G1172" s="6">
        <v>331007.10100000002</v>
      </c>
      <c r="H1172">
        <f t="shared" si="18"/>
        <v>331007.10100000002</v>
      </c>
      <c r="I1172">
        <v>172</v>
      </c>
    </row>
    <row r="1173" spans="1:9" ht="15.75" thickBot="1" x14ac:dyDescent="0.3">
      <c r="A1173" s="1">
        <v>44197</v>
      </c>
      <c r="B1173" t="s">
        <v>6</v>
      </c>
      <c r="C1173" t="s">
        <v>7</v>
      </c>
      <c r="D1173" t="s">
        <v>513</v>
      </c>
      <c r="E1173" t="s">
        <v>12</v>
      </c>
      <c r="F1173">
        <v>26982.12</v>
      </c>
      <c r="G1173" s="5">
        <v>1071200.074</v>
      </c>
      <c r="H1173">
        <f t="shared" si="18"/>
        <v>1071.2000740000001</v>
      </c>
      <c r="I1173">
        <v>121</v>
      </c>
    </row>
    <row r="1174" spans="1:9" ht="15.75" thickBot="1" x14ac:dyDescent="0.3">
      <c r="A1174" s="1">
        <v>44197</v>
      </c>
      <c r="B1174" t="s">
        <v>6</v>
      </c>
      <c r="C1174" t="s">
        <v>7</v>
      </c>
      <c r="D1174" t="s">
        <v>513</v>
      </c>
      <c r="E1174" t="s">
        <v>9</v>
      </c>
      <c r="F1174">
        <v>3231.92</v>
      </c>
      <c r="G1174" s="3">
        <v>106</v>
      </c>
      <c r="H1174">
        <f t="shared" si="18"/>
        <v>106</v>
      </c>
      <c r="I1174">
        <v>6</v>
      </c>
    </row>
    <row r="1175" spans="1:9" ht="15.75" thickBot="1" x14ac:dyDescent="0.3">
      <c r="A1175" s="1">
        <v>44197</v>
      </c>
      <c r="B1175" t="s">
        <v>6</v>
      </c>
      <c r="C1175" t="s">
        <v>7</v>
      </c>
      <c r="D1175" t="s">
        <v>514</v>
      </c>
      <c r="E1175" t="s">
        <v>9</v>
      </c>
      <c r="F1175">
        <v>1317.82</v>
      </c>
      <c r="G1175" s="3">
        <v>25</v>
      </c>
      <c r="H1175">
        <f t="shared" si="18"/>
        <v>25</v>
      </c>
      <c r="I1175">
        <v>1</v>
      </c>
    </row>
    <row r="1176" spans="1:9" ht="15.75" thickBot="1" x14ac:dyDescent="0.3">
      <c r="A1176" s="1">
        <v>44197</v>
      </c>
      <c r="B1176" t="s">
        <v>6</v>
      </c>
      <c r="C1176" t="s">
        <v>7</v>
      </c>
      <c r="D1176" t="s">
        <v>515</v>
      </c>
      <c r="E1176" t="s">
        <v>14</v>
      </c>
      <c r="F1176">
        <v>625</v>
      </c>
      <c r="G1176" s="3">
        <v>0</v>
      </c>
      <c r="H1176">
        <f t="shared" si="18"/>
        <v>0</v>
      </c>
      <c r="I1176">
        <v>1</v>
      </c>
    </row>
    <row r="1177" spans="1:9" ht="15.75" thickBot="1" x14ac:dyDescent="0.3">
      <c r="A1177" s="1">
        <v>44197</v>
      </c>
      <c r="B1177" t="s">
        <v>6</v>
      </c>
      <c r="C1177" t="s">
        <v>7</v>
      </c>
      <c r="D1177" t="s">
        <v>515</v>
      </c>
      <c r="E1177" t="s">
        <v>9</v>
      </c>
      <c r="F1177">
        <v>13304.5</v>
      </c>
      <c r="G1177" s="3">
        <v>298</v>
      </c>
      <c r="H1177">
        <f t="shared" si="18"/>
        <v>298</v>
      </c>
      <c r="I1177">
        <v>4</v>
      </c>
    </row>
    <row r="1178" spans="1:9" ht="15.75" thickBot="1" x14ac:dyDescent="0.3">
      <c r="A1178" s="1">
        <v>44197</v>
      </c>
      <c r="B1178" t="s">
        <v>6</v>
      </c>
      <c r="C1178" t="s">
        <v>7</v>
      </c>
      <c r="D1178" t="s">
        <v>516</v>
      </c>
      <c r="E1178" t="s">
        <v>12</v>
      </c>
      <c r="F1178">
        <v>4808.1400000000003</v>
      </c>
      <c r="G1178" s="5">
        <v>96000</v>
      </c>
      <c r="H1178">
        <f t="shared" si="18"/>
        <v>96</v>
      </c>
      <c r="I1178">
        <v>3</v>
      </c>
    </row>
    <row r="1179" spans="1:9" ht="15.75" thickBot="1" x14ac:dyDescent="0.3">
      <c r="A1179" s="1">
        <v>44197</v>
      </c>
      <c r="B1179" t="s">
        <v>6</v>
      </c>
      <c r="C1179" t="s">
        <v>7</v>
      </c>
      <c r="D1179" t="s">
        <v>517</v>
      </c>
      <c r="E1179" t="s">
        <v>9</v>
      </c>
      <c r="F1179">
        <v>2059.11</v>
      </c>
      <c r="G1179" s="5">
        <v>94000</v>
      </c>
      <c r="H1179">
        <f t="shared" si="18"/>
        <v>94000</v>
      </c>
      <c r="I1179">
        <v>1</v>
      </c>
    </row>
    <row r="1180" spans="1:9" ht="15.75" thickBot="1" x14ac:dyDescent="0.3">
      <c r="A1180" s="1">
        <v>44197</v>
      </c>
      <c r="B1180" t="s">
        <v>6</v>
      </c>
      <c r="C1180" t="s">
        <v>7</v>
      </c>
      <c r="D1180" t="s">
        <v>518</v>
      </c>
      <c r="E1180" t="s">
        <v>12</v>
      </c>
      <c r="F1180">
        <v>100</v>
      </c>
      <c r="G1180" s="5">
        <v>0</v>
      </c>
      <c r="H1180">
        <f t="shared" si="18"/>
        <v>0</v>
      </c>
      <c r="I1180">
        <v>1</v>
      </c>
    </row>
    <row r="1181" spans="1:9" ht="15.75" thickBot="1" x14ac:dyDescent="0.3">
      <c r="A1181" s="1">
        <v>44197</v>
      </c>
      <c r="B1181" t="s">
        <v>6</v>
      </c>
      <c r="C1181" t="s">
        <v>7</v>
      </c>
      <c r="D1181" t="s">
        <v>519</v>
      </c>
      <c r="E1181" t="s">
        <v>14</v>
      </c>
      <c r="F1181">
        <v>34342.42</v>
      </c>
      <c r="G1181" s="3">
        <v>1198</v>
      </c>
      <c r="H1181">
        <f t="shared" si="18"/>
        <v>1198</v>
      </c>
      <c r="I1181">
        <v>1</v>
      </c>
    </row>
    <row r="1182" spans="1:9" ht="15.75" thickBot="1" x14ac:dyDescent="0.3">
      <c r="A1182" s="1">
        <v>44197</v>
      </c>
      <c r="B1182" t="s">
        <v>6</v>
      </c>
      <c r="C1182" t="s">
        <v>7</v>
      </c>
      <c r="D1182" t="s">
        <v>519</v>
      </c>
      <c r="E1182" t="s">
        <v>12</v>
      </c>
      <c r="F1182">
        <v>3235.57</v>
      </c>
      <c r="G1182" s="5">
        <v>86767.4</v>
      </c>
      <c r="H1182">
        <f t="shared" si="18"/>
        <v>86.767399999999995</v>
      </c>
      <c r="I1182">
        <v>13</v>
      </c>
    </row>
    <row r="1183" spans="1:9" ht="15.75" thickBot="1" x14ac:dyDescent="0.3">
      <c r="A1183" s="1">
        <v>44197</v>
      </c>
      <c r="B1183" t="s">
        <v>6</v>
      </c>
      <c r="C1183" t="s">
        <v>7</v>
      </c>
      <c r="D1183" t="s">
        <v>519</v>
      </c>
      <c r="E1183" t="s">
        <v>9</v>
      </c>
      <c r="F1183">
        <v>3100.41</v>
      </c>
      <c r="G1183" s="6">
        <v>27029.546999999999</v>
      </c>
      <c r="H1183">
        <f t="shared" si="18"/>
        <v>27029.546999999999</v>
      </c>
      <c r="I1183">
        <v>23</v>
      </c>
    </row>
    <row r="1184" spans="1:9" ht="15.75" thickBot="1" x14ac:dyDescent="0.3">
      <c r="A1184" s="1">
        <v>44197</v>
      </c>
      <c r="B1184" t="s">
        <v>6</v>
      </c>
      <c r="C1184" t="s">
        <v>7</v>
      </c>
      <c r="D1184" t="s">
        <v>519</v>
      </c>
      <c r="E1184" t="s">
        <v>17</v>
      </c>
      <c r="F1184">
        <v>25143.74</v>
      </c>
      <c r="G1184" s="5">
        <v>1306000</v>
      </c>
      <c r="H1184">
        <f t="shared" si="18"/>
        <v>1306000</v>
      </c>
      <c r="I1184">
        <v>1</v>
      </c>
    </row>
    <row r="1185" spans="1:9" ht="15.75" thickBot="1" x14ac:dyDescent="0.3">
      <c r="A1185" s="1">
        <v>44197</v>
      </c>
      <c r="B1185" t="s">
        <v>6</v>
      </c>
      <c r="C1185" t="s">
        <v>7</v>
      </c>
      <c r="D1185" t="s">
        <v>520</v>
      </c>
      <c r="E1185" t="s">
        <v>14</v>
      </c>
      <c r="F1185">
        <v>9911.4599999999991</v>
      </c>
      <c r="G1185" s="3">
        <v>264</v>
      </c>
      <c r="H1185">
        <f t="shared" si="18"/>
        <v>264</v>
      </c>
      <c r="I1185">
        <v>3</v>
      </c>
    </row>
    <row r="1186" spans="1:9" ht="15.75" thickBot="1" x14ac:dyDescent="0.3">
      <c r="A1186" s="1">
        <v>44197</v>
      </c>
      <c r="B1186" t="s">
        <v>6</v>
      </c>
      <c r="C1186" t="s">
        <v>7</v>
      </c>
      <c r="D1186" t="s">
        <v>520</v>
      </c>
      <c r="E1186" t="s">
        <v>24</v>
      </c>
      <c r="F1186">
        <v>822.59</v>
      </c>
      <c r="G1186" s="3">
        <v>0</v>
      </c>
      <c r="H1186">
        <f t="shared" si="18"/>
        <v>0</v>
      </c>
      <c r="I1186">
        <v>2</v>
      </c>
    </row>
    <row r="1187" spans="1:9" ht="15.75" thickBot="1" x14ac:dyDescent="0.3">
      <c r="A1187" s="1">
        <v>44197</v>
      </c>
      <c r="B1187" t="s">
        <v>6</v>
      </c>
      <c r="C1187" t="s">
        <v>7</v>
      </c>
      <c r="D1187" t="s">
        <v>520</v>
      </c>
      <c r="E1187" t="s">
        <v>12</v>
      </c>
      <c r="F1187">
        <v>31152.05</v>
      </c>
      <c r="G1187" s="5">
        <v>2055000</v>
      </c>
      <c r="H1187">
        <f t="shared" si="18"/>
        <v>2055</v>
      </c>
      <c r="I1187">
        <v>2</v>
      </c>
    </row>
    <row r="1188" spans="1:9" ht="15.75" thickBot="1" x14ac:dyDescent="0.3">
      <c r="A1188" s="1">
        <v>44197</v>
      </c>
      <c r="B1188" t="s">
        <v>6</v>
      </c>
      <c r="C1188" t="s">
        <v>7</v>
      </c>
      <c r="D1188" t="s">
        <v>520</v>
      </c>
      <c r="E1188" t="s">
        <v>9</v>
      </c>
      <c r="F1188">
        <v>8958.56</v>
      </c>
      <c r="G1188" s="6">
        <v>130915.25</v>
      </c>
      <c r="H1188">
        <f t="shared" si="18"/>
        <v>130915.25</v>
      </c>
      <c r="I1188">
        <v>7</v>
      </c>
    </row>
    <row r="1189" spans="1:9" ht="15.75" thickBot="1" x14ac:dyDescent="0.3">
      <c r="A1189" s="1">
        <v>44197</v>
      </c>
      <c r="B1189" t="s">
        <v>6</v>
      </c>
      <c r="C1189" t="s">
        <v>7</v>
      </c>
      <c r="D1189" t="s">
        <v>521</v>
      </c>
      <c r="E1189" t="s">
        <v>14</v>
      </c>
      <c r="F1189">
        <v>789.57</v>
      </c>
      <c r="G1189" s="3">
        <v>1034</v>
      </c>
      <c r="H1189">
        <f t="shared" si="18"/>
        <v>1034</v>
      </c>
      <c r="I1189">
        <v>6</v>
      </c>
    </row>
    <row r="1190" spans="1:9" ht="15.75" thickBot="1" x14ac:dyDescent="0.3">
      <c r="A1190" s="1">
        <v>44197</v>
      </c>
      <c r="B1190" t="s">
        <v>6</v>
      </c>
      <c r="C1190" t="s">
        <v>7</v>
      </c>
      <c r="D1190" t="s">
        <v>521</v>
      </c>
      <c r="E1190" t="s">
        <v>24</v>
      </c>
      <c r="F1190">
        <v>30630.99</v>
      </c>
      <c r="G1190" s="3">
        <v>844</v>
      </c>
      <c r="H1190">
        <f t="shared" si="18"/>
        <v>844</v>
      </c>
      <c r="I1190">
        <v>6</v>
      </c>
    </row>
    <row r="1191" spans="1:9" ht="15.75" thickBot="1" x14ac:dyDescent="0.3">
      <c r="A1191" s="1">
        <v>44197</v>
      </c>
      <c r="B1191" t="s">
        <v>6</v>
      </c>
      <c r="C1191" t="s">
        <v>7</v>
      </c>
      <c r="D1191" t="s">
        <v>521</v>
      </c>
      <c r="E1191" t="s">
        <v>12</v>
      </c>
      <c r="F1191">
        <v>0</v>
      </c>
      <c r="G1191" s="5">
        <v>137195.652</v>
      </c>
      <c r="H1191">
        <f t="shared" si="18"/>
        <v>137.195652</v>
      </c>
      <c r="I1191">
        <v>4</v>
      </c>
    </row>
    <row r="1192" spans="1:9" ht="15.75" thickBot="1" x14ac:dyDescent="0.3">
      <c r="A1192" s="1">
        <v>44197</v>
      </c>
      <c r="B1192" t="s">
        <v>6</v>
      </c>
      <c r="C1192" t="s">
        <v>7</v>
      </c>
      <c r="D1192" t="s">
        <v>521</v>
      </c>
      <c r="E1192" t="s">
        <v>9</v>
      </c>
      <c r="F1192">
        <v>163.13999999999999</v>
      </c>
      <c r="G1192" s="4">
        <v>0</v>
      </c>
      <c r="H1192">
        <f t="shared" si="18"/>
        <v>0</v>
      </c>
      <c r="I1192">
        <v>2</v>
      </c>
    </row>
    <row r="1193" spans="1:9" ht="15.75" thickBot="1" x14ac:dyDescent="0.3">
      <c r="A1193" s="1">
        <v>44197</v>
      </c>
      <c r="B1193" t="s">
        <v>6</v>
      </c>
      <c r="C1193" t="s">
        <v>7</v>
      </c>
      <c r="D1193" t="s">
        <v>522</v>
      </c>
      <c r="E1193" t="s">
        <v>14</v>
      </c>
      <c r="F1193">
        <v>6427.54</v>
      </c>
      <c r="G1193" s="3">
        <v>48</v>
      </c>
      <c r="H1193">
        <f t="shared" si="18"/>
        <v>48</v>
      </c>
      <c r="I1193">
        <v>6</v>
      </c>
    </row>
    <row r="1194" spans="1:9" ht="15.75" thickBot="1" x14ac:dyDescent="0.3">
      <c r="A1194" s="1">
        <v>44197</v>
      </c>
      <c r="B1194" t="s">
        <v>6</v>
      </c>
      <c r="C1194" t="s">
        <v>7</v>
      </c>
      <c r="D1194" t="s">
        <v>522</v>
      </c>
      <c r="E1194" t="s">
        <v>9</v>
      </c>
      <c r="F1194">
        <v>20628.400000000001</v>
      </c>
      <c r="G1194" s="3">
        <v>631</v>
      </c>
      <c r="H1194">
        <f t="shared" si="18"/>
        <v>631</v>
      </c>
      <c r="I1194">
        <v>2</v>
      </c>
    </row>
    <row r="1195" spans="1:9" ht="15.75" thickBot="1" x14ac:dyDescent="0.3">
      <c r="A1195" s="1">
        <v>44197</v>
      </c>
      <c r="B1195" t="s">
        <v>6</v>
      </c>
      <c r="C1195" t="s">
        <v>7</v>
      </c>
      <c r="D1195" t="s">
        <v>523</v>
      </c>
      <c r="E1195" t="s">
        <v>9</v>
      </c>
      <c r="F1195">
        <v>409.9</v>
      </c>
      <c r="G1195" s="5">
        <v>12000</v>
      </c>
      <c r="H1195">
        <f t="shared" si="18"/>
        <v>12000</v>
      </c>
      <c r="I1195">
        <v>1</v>
      </c>
    </row>
    <row r="1196" spans="1:9" ht="15.75" thickBot="1" x14ac:dyDescent="0.3">
      <c r="A1196" s="1">
        <v>44197</v>
      </c>
      <c r="B1196" t="s">
        <v>6</v>
      </c>
      <c r="C1196" t="s">
        <v>7</v>
      </c>
      <c r="D1196" t="s">
        <v>524</v>
      </c>
      <c r="E1196" t="s">
        <v>9</v>
      </c>
      <c r="F1196">
        <v>51322.400000000001</v>
      </c>
      <c r="G1196" s="3">
        <v>1820</v>
      </c>
      <c r="H1196">
        <f t="shared" si="18"/>
        <v>1820</v>
      </c>
      <c r="I1196">
        <v>1</v>
      </c>
    </row>
    <row r="1197" spans="1:9" ht="15.75" thickBot="1" x14ac:dyDescent="0.3">
      <c r="A1197" s="1">
        <v>44197</v>
      </c>
      <c r="B1197" t="s">
        <v>6</v>
      </c>
      <c r="C1197" t="s">
        <v>7</v>
      </c>
      <c r="D1197" t="s">
        <v>525</v>
      </c>
      <c r="E1197" t="s">
        <v>24</v>
      </c>
      <c r="F1197">
        <v>2657.53</v>
      </c>
      <c r="G1197" s="3">
        <v>52</v>
      </c>
      <c r="H1197">
        <f t="shared" si="18"/>
        <v>52</v>
      </c>
      <c r="I1197">
        <v>2</v>
      </c>
    </row>
    <row r="1198" spans="1:9" ht="15.75" thickBot="1" x14ac:dyDescent="0.3">
      <c r="A1198" s="1">
        <v>44197</v>
      </c>
      <c r="B1198" t="s">
        <v>6</v>
      </c>
      <c r="C1198" t="s">
        <v>7</v>
      </c>
      <c r="D1198" t="s">
        <v>526</v>
      </c>
      <c r="E1198" t="s">
        <v>14</v>
      </c>
      <c r="F1198">
        <v>53178.8</v>
      </c>
      <c r="G1198" s="3">
        <v>1715</v>
      </c>
      <c r="H1198">
        <f t="shared" si="18"/>
        <v>1715</v>
      </c>
      <c r="I1198">
        <v>2</v>
      </c>
    </row>
    <row r="1199" spans="1:9" ht="15.75" thickBot="1" x14ac:dyDescent="0.3">
      <c r="A1199" s="1">
        <v>44197</v>
      </c>
      <c r="B1199" t="s">
        <v>6</v>
      </c>
      <c r="C1199" t="s">
        <v>7</v>
      </c>
      <c r="D1199" t="s">
        <v>526</v>
      </c>
      <c r="E1199" t="s">
        <v>12</v>
      </c>
      <c r="F1199">
        <v>81.569999999999993</v>
      </c>
      <c r="G1199" s="4">
        <v>0</v>
      </c>
      <c r="H1199">
        <f t="shared" si="18"/>
        <v>0</v>
      </c>
      <c r="I1199">
        <v>1</v>
      </c>
    </row>
    <row r="1200" spans="1:9" ht="15.75" thickBot="1" x14ac:dyDescent="0.3">
      <c r="A1200" s="1">
        <v>44197</v>
      </c>
      <c r="B1200" t="s">
        <v>6</v>
      </c>
      <c r="C1200" t="s">
        <v>7</v>
      </c>
      <c r="D1200" t="s">
        <v>526</v>
      </c>
      <c r="E1200" t="s">
        <v>9</v>
      </c>
      <c r="F1200">
        <v>163.13999999999999</v>
      </c>
      <c r="G1200" s="4">
        <v>0</v>
      </c>
      <c r="H1200">
        <f t="shared" si="18"/>
        <v>0</v>
      </c>
      <c r="I1200">
        <v>2</v>
      </c>
    </row>
    <row r="1201" spans="1:9" ht="15.75" thickBot="1" x14ac:dyDescent="0.3">
      <c r="A1201" s="1">
        <v>44197</v>
      </c>
      <c r="B1201" t="s">
        <v>6</v>
      </c>
      <c r="C1201" t="s">
        <v>7</v>
      </c>
      <c r="D1201" t="s">
        <v>527</v>
      </c>
      <c r="E1201" t="s">
        <v>14</v>
      </c>
      <c r="F1201">
        <v>12169075</v>
      </c>
      <c r="G1201" s="6">
        <v>15195254.631999999</v>
      </c>
      <c r="H1201">
        <f t="shared" si="18"/>
        <v>15195254.631999999</v>
      </c>
      <c r="I1201">
        <v>1981</v>
      </c>
    </row>
    <row r="1202" spans="1:9" ht="15.75" thickBot="1" x14ac:dyDescent="0.3">
      <c r="A1202" s="1">
        <v>44197</v>
      </c>
      <c r="B1202" t="s">
        <v>6</v>
      </c>
      <c r="C1202" t="s">
        <v>7</v>
      </c>
      <c r="D1202" t="s">
        <v>527</v>
      </c>
      <c r="E1202" t="s">
        <v>24</v>
      </c>
      <c r="F1202">
        <v>2711070.37</v>
      </c>
      <c r="G1202" s="6">
        <v>30030720.642000001</v>
      </c>
      <c r="H1202">
        <f t="shared" si="18"/>
        <v>30030720.642000001</v>
      </c>
      <c r="I1202">
        <v>427</v>
      </c>
    </row>
    <row r="1203" spans="1:9" ht="15.75" thickBot="1" x14ac:dyDescent="0.3">
      <c r="A1203" s="1">
        <v>44197</v>
      </c>
      <c r="B1203" t="s">
        <v>6</v>
      </c>
      <c r="C1203" t="s">
        <v>7</v>
      </c>
      <c r="D1203" t="s">
        <v>527</v>
      </c>
      <c r="E1203" t="s">
        <v>12</v>
      </c>
      <c r="F1203">
        <v>16136171.24</v>
      </c>
      <c r="G1203" s="6">
        <v>565785720.49699998</v>
      </c>
      <c r="H1203">
        <f t="shared" si="18"/>
        <v>565785.72049700003</v>
      </c>
      <c r="I1203">
        <v>28376</v>
      </c>
    </row>
    <row r="1204" spans="1:9" ht="15.75" thickBot="1" x14ac:dyDescent="0.3">
      <c r="A1204" s="1">
        <v>44197</v>
      </c>
      <c r="B1204" t="s">
        <v>6</v>
      </c>
      <c r="C1204" t="s">
        <v>7</v>
      </c>
      <c r="D1204" t="s">
        <v>527</v>
      </c>
      <c r="E1204" t="s">
        <v>15</v>
      </c>
      <c r="F1204">
        <v>4378238.1900000004</v>
      </c>
      <c r="G1204" s="6">
        <v>3990356.1740000001</v>
      </c>
      <c r="H1204">
        <f t="shared" si="18"/>
        <v>3990356.1740000001</v>
      </c>
      <c r="I1204">
        <v>736</v>
      </c>
    </row>
    <row r="1205" spans="1:9" ht="15.75" thickBot="1" x14ac:dyDescent="0.3">
      <c r="A1205" s="1">
        <v>44197</v>
      </c>
      <c r="B1205" t="s">
        <v>6</v>
      </c>
      <c r="C1205" t="s">
        <v>7</v>
      </c>
      <c r="D1205" t="s">
        <v>527</v>
      </c>
      <c r="E1205" t="s">
        <v>9</v>
      </c>
      <c r="F1205">
        <v>1328547.42</v>
      </c>
      <c r="G1205" s="6">
        <v>12393320.495999999</v>
      </c>
      <c r="H1205">
        <f t="shared" si="18"/>
        <v>12393320.495999999</v>
      </c>
      <c r="I1205">
        <v>1748</v>
      </c>
    </row>
    <row r="1206" spans="1:9" ht="15.75" thickBot="1" x14ac:dyDescent="0.3">
      <c r="A1206" s="1">
        <v>44197</v>
      </c>
      <c r="B1206" t="s">
        <v>6</v>
      </c>
      <c r="C1206" t="s">
        <v>7</v>
      </c>
      <c r="D1206" t="s">
        <v>527</v>
      </c>
      <c r="E1206" t="s">
        <v>17</v>
      </c>
      <c r="F1206">
        <v>421671.87</v>
      </c>
      <c r="G1206" s="6">
        <v>4050708.7689999999</v>
      </c>
      <c r="H1206">
        <f t="shared" si="18"/>
        <v>4050708.7689999999</v>
      </c>
      <c r="I1206">
        <v>205</v>
      </c>
    </row>
    <row r="1207" spans="1:9" ht="15.75" thickBot="1" x14ac:dyDescent="0.3">
      <c r="A1207" s="1">
        <v>44197</v>
      </c>
      <c r="B1207" t="s">
        <v>6</v>
      </c>
      <c r="C1207" t="s">
        <v>7</v>
      </c>
      <c r="D1207" t="s">
        <v>528</v>
      </c>
      <c r="E1207" t="s">
        <v>14</v>
      </c>
      <c r="F1207">
        <v>11174911.98</v>
      </c>
      <c r="G1207" s="6">
        <v>2284428.5350000001</v>
      </c>
      <c r="H1207">
        <f t="shared" si="18"/>
        <v>2284428.5350000001</v>
      </c>
      <c r="I1207">
        <v>3104</v>
      </c>
    </row>
    <row r="1208" spans="1:9" ht="15.75" thickBot="1" x14ac:dyDescent="0.3">
      <c r="A1208" s="1">
        <v>44197</v>
      </c>
      <c r="B1208" t="s">
        <v>6</v>
      </c>
      <c r="C1208" t="s">
        <v>7</v>
      </c>
      <c r="D1208" t="s">
        <v>528</v>
      </c>
      <c r="E1208" t="s">
        <v>24</v>
      </c>
      <c r="F1208">
        <v>5167787.9400000004</v>
      </c>
      <c r="G1208" s="6">
        <v>54140377.895999998</v>
      </c>
      <c r="H1208">
        <f t="shared" si="18"/>
        <v>54140377.895999998</v>
      </c>
      <c r="I1208">
        <v>1438</v>
      </c>
    </row>
    <row r="1209" spans="1:9" ht="15.75" thickBot="1" x14ac:dyDescent="0.3">
      <c r="A1209" s="1">
        <v>44197</v>
      </c>
      <c r="B1209" t="s">
        <v>6</v>
      </c>
      <c r="C1209" t="s">
        <v>7</v>
      </c>
      <c r="D1209" t="s">
        <v>528</v>
      </c>
      <c r="E1209" t="s">
        <v>12</v>
      </c>
      <c r="F1209">
        <v>27858925.77</v>
      </c>
      <c r="G1209" s="6">
        <v>1552788935.0550001</v>
      </c>
      <c r="H1209">
        <f t="shared" si="18"/>
        <v>1552788.935055</v>
      </c>
      <c r="I1209">
        <v>106153</v>
      </c>
    </row>
    <row r="1210" spans="1:9" ht="15.75" thickBot="1" x14ac:dyDescent="0.3">
      <c r="A1210" s="1">
        <v>44197</v>
      </c>
      <c r="B1210" t="s">
        <v>6</v>
      </c>
      <c r="C1210" t="s">
        <v>7</v>
      </c>
      <c r="D1210" t="s">
        <v>528</v>
      </c>
      <c r="E1210" t="s">
        <v>15</v>
      </c>
      <c r="F1210">
        <v>394739.68</v>
      </c>
      <c r="G1210" s="6">
        <v>14465.208000000001</v>
      </c>
      <c r="H1210">
        <f t="shared" si="18"/>
        <v>14465.208000000001</v>
      </c>
      <c r="I1210">
        <v>106</v>
      </c>
    </row>
    <row r="1211" spans="1:9" ht="15.75" thickBot="1" x14ac:dyDescent="0.3">
      <c r="A1211" s="1">
        <v>44197</v>
      </c>
      <c r="B1211" t="s">
        <v>6</v>
      </c>
      <c r="C1211" t="s">
        <v>7</v>
      </c>
      <c r="D1211" t="s">
        <v>528</v>
      </c>
      <c r="E1211" t="s">
        <v>9</v>
      </c>
      <c r="F1211">
        <v>7316448.8099999996</v>
      </c>
      <c r="G1211" s="6">
        <v>14864490.897</v>
      </c>
      <c r="H1211">
        <f t="shared" si="18"/>
        <v>14864490.897</v>
      </c>
      <c r="I1211">
        <v>1273</v>
      </c>
    </row>
    <row r="1212" spans="1:9" ht="15.75" thickBot="1" x14ac:dyDescent="0.3">
      <c r="A1212" s="1">
        <v>44197</v>
      </c>
      <c r="B1212" t="s">
        <v>6</v>
      </c>
      <c r="C1212" t="s">
        <v>7</v>
      </c>
      <c r="D1212" t="s">
        <v>528</v>
      </c>
      <c r="E1212" t="s">
        <v>17</v>
      </c>
      <c r="F1212">
        <v>427348.75</v>
      </c>
      <c r="G1212" s="6">
        <v>14019553.891000001</v>
      </c>
      <c r="H1212">
        <f t="shared" si="18"/>
        <v>14019553.891000001</v>
      </c>
      <c r="I1212">
        <v>614</v>
      </c>
    </row>
    <row r="1213" spans="1:9" ht="15.75" thickBot="1" x14ac:dyDescent="0.3">
      <c r="A1213" s="1">
        <v>44197</v>
      </c>
      <c r="B1213" t="s">
        <v>6</v>
      </c>
      <c r="C1213" t="s">
        <v>7</v>
      </c>
      <c r="D1213" t="s">
        <v>529</v>
      </c>
      <c r="E1213" t="s">
        <v>24</v>
      </c>
      <c r="F1213">
        <v>21968.98</v>
      </c>
      <c r="G1213" s="6">
        <v>327036.11200000002</v>
      </c>
      <c r="H1213">
        <f t="shared" si="18"/>
        <v>327036.11200000002</v>
      </c>
      <c r="I1213">
        <v>15</v>
      </c>
    </row>
    <row r="1214" spans="1:9" ht="15.75" thickBot="1" x14ac:dyDescent="0.3">
      <c r="A1214" s="1">
        <v>44197</v>
      </c>
      <c r="B1214" t="s">
        <v>6</v>
      </c>
      <c r="C1214" t="s">
        <v>7</v>
      </c>
      <c r="D1214" t="s">
        <v>529</v>
      </c>
      <c r="E1214" t="s">
        <v>12</v>
      </c>
      <c r="F1214">
        <v>503.01</v>
      </c>
      <c r="G1214" s="5">
        <v>19845</v>
      </c>
      <c r="H1214">
        <f t="shared" si="18"/>
        <v>19.844999999999999</v>
      </c>
      <c r="I1214">
        <v>2</v>
      </c>
    </row>
    <row r="1215" spans="1:9" ht="15.75" thickBot="1" x14ac:dyDescent="0.3">
      <c r="A1215" s="1">
        <v>44197</v>
      </c>
      <c r="B1215" t="s">
        <v>6</v>
      </c>
      <c r="C1215" t="s">
        <v>7</v>
      </c>
      <c r="D1215" t="s">
        <v>530</v>
      </c>
      <c r="E1215" t="s">
        <v>24</v>
      </c>
      <c r="F1215">
        <v>200</v>
      </c>
      <c r="G1215" s="3">
        <v>0</v>
      </c>
      <c r="H1215">
        <f t="shared" si="18"/>
        <v>0</v>
      </c>
      <c r="I1215">
        <v>2</v>
      </c>
    </row>
    <row r="1216" spans="1:9" ht="15.75" thickBot="1" x14ac:dyDescent="0.3">
      <c r="A1216" s="1">
        <v>44197</v>
      </c>
      <c r="B1216" t="s">
        <v>6</v>
      </c>
      <c r="C1216" t="s">
        <v>7</v>
      </c>
      <c r="D1216" t="s">
        <v>530</v>
      </c>
      <c r="E1216" t="s">
        <v>12</v>
      </c>
      <c r="F1216">
        <v>916.3</v>
      </c>
      <c r="G1216" s="5">
        <v>36000</v>
      </c>
      <c r="H1216">
        <f t="shared" si="18"/>
        <v>36</v>
      </c>
      <c r="I1216">
        <v>3</v>
      </c>
    </row>
    <row r="1217" spans="1:9" ht="15.75" thickBot="1" x14ac:dyDescent="0.3">
      <c r="A1217" s="1">
        <v>44197</v>
      </c>
      <c r="B1217" t="s">
        <v>6</v>
      </c>
      <c r="C1217" t="s">
        <v>7</v>
      </c>
      <c r="D1217" t="s">
        <v>530</v>
      </c>
      <c r="E1217" t="s">
        <v>9</v>
      </c>
      <c r="F1217">
        <v>5587.84</v>
      </c>
      <c r="G1217" s="5">
        <v>162000</v>
      </c>
      <c r="H1217">
        <f t="shared" si="18"/>
        <v>162000</v>
      </c>
      <c r="I1217">
        <v>1</v>
      </c>
    </row>
    <row r="1218" spans="1:9" ht="15.75" thickBot="1" x14ac:dyDescent="0.3">
      <c r="A1218" s="1">
        <v>44197</v>
      </c>
      <c r="B1218" t="s">
        <v>6</v>
      </c>
      <c r="C1218" t="s">
        <v>7</v>
      </c>
      <c r="D1218" t="s">
        <v>531</v>
      </c>
      <c r="E1218" t="s">
        <v>12</v>
      </c>
      <c r="F1218">
        <v>528.98</v>
      </c>
      <c r="G1218" s="5">
        <v>54246.623</v>
      </c>
      <c r="H1218">
        <f t="shared" si="18"/>
        <v>54.246623</v>
      </c>
      <c r="I1218">
        <v>2</v>
      </c>
    </row>
    <row r="1219" spans="1:9" ht="15.75" thickBot="1" x14ac:dyDescent="0.3">
      <c r="A1219" s="1">
        <v>44197</v>
      </c>
      <c r="B1219" t="s">
        <v>6</v>
      </c>
      <c r="C1219" t="s">
        <v>7</v>
      </c>
      <c r="D1219" t="s">
        <v>532</v>
      </c>
      <c r="E1219" t="s">
        <v>9</v>
      </c>
      <c r="F1219">
        <v>81.569999999999993</v>
      </c>
      <c r="G1219" s="4">
        <v>0</v>
      </c>
      <c r="H1219">
        <f t="shared" ref="H1219:H1282" si="19">IF(ISNUMBER(SEARCH("Domestic customer", E1219)),G1219/1000,G1219)</f>
        <v>0</v>
      </c>
      <c r="I1219">
        <v>1</v>
      </c>
    </row>
    <row r="1220" spans="1:9" ht="15.75" thickBot="1" x14ac:dyDescent="0.3">
      <c r="A1220" s="1">
        <v>44197</v>
      </c>
      <c r="B1220" t="s">
        <v>6</v>
      </c>
      <c r="C1220" t="s">
        <v>7</v>
      </c>
      <c r="D1220" t="s">
        <v>533</v>
      </c>
      <c r="E1220" t="s">
        <v>14</v>
      </c>
      <c r="F1220">
        <v>127.32</v>
      </c>
      <c r="G1220" s="3">
        <v>1</v>
      </c>
      <c r="H1220">
        <f t="shared" si="19"/>
        <v>1</v>
      </c>
      <c r="I1220">
        <v>1</v>
      </c>
    </row>
    <row r="1221" spans="1:9" ht="15.75" thickBot="1" x14ac:dyDescent="0.3">
      <c r="A1221" s="1">
        <v>44197</v>
      </c>
      <c r="B1221" t="s">
        <v>6</v>
      </c>
      <c r="C1221" t="s">
        <v>7</v>
      </c>
      <c r="D1221" t="s">
        <v>533</v>
      </c>
      <c r="E1221" t="s">
        <v>12</v>
      </c>
      <c r="F1221">
        <v>1104.3</v>
      </c>
      <c r="G1221" s="5">
        <v>28000</v>
      </c>
      <c r="H1221">
        <f t="shared" si="19"/>
        <v>28</v>
      </c>
      <c r="I1221">
        <v>3</v>
      </c>
    </row>
    <row r="1222" spans="1:9" ht="15.75" thickBot="1" x14ac:dyDescent="0.3">
      <c r="A1222" s="1">
        <v>44197</v>
      </c>
      <c r="B1222" t="s">
        <v>6</v>
      </c>
      <c r="C1222" t="s">
        <v>7</v>
      </c>
      <c r="D1222" t="s">
        <v>534</v>
      </c>
      <c r="E1222" t="s">
        <v>12</v>
      </c>
      <c r="F1222">
        <v>13230.43</v>
      </c>
      <c r="G1222" s="5">
        <v>524000</v>
      </c>
      <c r="H1222">
        <f t="shared" si="19"/>
        <v>524</v>
      </c>
      <c r="I1222">
        <v>2</v>
      </c>
    </row>
    <row r="1223" spans="1:9" ht="15.75" thickBot="1" x14ac:dyDescent="0.3">
      <c r="A1223" s="1">
        <v>44197</v>
      </c>
      <c r="B1223" t="s">
        <v>6</v>
      </c>
      <c r="C1223" t="s">
        <v>7</v>
      </c>
      <c r="D1223" t="s">
        <v>535</v>
      </c>
      <c r="E1223" t="s">
        <v>12</v>
      </c>
      <c r="F1223">
        <v>591.79</v>
      </c>
      <c r="G1223" s="5">
        <v>15200.85</v>
      </c>
      <c r="H1223">
        <f t="shared" si="19"/>
        <v>15.200850000000001</v>
      </c>
      <c r="I1223">
        <v>3</v>
      </c>
    </row>
    <row r="1224" spans="1:9" ht="15.75" thickBot="1" x14ac:dyDescent="0.3">
      <c r="A1224" s="1">
        <v>44197</v>
      </c>
      <c r="B1224" t="s">
        <v>6</v>
      </c>
      <c r="C1224" t="s">
        <v>7</v>
      </c>
      <c r="D1224" t="s">
        <v>536</v>
      </c>
      <c r="E1224" t="s">
        <v>14</v>
      </c>
      <c r="F1224">
        <v>3460.05</v>
      </c>
      <c r="G1224" s="3">
        <v>115</v>
      </c>
      <c r="H1224">
        <f t="shared" si="19"/>
        <v>115</v>
      </c>
      <c r="I1224">
        <v>3</v>
      </c>
    </row>
    <row r="1225" spans="1:9" ht="15.75" thickBot="1" x14ac:dyDescent="0.3">
      <c r="A1225" s="1">
        <v>44197</v>
      </c>
      <c r="B1225" t="s">
        <v>6</v>
      </c>
      <c r="C1225" t="s">
        <v>7</v>
      </c>
      <c r="D1225" t="s">
        <v>536</v>
      </c>
      <c r="E1225" t="s">
        <v>24</v>
      </c>
      <c r="F1225">
        <v>13756.17</v>
      </c>
      <c r="G1225" s="3">
        <v>444</v>
      </c>
      <c r="H1225">
        <f t="shared" si="19"/>
        <v>444</v>
      </c>
      <c r="I1225">
        <v>10</v>
      </c>
    </row>
    <row r="1226" spans="1:9" ht="15.75" thickBot="1" x14ac:dyDescent="0.3">
      <c r="A1226" s="1">
        <v>44197</v>
      </c>
      <c r="B1226" t="s">
        <v>6</v>
      </c>
      <c r="C1226" t="s">
        <v>7</v>
      </c>
      <c r="D1226" t="s">
        <v>536</v>
      </c>
      <c r="E1226" t="s">
        <v>12</v>
      </c>
      <c r="F1226">
        <v>3994.25</v>
      </c>
      <c r="G1226" s="5">
        <v>197000</v>
      </c>
      <c r="H1226">
        <f t="shared" si="19"/>
        <v>197</v>
      </c>
      <c r="I1226">
        <v>12</v>
      </c>
    </row>
    <row r="1227" spans="1:9" ht="15.75" thickBot="1" x14ac:dyDescent="0.3">
      <c r="A1227" s="1">
        <v>44197</v>
      </c>
      <c r="B1227" t="s">
        <v>6</v>
      </c>
      <c r="C1227" t="s">
        <v>7</v>
      </c>
      <c r="D1227" t="s">
        <v>536</v>
      </c>
      <c r="E1227" t="s">
        <v>9</v>
      </c>
      <c r="F1227">
        <v>5037.6499999999996</v>
      </c>
      <c r="G1227" s="5">
        <v>263980</v>
      </c>
      <c r="H1227">
        <f t="shared" si="19"/>
        <v>263980</v>
      </c>
      <c r="I1227">
        <v>2</v>
      </c>
    </row>
    <row r="1228" spans="1:9" ht="15.75" thickBot="1" x14ac:dyDescent="0.3">
      <c r="A1228" s="1">
        <v>44197</v>
      </c>
      <c r="B1228" t="s">
        <v>6</v>
      </c>
      <c r="C1228" t="s">
        <v>7</v>
      </c>
      <c r="D1228" t="s">
        <v>537</v>
      </c>
      <c r="E1228" t="s">
        <v>12</v>
      </c>
      <c r="F1228">
        <v>121.53</v>
      </c>
      <c r="G1228" s="5">
        <v>1443.75</v>
      </c>
      <c r="H1228">
        <f t="shared" si="19"/>
        <v>1.4437500000000001</v>
      </c>
      <c r="I1228">
        <v>1</v>
      </c>
    </row>
    <row r="1229" spans="1:9" ht="15.75" thickBot="1" x14ac:dyDescent="0.3">
      <c r="A1229" s="1">
        <v>44197</v>
      </c>
      <c r="B1229" t="s">
        <v>6</v>
      </c>
      <c r="C1229" t="s">
        <v>7</v>
      </c>
      <c r="D1229" t="s">
        <v>537</v>
      </c>
      <c r="E1229" t="s">
        <v>9</v>
      </c>
      <c r="F1229">
        <v>156</v>
      </c>
      <c r="G1229" s="3">
        <v>0</v>
      </c>
      <c r="H1229">
        <f t="shared" si="19"/>
        <v>0</v>
      </c>
      <c r="I1229">
        <v>1</v>
      </c>
    </row>
    <row r="1230" spans="1:9" ht="15.75" thickBot="1" x14ac:dyDescent="0.3">
      <c r="A1230" s="1">
        <v>44197</v>
      </c>
      <c r="B1230" t="s">
        <v>6</v>
      </c>
      <c r="C1230" t="s">
        <v>7</v>
      </c>
      <c r="D1230" t="s">
        <v>538</v>
      </c>
      <c r="E1230" t="s">
        <v>24</v>
      </c>
      <c r="F1230">
        <v>0</v>
      </c>
      <c r="G1230" s="3">
        <v>12042</v>
      </c>
      <c r="H1230">
        <f t="shared" si="19"/>
        <v>12042</v>
      </c>
      <c r="I1230">
        <v>1</v>
      </c>
    </row>
    <row r="1231" spans="1:9" ht="15.75" thickBot="1" x14ac:dyDescent="0.3">
      <c r="A1231" s="1">
        <v>44197</v>
      </c>
      <c r="B1231" t="s">
        <v>6</v>
      </c>
      <c r="C1231" t="s">
        <v>7</v>
      </c>
      <c r="D1231" t="s">
        <v>538</v>
      </c>
      <c r="E1231" t="s">
        <v>9</v>
      </c>
      <c r="F1231">
        <v>570.99</v>
      </c>
      <c r="G1231" s="4">
        <v>0</v>
      </c>
      <c r="H1231">
        <f t="shared" si="19"/>
        <v>0</v>
      </c>
      <c r="I1231">
        <v>7</v>
      </c>
    </row>
    <row r="1232" spans="1:9" ht="15.75" thickBot="1" x14ac:dyDescent="0.3">
      <c r="A1232" s="1">
        <v>44197</v>
      </c>
      <c r="B1232" t="s">
        <v>6</v>
      </c>
      <c r="C1232" t="s">
        <v>7</v>
      </c>
      <c r="D1232" t="s">
        <v>539</v>
      </c>
      <c r="E1232" t="s">
        <v>12</v>
      </c>
      <c r="F1232">
        <v>7055.11</v>
      </c>
      <c r="G1232" s="5">
        <v>288000</v>
      </c>
      <c r="H1232">
        <f t="shared" si="19"/>
        <v>288</v>
      </c>
      <c r="I1232">
        <v>4</v>
      </c>
    </row>
    <row r="1233" spans="1:9" ht="15.75" thickBot="1" x14ac:dyDescent="0.3">
      <c r="A1233" s="1">
        <v>44197</v>
      </c>
      <c r="B1233" t="s">
        <v>6</v>
      </c>
      <c r="C1233" t="s">
        <v>7</v>
      </c>
      <c r="D1233" t="s">
        <v>539</v>
      </c>
      <c r="E1233" t="s">
        <v>17</v>
      </c>
      <c r="F1233">
        <v>217.49</v>
      </c>
      <c r="G1233" s="5">
        <v>7000</v>
      </c>
      <c r="H1233">
        <f t="shared" si="19"/>
        <v>7000</v>
      </c>
      <c r="I1233">
        <v>1</v>
      </c>
    </row>
    <row r="1234" spans="1:9" ht="15.75" thickBot="1" x14ac:dyDescent="0.3">
      <c r="A1234" s="1">
        <v>44197</v>
      </c>
      <c r="B1234" t="s">
        <v>6</v>
      </c>
      <c r="C1234" t="s">
        <v>7</v>
      </c>
      <c r="D1234" t="s">
        <v>540</v>
      </c>
      <c r="E1234" t="s">
        <v>12</v>
      </c>
      <c r="F1234">
        <v>5061.1099999999997</v>
      </c>
      <c r="G1234" s="5">
        <v>175000</v>
      </c>
      <c r="H1234">
        <f t="shared" si="19"/>
        <v>175</v>
      </c>
      <c r="I1234">
        <v>23</v>
      </c>
    </row>
    <row r="1235" spans="1:9" ht="15.75" thickBot="1" x14ac:dyDescent="0.3">
      <c r="A1235" s="1">
        <v>44197</v>
      </c>
      <c r="B1235" t="s">
        <v>6</v>
      </c>
      <c r="C1235" t="s">
        <v>7</v>
      </c>
      <c r="D1235" t="s">
        <v>541</v>
      </c>
      <c r="E1235" t="s">
        <v>12</v>
      </c>
      <c r="F1235">
        <v>271.01</v>
      </c>
      <c r="G1235" s="5">
        <v>12000</v>
      </c>
      <c r="H1235">
        <f t="shared" si="19"/>
        <v>12</v>
      </c>
      <c r="I1235">
        <v>1</v>
      </c>
    </row>
    <row r="1236" spans="1:9" ht="15.75" thickBot="1" x14ac:dyDescent="0.3">
      <c r="A1236" s="1">
        <v>44197</v>
      </c>
      <c r="B1236" t="s">
        <v>6</v>
      </c>
      <c r="C1236" t="s">
        <v>7</v>
      </c>
      <c r="D1236" t="s">
        <v>542</v>
      </c>
      <c r="E1236" t="s">
        <v>9</v>
      </c>
      <c r="F1236">
        <v>81.569999999999993</v>
      </c>
      <c r="G1236" s="4">
        <v>0</v>
      </c>
      <c r="H1236">
        <f t="shared" si="19"/>
        <v>0</v>
      </c>
      <c r="I1236">
        <v>1</v>
      </c>
    </row>
    <row r="1237" spans="1:9" ht="15.75" thickBot="1" x14ac:dyDescent="0.3">
      <c r="A1237" s="1">
        <v>44197</v>
      </c>
      <c r="B1237" t="s">
        <v>6</v>
      </c>
      <c r="C1237" t="s">
        <v>7</v>
      </c>
      <c r="D1237" t="s">
        <v>543</v>
      </c>
      <c r="E1237" t="s">
        <v>12</v>
      </c>
      <c r="F1237">
        <v>12361.97</v>
      </c>
      <c r="G1237" s="5">
        <v>750934.51</v>
      </c>
      <c r="H1237">
        <f t="shared" si="19"/>
        <v>750.93451000000005</v>
      </c>
      <c r="I1237">
        <v>10</v>
      </c>
    </row>
    <row r="1238" spans="1:9" ht="15.75" thickBot="1" x14ac:dyDescent="0.3">
      <c r="A1238" s="1">
        <v>44197</v>
      </c>
      <c r="B1238" t="s">
        <v>6</v>
      </c>
      <c r="C1238" t="s">
        <v>7</v>
      </c>
      <c r="D1238" t="s">
        <v>543</v>
      </c>
      <c r="E1238" t="s">
        <v>9</v>
      </c>
      <c r="F1238">
        <v>163.13999999999999</v>
      </c>
      <c r="G1238" s="4">
        <v>0</v>
      </c>
      <c r="H1238">
        <f t="shared" si="19"/>
        <v>0</v>
      </c>
      <c r="I1238">
        <v>2</v>
      </c>
    </row>
    <row r="1239" spans="1:9" ht="15.75" thickBot="1" x14ac:dyDescent="0.3">
      <c r="A1239" s="1">
        <v>44197</v>
      </c>
      <c r="B1239" t="s">
        <v>6</v>
      </c>
      <c r="C1239" t="s">
        <v>7</v>
      </c>
      <c r="D1239" t="s">
        <v>543</v>
      </c>
      <c r="E1239" t="s">
        <v>17</v>
      </c>
      <c r="F1239">
        <v>148.30000000000001</v>
      </c>
      <c r="G1239" s="5">
        <v>8641.2999999999993</v>
      </c>
      <c r="H1239">
        <f t="shared" si="19"/>
        <v>8641.2999999999993</v>
      </c>
      <c r="I1239">
        <v>1</v>
      </c>
    </row>
    <row r="1240" spans="1:9" ht="15.75" thickBot="1" x14ac:dyDescent="0.3">
      <c r="A1240" s="1">
        <v>44197</v>
      </c>
      <c r="B1240" t="s">
        <v>6</v>
      </c>
      <c r="C1240" t="s">
        <v>7</v>
      </c>
      <c r="D1240" t="s">
        <v>544</v>
      </c>
      <c r="E1240" t="s">
        <v>12</v>
      </c>
      <c r="F1240">
        <v>17289.09</v>
      </c>
      <c r="G1240" s="5">
        <v>257000</v>
      </c>
      <c r="H1240">
        <f t="shared" si="19"/>
        <v>257</v>
      </c>
      <c r="I1240">
        <v>5</v>
      </c>
    </row>
    <row r="1241" spans="1:9" ht="15.75" thickBot="1" x14ac:dyDescent="0.3">
      <c r="A1241" s="1">
        <v>44197</v>
      </c>
      <c r="B1241" t="s">
        <v>6</v>
      </c>
      <c r="C1241" t="s">
        <v>7</v>
      </c>
      <c r="D1241" t="s">
        <v>544</v>
      </c>
      <c r="E1241" t="s">
        <v>9</v>
      </c>
      <c r="F1241">
        <v>326.27999999999997</v>
      </c>
      <c r="G1241" s="4">
        <v>0</v>
      </c>
      <c r="H1241">
        <f t="shared" si="19"/>
        <v>0</v>
      </c>
      <c r="I1241">
        <v>4</v>
      </c>
    </row>
    <row r="1242" spans="1:9" ht="15.75" thickBot="1" x14ac:dyDescent="0.3">
      <c r="A1242" s="1">
        <v>44197</v>
      </c>
      <c r="B1242" t="s">
        <v>6</v>
      </c>
      <c r="C1242" t="s">
        <v>7</v>
      </c>
      <c r="D1242" t="s">
        <v>545</v>
      </c>
      <c r="E1242" t="s">
        <v>12</v>
      </c>
      <c r="F1242">
        <v>7573.91</v>
      </c>
      <c r="G1242" s="5">
        <v>290000</v>
      </c>
      <c r="H1242">
        <f t="shared" si="19"/>
        <v>290</v>
      </c>
      <c r="I1242">
        <v>3</v>
      </c>
    </row>
    <row r="1243" spans="1:9" ht="15.75" thickBot="1" x14ac:dyDescent="0.3">
      <c r="A1243" s="1">
        <v>44197</v>
      </c>
      <c r="B1243" t="s">
        <v>6</v>
      </c>
      <c r="C1243" t="s">
        <v>7</v>
      </c>
      <c r="D1243" t="s">
        <v>546</v>
      </c>
      <c r="E1243" t="s">
        <v>14</v>
      </c>
      <c r="F1243">
        <v>353.78</v>
      </c>
      <c r="G1243" s="3">
        <v>9</v>
      </c>
      <c r="H1243">
        <f t="shared" si="19"/>
        <v>9</v>
      </c>
      <c r="I1243">
        <v>1</v>
      </c>
    </row>
    <row r="1244" spans="1:9" ht="15.75" thickBot="1" x14ac:dyDescent="0.3">
      <c r="A1244" s="1">
        <v>44197</v>
      </c>
      <c r="B1244" t="s">
        <v>6</v>
      </c>
      <c r="C1244" t="s">
        <v>7</v>
      </c>
      <c r="D1244" t="s">
        <v>546</v>
      </c>
      <c r="E1244" t="s">
        <v>12</v>
      </c>
      <c r="F1244">
        <v>3391.33</v>
      </c>
      <c r="G1244" s="5">
        <v>121680.7</v>
      </c>
      <c r="H1244">
        <f t="shared" si="19"/>
        <v>121.6807</v>
      </c>
      <c r="I1244">
        <v>5</v>
      </c>
    </row>
    <row r="1245" spans="1:9" ht="15.75" thickBot="1" x14ac:dyDescent="0.3">
      <c r="A1245" s="1">
        <v>44197</v>
      </c>
      <c r="B1245" t="s">
        <v>6</v>
      </c>
      <c r="C1245" t="s">
        <v>7</v>
      </c>
      <c r="D1245" t="s">
        <v>546</v>
      </c>
      <c r="E1245" t="s">
        <v>9</v>
      </c>
      <c r="F1245">
        <v>81.569999999999993</v>
      </c>
      <c r="G1245" s="4">
        <v>0</v>
      </c>
      <c r="H1245">
        <f t="shared" si="19"/>
        <v>0</v>
      </c>
      <c r="I1245">
        <v>1</v>
      </c>
    </row>
    <row r="1246" spans="1:9" ht="15.75" thickBot="1" x14ac:dyDescent="0.3">
      <c r="A1246" s="1">
        <v>44197</v>
      </c>
      <c r="B1246" t="s">
        <v>6</v>
      </c>
      <c r="C1246" t="s">
        <v>7</v>
      </c>
      <c r="D1246" t="s">
        <v>547</v>
      </c>
      <c r="E1246" t="s">
        <v>12</v>
      </c>
      <c r="F1246">
        <v>8259.01</v>
      </c>
      <c r="G1246" s="5">
        <v>401000</v>
      </c>
      <c r="H1246">
        <f t="shared" si="19"/>
        <v>401</v>
      </c>
      <c r="I1246">
        <v>3</v>
      </c>
    </row>
    <row r="1247" spans="1:9" ht="15.75" thickBot="1" x14ac:dyDescent="0.3">
      <c r="A1247" s="1">
        <v>44197</v>
      </c>
      <c r="B1247" t="s">
        <v>6</v>
      </c>
      <c r="C1247" t="s">
        <v>7</v>
      </c>
      <c r="D1247" t="s">
        <v>547</v>
      </c>
      <c r="E1247" t="s">
        <v>9</v>
      </c>
      <c r="F1247">
        <v>318.17</v>
      </c>
      <c r="G1247" s="3">
        <v>5</v>
      </c>
      <c r="H1247">
        <f t="shared" si="19"/>
        <v>5</v>
      </c>
      <c r="I1247">
        <v>2</v>
      </c>
    </row>
    <row r="1248" spans="1:9" ht="15.75" thickBot="1" x14ac:dyDescent="0.3">
      <c r="A1248" s="1">
        <v>44197</v>
      </c>
      <c r="B1248" t="s">
        <v>6</v>
      </c>
      <c r="C1248" t="s">
        <v>7</v>
      </c>
      <c r="D1248" t="s">
        <v>548</v>
      </c>
      <c r="E1248" t="s">
        <v>12</v>
      </c>
      <c r="F1248">
        <v>228.74</v>
      </c>
      <c r="G1248" s="5">
        <v>16965.143</v>
      </c>
      <c r="H1248">
        <f t="shared" si="19"/>
        <v>16.965143000000001</v>
      </c>
      <c r="I1248">
        <v>1</v>
      </c>
    </row>
    <row r="1249" spans="1:9" ht="15.75" thickBot="1" x14ac:dyDescent="0.3">
      <c r="A1249" s="1">
        <v>44197</v>
      </c>
      <c r="B1249" t="s">
        <v>6</v>
      </c>
      <c r="C1249" t="s">
        <v>7</v>
      </c>
      <c r="D1249" t="s">
        <v>548</v>
      </c>
      <c r="E1249" t="s">
        <v>9</v>
      </c>
      <c r="F1249">
        <v>81.569999999999993</v>
      </c>
      <c r="G1249" s="4">
        <v>0</v>
      </c>
      <c r="H1249">
        <f t="shared" si="19"/>
        <v>0</v>
      </c>
      <c r="I1249">
        <v>1</v>
      </c>
    </row>
    <row r="1250" spans="1:9" ht="15.75" thickBot="1" x14ac:dyDescent="0.3">
      <c r="A1250" s="1">
        <v>44197</v>
      </c>
      <c r="B1250" t="s">
        <v>6</v>
      </c>
      <c r="C1250" t="s">
        <v>7</v>
      </c>
      <c r="D1250" t="s">
        <v>549</v>
      </c>
      <c r="E1250" t="s">
        <v>12</v>
      </c>
      <c r="F1250">
        <v>1000.37</v>
      </c>
      <c r="G1250" s="5">
        <v>32055.200000000001</v>
      </c>
      <c r="H1250">
        <f t="shared" si="19"/>
        <v>32.055199999999999</v>
      </c>
      <c r="I1250">
        <v>4</v>
      </c>
    </row>
    <row r="1251" spans="1:9" ht="15.75" thickBot="1" x14ac:dyDescent="0.3">
      <c r="A1251" s="1">
        <v>44197</v>
      </c>
      <c r="B1251" t="s">
        <v>6</v>
      </c>
      <c r="C1251" t="s">
        <v>7</v>
      </c>
      <c r="D1251" t="s">
        <v>550</v>
      </c>
      <c r="E1251" t="s">
        <v>24</v>
      </c>
      <c r="F1251">
        <v>221.11</v>
      </c>
      <c r="G1251" s="3">
        <v>2630</v>
      </c>
      <c r="H1251">
        <f t="shared" si="19"/>
        <v>2630</v>
      </c>
      <c r="I1251">
        <v>3</v>
      </c>
    </row>
    <row r="1252" spans="1:9" ht="15.75" thickBot="1" x14ac:dyDescent="0.3">
      <c r="A1252" s="1">
        <v>44197</v>
      </c>
      <c r="B1252" t="s">
        <v>6</v>
      </c>
      <c r="C1252" t="s">
        <v>7</v>
      </c>
      <c r="D1252" t="s">
        <v>550</v>
      </c>
      <c r="E1252" t="s">
        <v>12</v>
      </c>
      <c r="F1252">
        <v>5727.92</v>
      </c>
      <c r="G1252" s="5">
        <v>4679299.3339999998</v>
      </c>
      <c r="H1252">
        <f t="shared" si="19"/>
        <v>4679.2993339999994</v>
      </c>
      <c r="I1252">
        <v>425</v>
      </c>
    </row>
    <row r="1253" spans="1:9" ht="15.75" thickBot="1" x14ac:dyDescent="0.3">
      <c r="A1253" s="1">
        <v>44197</v>
      </c>
      <c r="B1253" t="s">
        <v>6</v>
      </c>
      <c r="C1253" t="s">
        <v>7</v>
      </c>
      <c r="D1253" t="s">
        <v>550</v>
      </c>
      <c r="E1253" t="s">
        <v>9</v>
      </c>
      <c r="F1253">
        <v>8632.23</v>
      </c>
      <c r="G1253" s="6">
        <v>5121.2700000000004</v>
      </c>
      <c r="H1253">
        <f t="shared" si="19"/>
        <v>5121.2700000000004</v>
      </c>
      <c r="I1253">
        <v>5</v>
      </c>
    </row>
    <row r="1254" spans="1:9" ht="15.75" thickBot="1" x14ac:dyDescent="0.3">
      <c r="A1254" s="1">
        <v>44197</v>
      </c>
      <c r="B1254" t="s">
        <v>6</v>
      </c>
      <c r="C1254" t="s">
        <v>7</v>
      </c>
      <c r="D1254" t="s">
        <v>550</v>
      </c>
      <c r="E1254" t="s">
        <v>17</v>
      </c>
      <c r="F1254">
        <v>0</v>
      </c>
      <c r="G1254" s="5">
        <v>212952</v>
      </c>
      <c r="H1254">
        <f t="shared" si="19"/>
        <v>212952</v>
      </c>
      <c r="I1254">
        <v>17</v>
      </c>
    </row>
    <row r="1255" spans="1:9" ht="15.75" thickBot="1" x14ac:dyDescent="0.3">
      <c r="A1255" s="1">
        <v>44197</v>
      </c>
      <c r="B1255" t="s">
        <v>6</v>
      </c>
      <c r="C1255" t="s">
        <v>7</v>
      </c>
      <c r="D1255" t="s">
        <v>551</v>
      </c>
      <c r="E1255" t="s">
        <v>14</v>
      </c>
      <c r="F1255">
        <v>156</v>
      </c>
      <c r="G1255" s="3">
        <v>0</v>
      </c>
      <c r="H1255">
        <f t="shared" si="19"/>
        <v>0</v>
      </c>
      <c r="I1255">
        <v>1</v>
      </c>
    </row>
    <row r="1256" spans="1:9" ht="15.75" thickBot="1" x14ac:dyDescent="0.3">
      <c r="A1256" s="1">
        <v>44197</v>
      </c>
      <c r="B1256" t="s">
        <v>6</v>
      </c>
      <c r="C1256" t="s">
        <v>7</v>
      </c>
      <c r="D1256" t="s">
        <v>551</v>
      </c>
      <c r="E1256" t="s">
        <v>12</v>
      </c>
      <c r="F1256">
        <v>2248.75</v>
      </c>
      <c r="G1256" s="5">
        <v>76006.849000000002</v>
      </c>
      <c r="H1256">
        <f t="shared" si="19"/>
        <v>76.006849000000003</v>
      </c>
      <c r="I1256">
        <v>9</v>
      </c>
    </row>
    <row r="1257" spans="1:9" ht="15.75" thickBot="1" x14ac:dyDescent="0.3">
      <c r="A1257" s="1">
        <v>44197</v>
      </c>
      <c r="B1257" t="s">
        <v>6</v>
      </c>
      <c r="C1257" t="s">
        <v>7</v>
      </c>
      <c r="D1257" t="s">
        <v>551</v>
      </c>
      <c r="E1257" t="s">
        <v>9</v>
      </c>
      <c r="F1257">
        <v>81.569999999999993</v>
      </c>
      <c r="G1257" s="4">
        <v>0</v>
      </c>
      <c r="H1257">
        <f t="shared" si="19"/>
        <v>0</v>
      </c>
      <c r="I1257">
        <v>1</v>
      </c>
    </row>
    <row r="1258" spans="1:9" ht="15.75" thickBot="1" x14ac:dyDescent="0.3">
      <c r="A1258" s="1">
        <v>44197</v>
      </c>
      <c r="B1258" t="s">
        <v>6</v>
      </c>
      <c r="C1258" t="s">
        <v>7</v>
      </c>
      <c r="D1258" t="s">
        <v>552</v>
      </c>
      <c r="E1258" t="s">
        <v>12</v>
      </c>
      <c r="F1258">
        <v>1349.65</v>
      </c>
      <c r="G1258" s="5">
        <v>46739.65</v>
      </c>
      <c r="H1258">
        <f t="shared" si="19"/>
        <v>46.739650000000005</v>
      </c>
      <c r="I1258">
        <v>2</v>
      </c>
    </row>
    <row r="1259" spans="1:9" ht="15.75" thickBot="1" x14ac:dyDescent="0.3">
      <c r="A1259" s="1">
        <v>44197</v>
      </c>
      <c r="B1259" t="s">
        <v>6</v>
      </c>
      <c r="C1259" t="s">
        <v>7</v>
      </c>
      <c r="D1259" t="s">
        <v>553</v>
      </c>
      <c r="E1259" t="s">
        <v>12</v>
      </c>
      <c r="F1259">
        <v>17696.52</v>
      </c>
      <c r="G1259" s="5">
        <v>1011000</v>
      </c>
      <c r="H1259">
        <f t="shared" si="19"/>
        <v>1011</v>
      </c>
      <c r="I1259">
        <v>2</v>
      </c>
    </row>
    <row r="1260" spans="1:9" ht="15.75" thickBot="1" x14ac:dyDescent="0.3">
      <c r="A1260" s="1">
        <v>44197</v>
      </c>
      <c r="B1260" t="s">
        <v>6</v>
      </c>
      <c r="C1260" t="s">
        <v>7</v>
      </c>
      <c r="D1260" t="s">
        <v>554</v>
      </c>
      <c r="E1260" t="s">
        <v>12</v>
      </c>
      <c r="F1260">
        <v>2422.88</v>
      </c>
      <c r="G1260" s="5">
        <v>87945.75</v>
      </c>
      <c r="H1260">
        <f t="shared" si="19"/>
        <v>87.945750000000004</v>
      </c>
      <c r="I1260">
        <v>5</v>
      </c>
    </row>
    <row r="1261" spans="1:9" ht="15.75" thickBot="1" x14ac:dyDescent="0.3">
      <c r="A1261" s="1">
        <v>44197</v>
      </c>
      <c r="B1261" t="s">
        <v>6</v>
      </c>
      <c r="C1261" t="s">
        <v>7</v>
      </c>
      <c r="D1261" t="s">
        <v>555</v>
      </c>
      <c r="E1261" t="s">
        <v>12</v>
      </c>
      <c r="F1261">
        <v>1970.71</v>
      </c>
      <c r="G1261" s="5">
        <v>55000</v>
      </c>
      <c r="H1261">
        <f t="shared" si="19"/>
        <v>55</v>
      </c>
      <c r="I1261">
        <v>2</v>
      </c>
    </row>
    <row r="1262" spans="1:9" ht="15.75" thickBot="1" x14ac:dyDescent="0.3">
      <c r="A1262" s="1">
        <v>44197</v>
      </c>
      <c r="B1262" t="s">
        <v>6</v>
      </c>
      <c r="C1262" t="s">
        <v>7</v>
      </c>
      <c r="D1262" t="s">
        <v>556</v>
      </c>
      <c r="E1262" t="s">
        <v>12</v>
      </c>
      <c r="F1262">
        <v>3335.48</v>
      </c>
      <c r="G1262" s="5">
        <v>127704</v>
      </c>
      <c r="H1262">
        <f t="shared" si="19"/>
        <v>127.70399999999999</v>
      </c>
      <c r="I1262">
        <v>19</v>
      </c>
    </row>
    <row r="1263" spans="1:9" ht="15.75" thickBot="1" x14ac:dyDescent="0.3">
      <c r="A1263" s="1">
        <v>44197</v>
      </c>
      <c r="B1263" t="s">
        <v>6</v>
      </c>
      <c r="C1263" t="s">
        <v>7</v>
      </c>
      <c r="D1263" t="s">
        <v>556</v>
      </c>
      <c r="E1263" t="s">
        <v>9</v>
      </c>
      <c r="F1263">
        <v>1293.3499999999999</v>
      </c>
      <c r="G1263" s="3">
        <v>45</v>
      </c>
      <c r="H1263">
        <f t="shared" si="19"/>
        <v>45</v>
      </c>
      <c r="I1263">
        <v>1</v>
      </c>
    </row>
    <row r="1264" spans="1:9" ht="15.75" thickBot="1" x14ac:dyDescent="0.3">
      <c r="A1264" s="1">
        <v>44197</v>
      </c>
      <c r="B1264" t="s">
        <v>6</v>
      </c>
      <c r="C1264" t="s">
        <v>7</v>
      </c>
      <c r="D1264" t="s">
        <v>557</v>
      </c>
      <c r="E1264" t="s">
        <v>12</v>
      </c>
      <c r="F1264">
        <v>48225.43</v>
      </c>
      <c r="G1264" s="6">
        <v>1877395.7</v>
      </c>
      <c r="H1264">
        <f t="shared" si="19"/>
        <v>1877.3957</v>
      </c>
      <c r="I1264">
        <v>163</v>
      </c>
    </row>
    <row r="1265" spans="1:9" ht="15.75" thickBot="1" x14ac:dyDescent="0.3">
      <c r="A1265" s="1">
        <v>44197</v>
      </c>
      <c r="B1265" t="s">
        <v>6</v>
      </c>
      <c r="C1265" t="s">
        <v>7</v>
      </c>
      <c r="D1265" t="s">
        <v>557</v>
      </c>
      <c r="E1265" t="s">
        <v>9</v>
      </c>
      <c r="F1265">
        <v>81.569999999999993</v>
      </c>
      <c r="G1265" s="4">
        <v>0</v>
      </c>
      <c r="H1265">
        <f t="shared" si="19"/>
        <v>0</v>
      </c>
      <c r="I1265">
        <v>1</v>
      </c>
    </row>
    <row r="1266" spans="1:9" ht="15.75" thickBot="1" x14ac:dyDescent="0.3">
      <c r="A1266" s="1">
        <v>44197</v>
      </c>
      <c r="B1266" t="s">
        <v>6</v>
      </c>
      <c r="C1266" t="s">
        <v>7</v>
      </c>
      <c r="D1266" t="s">
        <v>557</v>
      </c>
      <c r="E1266" t="s">
        <v>17</v>
      </c>
      <c r="F1266">
        <v>0</v>
      </c>
      <c r="G1266" s="5">
        <v>28000</v>
      </c>
      <c r="H1266">
        <f t="shared" si="19"/>
        <v>28000</v>
      </c>
      <c r="I1266">
        <v>1</v>
      </c>
    </row>
    <row r="1267" spans="1:9" ht="15.75" thickBot="1" x14ac:dyDescent="0.3">
      <c r="A1267" s="1">
        <v>44197</v>
      </c>
      <c r="B1267" t="s">
        <v>6</v>
      </c>
      <c r="C1267" t="s">
        <v>7</v>
      </c>
      <c r="D1267" t="s">
        <v>558</v>
      </c>
      <c r="E1267" t="s">
        <v>24</v>
      </c>
      <c r="F1267">
        <v>345.88</v>
      </c>
      <c r="G1267" s="3">
        <v>9</v>
      </c>
      <c r="H1267">
        <f t="shared" si="19"/>
        <v>9</v>
      </c>
      <c r="I1267">
        <v>1</v>
      </c>
    </row>
    <row r="1268" spans="1:9" ht="15.75" thickBot="1" x14ac:dyDescent="0.3">
      <c r="A1268" s="1">
        <v>44197</v>
      </c>
      <c r="B1268" t="s">
        <v>6</v>
      </c>
      <c r="C1268" t="s">
        <v>7</v>
      </c>
      <c r="D1268" t="s">
        <v>559</v>
      </c>
      <c r="E1268" t="s">
        <v>12</v>
      </c>
      <c r="F1268">
        <v>247.52</v>
      </c>
      <c r="G1268" s="5">
        <v>9000</v>
      </c>
      <c r="H1268">
        <f t="shared" si="19"/>
        <v>9</v>
      </c>
      <c r="I1268">
        <v>1</v>
      </c>
    </row>
    <row r="1269" spans="1:9" ht="15.75" thickBot="1" x14ac:dyDescent="0.3">
      <c r="A1269" s="1">
        <v>44197</v>
      </c>
      <c r="B1269" t="s">
        <v>6</v>
      </c>
      <c r="C1269" t="s">
        <v>7</v>
      </c>
      <c r="D1269" t="s">
        <v>560</v>
      </c>
      <c r="E1269" t="s">
        <v>12</v>
      </c>
      <c r="F1269">
        <v>602.08000000000004</v>
      </c>
      <c r="G1269" s="5">
        <v>18000</v>
      </c>
      <c r="H1269">
        <f t="shared" si="19"/>
        <v>18</v>
      </c>
      <c r="I1269">
        <v>3</v>
      </c>
    </row>
    <row r="1270" spans="1:9" ht="15.75" thickBot="1" x14ac:dyDescent="0.3">
      <c r="A1270" s="1">
        <v>44197</v>
      </c>
      <c r="B1270" t="s">
        <v>6</v>
      </c>
      <c r="C1270" t="s">
        <v>7</v>
      </c>
      <c r="D1270" t="s">
        <v>561</v>
      </c>
      <c r="E1270" t="s">
        <v>14</v>
      </c>
      <c r="F1270">
        <v>2927.43</v>
      </c>
      <c r="G1270" s="3">
        <v>90</v>
      </c>
      <c r="H1270">
        <f t="shared" si="19"/>
        <v>90</v>
      </c>
      <c r="I1270">
        <v>2</v>
      </c>
    </row>
    <row r="1271" spans="1:9" ht="15.75" thickBot="1" x14ac:dyDescent="0.3">
      <c r="A1271" s="1">
        <v>44197</v>
      </c>
      <c r="B1271" t="s">
        <v>6</v>
      </c>
      <c r="C1271" t="s">
        <v>7</v>
      </c>
      <c r="D1271" t="s">
        <v>561</v>
      </c>
      <c r="E1271" t="s">
        <v>12</v>
      </c>
      <c r="F1271">
        <v>2777.21</v>
      </c>
      <c r="G1271" s="6">
        <v>109024.12300000001</v>
      </c>
      <c r="H1271">
        <f t="shared" si="19"/>
        <v>109.024123</v>
      </c>
      <c r="I1271">
        <v>13</v>
      </c>
    </row>
    <row r="1272" spans="1:9" ht="15.75" thickBot="1" x14ac:dyDescent="0.3">
      <c r="A1272" s="1">
        <v>44197</v>
      </c>
      <c r="B1272" t="s">
        <v>6</v>
      </c>
      <c r="C1272" t="s">
        <v>7</v>
      </c>
      <c r="D1272" t="s">
        <v>561</v>
      </c>
      <c r="E1272" t="s">
        <v>9</v>
      </c>
      <c r="F1272">
        <v>1549.83</v>
      </c>
      <c r="G1272" s="4">
        <v>0</v>
      </c>
      <c r="H1272">
        <f t="shared" si="19"/>
        <v>0</v>
      </c>
      <c r="I1272">
        <v>19</v>
      </c>
    </row>
    <row r="1273" spans="1:9" ht="15.75" thickBot="1" x14ac:dyDescent="0.3">
      <c r="A1273" s="1">
        <v>44197</v>
      </c>
      <c r="B1273" t="s">
        <v>6</v>
      </c>
      <c r="C1273" t="s">
        <v>7</v>
      </c>
      <c r="D1273" t="s">
        <v>561</v>
      </c>
      <c r="E1273" t="s">
        <v>17</v>
      </c>
      <c r="F1273">
        <v>81.569999999999993</v>
      </c>
      <c r="G1273" s="5">
        <v>6000</v>
      </c>
      <c r="H1273">
        <f t="shared" si="19"/>
        <v>6000</v>
      </c>
      <c r="I1273">
        <v>2</v>
      </c>
    </row>
    <row r="1274" spans="1:9" ht="15.75" thickBot="1" x14ac:dyDescent="0.3">
      <c r="A1274" s="1">
        <v>44197</v>
      </c>
      <c r="B1274" t="s">
        <v>6</v>
      </c>
      <c r="C1274" t="s">
        <v>7</v>
      </c>
      <c r="D1274" t="s">
        <v>562</v>
      </c>
      <c r="E1274" t="s">
        <v>24</v>
      </c>
      <c r="F1274">
        <v>21833.11</v>
      </c>
      <c r="G1274" s="3">
        <v>2144</v>
      </c>
      <c r="H1274">
        <f t="shared" si="19"/>
        <v>2144</v>
      </c>
      <c r="I1274">
        <v>10</v>
      </c>
    </row>
    <row r="1275" spans="1:9" ht="15.75" thickBot="1" x14ac:dyDescent="0.3">
      <c r="A1275" s="1">
        <v>44197</v>
      </c>
      <c r="B1275" t="s">
        <v>6</v>
      </c>
      <c r="C1275" t="s">
        <v>7</v>
      </c>
      <c r="D1275" t="s">
        <v>562</v>
      </c>
      <c r="E1275" t="s">
        <v>12</v>
      </c>
      <c r="F1275">
        <v>4758.92</v>
      </c>
      <c r="G1275" s="5">
        <v>181073.125</v>
      </c>
      <c r="H1275">
        <f t="shared" si="19"/>
        <v>181.073125</v>
      </c>
      <c r="I1275">
        <v>17</v>
      </c>
    </row>
    <row r="1276" spans="1:9" ht="15.75" thickBot="1" x14ac:dyDescent="0.3">
      <c r="A1276" s="1">
        <v>44197</v>
      </c>
      <c r="B1276" t="s">
        <v>6</v>
      </c>
      <c r="C1276" t="s">
        <v>7</v>
      </c>
      <c r="D1276" t="s">
        <v>562</v>
      </c>
      <c r="E1276" t="s">
        <v>9</v>
      </c>
      <c r="F1276">
        <v>81.569999999999993</v>
      </c>
      <c r="G1276" s="4">
        <v>0</v>
      </c>
      <c r="H1276">
        <f t="shared" si="19"/>
        <v>0</v>
      </c>
      <c r="I1276">
        <v>1</v>
      </c>
    </row>
    <row r="1277" spans="1:9" ht="15.75" thickBot="1" x14ac:dyDescent="0.3">
      <c r="A1277" s="1">
        <v>44197</v>
      </c>
      <c r="B1277" t="s">
        <v>6</v>
      </c>
      <c r="C1277" t="s">
        <v>7</v>
      </c>
      <c r="D1277" t="s">
        <v>562</v>
      </c>
      <c r="E1277" t="s">
        <v>17</v>
      </c>
      <c r="F1277">
        <v>725.44</v>
      </c>
      <c r="G1277" s="6">
        <v>14355.75</v>
      </c>
      <c r="H1277">
        <f t="shared" si="19"/>
        <v>14355.75</v>
      </c>
      <c r="I1277">
        <v>2</v>
      </c>
    </row>
    <row r="1278" spans="1:9" ht="15.75" thickBot="1" x14ac:dyDescent="0.3">
      <c r="A1278" s="1">
        <v>44197</v>
      </c>
      <c r="B1278" t="s">
        <v>6</v>
      </c>
      <c r="C1278" t="s">
        <v>7</v>
      </c>
      <c r="D1278" t="s">
        <v>563</v>
      </c>
      <c r="E1278" t="s">
        <v>12</v>
      </c>
      <c r="F1278">
        <v>3812.67</v>
      </c>
      <c r="G1278" s="5">
        <v>134000</v>
      </c>
      <c r="H1278">
        <f t="shared" si="19"/>
        <v>134</v>
      </c>
      <c r="I1278">
        <v>9</v>
      </c>
    </row>
    <row r="1279" spans="1:9" ht="15.75" thickBot="1" x14ac:dyDescent="0.3">
      <c r="A1279" s="1">
        <v>44197</v>
      </c>
      <c r="B1279" t="s">
        <v>6</v>
      </c>
      <c r="C1279" t="s">
        <v>7</v>
      </c>
      <c r="D1279" t="s">
        <v>563</v>
      </c>
      <c r="E1279" t="s">
        <v>15</v>
      </c>
      <c r="F1279">
        <v>564.44000000000005</v>
      </c>
      <c r="G1279" s="3">
        <v>17</v>
      </c>
      <c r="H1279">
        <f t="shared" si="19"/>
        <v>17</v>
      </c>
      <c r="I1279">
        <v>1</v>
      </c>
    </row>
    <row r="1280" spans="1:9" ht="15.75" thickBot="1" x14ac:dyDescent="0.3">
      <c r="A1280" s="1">
        <v>44197</v>
      </c>
      <c r="B1280" t="s">
        <v>6</v>
      </c>
      <c r="C1280" t="s">
        <v>7</v>
      </c>
      <c r="D1280" t="s">
        <v>564</v>
      </c>
      <c r="E1280" t="s">
        <v>24</v>
      </c>
      <c r="F1280">
        <v>52730.46</v>
      </c>
      <c r="G1280" s="3">
        <v>6709</v>
      </c>
      <c r="H1280">
        <f t="shared" si="19"/>
        <v>6709</v>
      </c>
      <c r="I1280">
        <v>60</v>
      </c>
    </row>
    <row r="1281" spans="1:9" ht="15.75" thickBot="1" x14ac:dyDescent="0.3">
      <c r="A1281" s="1">
        <v>44197</v>
      </c>
      <c r="B1281" t="s">
        <v>6</v>
      </c>
      <c r="C1281" t="s">
        <v>7</v>
      </c>
      <c r="D1281" t="s">
        <v>564</v>
      </c>
      <c r="E1281" t="s">
        <v>12</v>
      </c>
      <c r="F1281">
        <v>83626.740000000005</v>
      </c>
      <c r="G1281" s="6">
        <v>5333315.9550000001</v>
      </c>
      <c r="H1281">
        <f t="shared" si="19"/>
        <v>5333.315955</v>
      </c>
      <c r="I1281">
        <v>374</v>
      </c>
    </row>
    <row r="1282" spans="1:9" ht="15.75" thickBot="1" x14ac:dyDescent="0.3">
      <c r="A1282" s="1">
        <v>44197</v>
      </c>
      <c r="B1282" t="s">
        <v>6</v>
      </c>
      <c r="C1282" t="s">
        <v>7</v>
      </c>
      <c r="D1282" t="s">
        <v>564</v>
      </c>
      <c r="E1282" t="s">
        <v>15</v>
      </c>
      <c r="F1282">
        <v>5928.88</v>
      </c>
      <c r="G1282" s="3">
        <v>34</v>
      </c>
      <c r="H1282">
        <f t="shared" si="19"/>
        <v>34</v>
      </c>
      <c r="I1282">
        <v>1</v>
      </c>
    </row>
    <row r="1283" spans="1:9" ht="15.75" thickBot="1" x14ac:dyDescent="0.3">
      <c r="A1283" s="1">
        <v>44197</v>
      </c>
      <c r="B1283" t="s">
        <v>6</v>
      </c>
      <c r="C1283" t="s">
        <v>7</v>
      </c>
      <c r="D1283" t="s">
        <v>564</v>
      </c>
      <c r="E1283" t="s">
        <v>9</v>
      </c>
      <c r="F1283">
        <v>7273.2</v>
      </c>
      <c r="G1283" s="6">
        <v>275489.663</v>
      </c>
      <c r="H1283">
        <f t="shared" ref="H1283:H1330" si="20">IF(ISNUMBER(SEARCH("Domestic customer", E1283)),G1283/1000,G1283)</f>
        <v>275489.663</v>
      </c>
      <c r="I1283">
        <v>76</v>
      </c>
    </row>
    <row r="1284" spans="1:9" ht="15.75" thickBot="1" x14ac:dyDescent="0.3">
      <c r="A1284" s="1">
        <v>44197</v>
      </c>
      <c r="B1284" t="s">
        <v>6</v>
      </c>
      <c r="C1284" t="s">
        <v>7</v>
      </c>
      <c r="D1284" t="s">
        <v>564</v>
      </c>
      <c r="E1284" t="s">
        <v>17</v>
      </c>
      <c r="F1284">
        <v>9610.15</v>
      </c>
      <c r="G1284" s="6">
        <v>276809.43</v>
      </c>
      <c r="H1284">
        <f t="shared" si="20"/>
        <v>276809.43</v>
      </c>
      <c r="I1284">
        <v>25</v>
      </c>
    </row>
    <row r="1285" spans="1:9" ht="15.75" thickBot="1" x14ac:dyDescent="0.3">
      <c r="A1285" s="1">
        <v>44197</v>
      </c>
      <c r="B1285" t="s">
        <v>6</v>
      </c>
      <c r="C1285" t="s">
        <v>7</v>
      </c>
      <c r="D1285" t="s">
        <v>565</v>
      </c>
      <c r="E1285" t="s">
        <v>12</v>
      </c>
      <c r="F1285">
        <v>1956.72</v>
      </c>
      <c r="G1285" s="5">
        <v>67575.199999999997</v>
      </c>
      <c r="H1285">
        <f t="shared" si="20"/>
        <v>67.575199999999995</v>
      </c>
      <c r="I1285">
        <v>4</v>
      </c>
    </row>
    <row r="1286" spans="1:9" ht="15.75" thickBot="1" x14ac:dyDescent="0.3">
      <c r="A1286" s="1">
        <v>44197</v>
      </c>
      <c r="B1286" t="s">
        <v>6</v>
      </c>
      <c r="C1286" t="s">
        <v>7</v>
      </c>
      <c r="D1286" t="s">
        <v>565</v>
      </c>
      <c r="E1286" t="s">
        <v>9</v>
      </c>
      <c r="F1286">
        <v>81.569999999999993</v>
      </c>
      <c r="G1286" s="4">
        <v>0</v>
      </c>
      <c r="H1286">
        <f t="shared" si="20"/>
        <v>0</v>
      </c>
      <c r="I1286">
        <v>1</v>
      </c>
    </row>
    <row r="1287" spans="1:9" ht="15.75" thickBot="1" x14ac:dyDescent="0.3">
      <c r="A1287" s="1">
        <v>44197</v>
      </c>
      <c r="B1287" t="s">
        <v>6</v>
      </c>
      <c r="C1287" t="s">
        <v>7</v>
      </c>
      <c r="D1287" t="s">
        <v>566</v>
      </c>
      <c r="E1287" t="s">
        <v>14</v>
      </c>
      <c r="F1287">
        <v>4531.68</v>
      </c>
      <c r="G1287" s="3">
        <v>111</v>
      </c>
      <c r="H1287">
        <f t="shared" si="20"/>
        <v>111</v>
      </c>
      <c r="I1287">
        <v>2</v>
      </c>
    </row>
    <row r="1288" spans="1:9" ht="15.75" thickBot="1" x14ac:dyDescent="0.3">
      <c r="A1288" s="1">
        <v>44197</v>
      </c>
      <c r="B1288" t="s">
        <v>6</v>
      </c>
      <c r="C1288" t="s">
        <v>7</v>
      </c>
      <c r="D1288" t="s">
        <v>566</v>
      </c>
      <c r="E1288" t="s">
        <v>12</v>
      </c>
      <c r="F1288">
        <v>554.98</v>
      </c>
      <c r="G1288" s="5">
        <v>22000</v>
      </c>
      <c r="H1288">
        <f t="shared" si="20"/>
        <v>22</v>
      </c>
      <c r="I1288">
        <v>1</v>
      </c>
    </row>
    <row r="1289" spans="1:9" ht="15.75" thickBot="1" x14ac:dyDescent="0.3">
      <c r="A1289" s="1">
        <v>44197</v>
      </c>
      <c r="B1289" t="s">
        <v>6</v>
      </c>
      <c r="C1289" t="s">
        <v>7</v>
      </c>
      <c r="D1289" t="s">
        <v>567</v>
      </c>
      <c r="E1289" t="s">
        <v>12</v>
      </c>
      <c r="F1289">
        <v>25787.96</v>
      </c>
      <c r="G1289" s="5">
        <v>927576.25</v>
      </c>
      <c r="H1289">
        <f t="shared" si="20"/>
        <v>927.57624999999996</v>
      </c>
      <c r="I1289">
        <v>113</v>
      </c>
    </row>
    <row r="1290" spans="1:9" ht="15.75" thickBot="1" x14ac:dyDescent="0.3">
      <c r="A1290" s="1">
        <v>44197</v>
      </c>
      <c r="B1290" t="s">
        <v>6</v>
      </c>
      <c r="C1290" t="s">
        <v>7</v>
      </c>
      <c r="D1290" t="s">
        <v>567</v>
      </c>
      <c r="E1290" t="s">
        <v>9</v>
      </c>
      <c r="F1290">
        <v>5758.23</v>
      </c>
      <c r="G1290" s="5">
        <v>182000</v>
      </c>
      <c r="H1290">
        <f t="shared" si="20"/>
        <v>182000</v>
      </c>
      <c r="I1290">
        <v>11</v>
      </c>
    </row>
    <row r="1291" spans="1:9" ht="15.75" thickBot="1" x14ac:dyDescent="0.3">
      <c r="A1291" s="1">
        <v>44197</v>
      </c>
      <c r="B1291" t="s">
        <v>6</v>
      </c>
      <c r="C1291" t="s">
        <v>7</v>
      </c>
      <c r="D1291" t="s">
        <v>568</v>
      </c>
      <c r="E1291" t="s">
        <v>14</v>
      </c>
      <c r="F1291">
        <v>2392.2800000000002</v>
      </c>
      <c r="G1291" s="3">
        <v>29</v>
      </c>
      <c r="H1291">
        <f t="shared" si="20"/>
        <v>29</v>
      </c>
      <c r="I1291">
        <v>1</v>
      </c>
    </row>
    <row r="1292" spans="1:9" ht="15.75" thickBot="1" x14ac:dyDescent="0.3">
      <c r="A1292" s="1">
        <v>44197</v>
      </c>
      <c r="B1292" t="s">
        <v>6</v>
      </c>
      <c r="C1292" t="s">
        <v>7</v>
      </c>
      <c r="D1292" t="s">
        <v>569</v>
      </c>
      <c r="E1292" t="s">
        <v>24</v>
      </c>
      <c r="F1292">
        <v>109618.55</v>
      </c>
      <c r="G1292" s="3">
        <v>3429</v>
      </c>
      <c r="H1292">
        <f t="shared" si="20"/>
        <v>3429</v>
      </c>
      <c r="I1292">
        <v>263</v>
      </c>
    </row>
    <row r="1293" spans="1:9" ht="15.75" thickBot="1" x14ac:dyDescent="0.3">
      <c r="A1293" s="1">
        <v>44197</v>
      </c>
      <c r="B1293" t="s">
        <v>6</v>
      </c>
      <c r="C1293" t="s">
        <v>7</v>
      </c>
      <c r="D1293" t="s">
        <v>569</v>
      </c>
      <c r="E1293" t="s">
        <v>12</v>
      </c>
      <c r="F1293">
        <v>42496.71</v>
      </c>
      <c r="G1293" s="5">
        <v>1592817.7</v>
      </c>
      <c r="H1293">
        <f t="shared" si="20"/>
        <v>1592.8177000000001</v>
      </c>
      <c r="I1293">
        <v>168</v>
      </c>
    </row>
    <row r="1294" spans="1:9" ht="15.75" thickBot="1" x14ac:dyDescent="0.3">
      <c r="A1294" s="1">
        <v>44197</v>
      </c>
      <c r="B1294" t="s">
        <v>6</v>
      </c>
      <c r="C1294" t="s">
        <v>7</v>
      </c>
      <c r="D1294" t="s">
        <v>569</v>
      </c>
      <c r="E1294" t="s">
        <v>17</v>
      </c>
      <c r="F1294">
        <v>145.24</v>
      </c>
      <c r="G1294" s="5">
        <v>5985.433</v>
      </c>
      <c r="H1294">
        <f t="shared" si="20"/>
        <v>5985.433</v>
      </c>
      <c r="I1294">
        <v>1</v>
      </c>
    </row>
    <row r="1295" spans="1:9" ht="15.75" thickBot="1" x14ac:dyDescent="0.3">
      <c r="A1295" s="1">
        <v>44197</v>
      </c>
      <c r="B1295" t="s">
        <v>6</v>
      </c>
      <c r="C1295" t="s">
        <v>7</v>
      </c>
      <c r="D1295" t="s">
        <v>570</v>
      </c>
      <c r="E1295" t="s">
        <v>12</v>
      </c>
      <c r="F1295">
        <v>1573.45</v>
      </c>
      <c r="G1295" s="5">
        <v>78000</v>
      </c>
      <c r="H1295">
        <f t="shared" si="20"/>
        <v>78</v>
      </c>
      <c r="I1295">
        <v>7</v>
      </c>
    </row>
    <row r="1296" spans="1:9" ht="15.75" thickBot="1" x14ac:dyDescent="0.3">
      <c r="A1296" s="1">
        <v>44197</v>
      </c>
      <c r="B1296" t="s">
        <v>6</v>
      </c>
      <c r="C1296" t="s">
        <v>7</v>
      </c>
      <c r="D1296" t="s">
        <v>571</v>
      </c>
      <c r="E1296" t="s">
        <v>14</v>
      </c>
      <c r="F1296">
        <v>33450.93</v>
      </c>
      <c r="G1296" s="3">
        <v>853</v>
      </c>
      <c r="H1296">
        <f t="shared" si="20"/>
        <v>853</v>
      </c>
      <c r="I1296">
        <v>5</v>
      </c>
    </row>
    <row r="1297" spans="1:9" ht="15.75" thickBot="1" x14ac:dyDescent="0.3">
      <c r="A1297" s="1">
        <v>44197</v>
      </c>
      <c r="B1297" t="s">
        <v>6</v>
      </c>
      <c r="C1297" t="s">
        <v>7</v>
      </c>
      <c r="D1297" t="s">
        <v>571</v>
      </c>
      <c r="E1297" t="s">
        <v>24</v>
      </c>
      <c r="F1297">
        <v>0</v>
      </c>
      <c r="G1297" s="3">
        <v>169</v>
      </c>
      <c r="H1297">
        <f t="shared" si="20"/>
        <v>169</v>
      </c>
      <c r="I1297">
        <v>1</v>
      </c>
    </row>
    <row r="1298" spans="1:9" ht="15.75" thickBot="1" x14ac:dyDescent="0.3">
      <c r="A1298" s="1">
        <v>44197</v>
      </c>
      <c r="B1298" t="s">
        <v>6</v>
      </c>
      <c r="C1298" t="s">
        <v>7</v>
      </c>
      <c r="D1298" t="s">
        <v>571</v>
      </c>
      <c r="E1298" t="s">
        <v>12</v>
      </c>
      <c r="F1298">
        <v>41726.639999999999</v>
      </c>
      <c r="G1298" s="6">
        <v>1351597.216</v>
      </c>
      <c r="H1298">
        <f t="shared" si="20"/>
        <v>1351.5972160000001</v>
      </c>
      <c r="I1298">
        <v>83</v>
      </c>
    </row>
    <row r="1299" spans="1:9" ht="15.75" thickBot="1" x14ac:dyDescent="0.3">
      <c r="A1299" s="1">
        <v>44197</v>
      </c>
      <c r="B1299" t="s">
        <v>6</v>
      </c>
      <c r="C1299" t="s">
        <v>7</v>
      </c>
      <c r="D1299" t="s">
        <v>571</v>
      </c>
      <c r="E1299" t="s">
        <v>15</v>
      </c>
      <c r="F1299">
        <v>6659.52</v>
      </c>
      <c r="G1299" s="3">
        <v>236</v>
      </c>
      <c r="H1299">
        <f t="shared" si="20"/>
        <v>236</v>
      </c>
      <c r="I1299">
        <v>2</v>
      </c>
    </row>
    <row r="1300" spans="1:9" ht="15.75" thickBot="1" x14ac:dyDescent="0.3">
      <c r="A1300" s="1">
        <v>44197</v>
      </c>
      <c r="B1300" t="s">
        <v>6</v>
      </c>
      <c r="C1300" t="s">
        <v>7</v>
      </c>
      <c r="D1300" t="s">
        <v>571</v>
      </c>
      <c r="E1300" t="s">
        <v>9</v>
      </c>
      <c r="F1300">
        <v>12050.44</v>
      </c>
      <c r="G1300" s="6">
        <v>67287.807000000001</v>
      </c>
      <c r="H1300">
        <f t="shared" si="20"/>
        <v>67287.807000000001</v>
      </c>
      <c r="I1300">
        <v>31</v>
      </c>
    </row>
    <row r="1301" spans="1:9" ht="15.75" thickBot="1" x14ac:dyDescent="0.3">
      <c r="A1301" s="1">
        <v>44197</v>
      </c>
      <c r="B1301" t="s">
        <v>6</v>
      </c>
      <c r="C1301" t="s">
        <v>7</v>
      </c>
      <c r="D1301" t="s">
        <v>571</v>
      </c>
      <c r="E1301" t="s">
        <v>17</v>
      </c>
      <c r="F1301">
        <v>1119.18</v>
      </c>
      <c r="G1301" s="5">
        <v>38436.800000000003</v>
      </c>
      <c r="H1301">
        <f t="shared" si="20"/>
        <v>38436.800000000003</v>
      </c>
      <c r="I1301">
        <v>2</v>
      </c>
    </row>
    <row r="1302" spans="1:9" ht="15.75" thickBot="1" x14ac:dyDescent="0.3">
      <c r="A1302" s="1">
        <v>44197</v>
      </c>
      <c r="B1302" t="s">
        <v>6</v>
      </c>
      <c r="C1302" t="s">
        <v>7</v>
      </c>
      <c r="D1302" t="s">
        <v>572</v>
      </c>
      <c r="E1302" t="s">
        <v>12</v>
      </c>
      <c r="F1302">
        <v>636.46</v>
      </c>
      <c r="G1302" s="5">
        <v>20000</v>
      </c>
      <c r="H1302">
        <f t="shared" si="20"/>
        <v>20</v>
      </c>
      <c r="I1302">
        <v>2</v>
      </c>
    </row>
    <row r="1303" spans="1:9" ht="15.75" thickBot="1" x14ac:dyDescent="0.3">
      <c r="A1303" s="1">
        <v>44197</v>
      </c>
      <c r="B1303" t="s">
        <v>6</v>
      </c>
      <c r="C1303" t="s">
        <v>7</v>
      </c>
      <c r="D1303" t="s">
        <v>572</v>
      </c>
      <c r="E1303" t="s">
        <v>9</v>
      </c>
      <c r="F1303">
        <v>81.569999999999993</v>
      </c>
      <c r="G1303" s="4">
        <v>0</v>
      </c>
      <c r="H1303">
        <f t="shared" si="20"/>
        <v>0</v>
      </c>
      <c r="I1303">
        <v>1</v>
      </c>
    </row>
    <row r="1304" spans="1:9" ht="15.75" thickBot="1" x14ac:dyDescent="0.3">
      <c r="A1304" s="1">
        <v>44197</v>
      </c>
      <c r="B1304" t="s">
        <v>6</v>
      </c>
      <c r="C1304" t="s">
        <v>7</v>
      </c>
      <c r="D1304" t="s">
        <v>573</v>
      </c>
      <c r="E1304" t="s">
        <v>14</v>
      </c>
      <c r="F1304">
        <v>2500</v>
      </c>
      <c r="G1304" s="3">
        <v>0</v>
      </c>
      <c r="H1304">
        <f t="shared" si="20"/>
        <v>0</v>
      </c>
      <c r="I1304">
        <v>1</v>
      </c>
    </row>
    <row r="1305" spans="1:9" ht="15.75" thickBot="1" x14ac:dyDescent="0.3">
      <c r="A1305" s="1">
        <v>44197</v>
      </c>
      <c r="B1305" t="s">
        <v>6</v>
      </c>
      <c r="C1305" t="s">
        <v>7</v>
      </c>
      <c r="D1305" t="s">
        <v>573</v>
      </c>
      <c r="E1305" t="s">
        <v>12</v>
      </c>
      <c r="F1305">
        <v>2220.44</v>
      </c>
      <c r="G1305" s="3">
        <v>17</v>
      </c>
      <c r="H1305">
        <f t="shared" si="20"/>
        <v>1.7000000000000001E-2</v>
      </c>
      <c r="I1305">
        <v>1</v>
      </c>
    </row>
    <row r="1306" spans="1:9" ht="15.75" thickBot="1" x14ac:dyDescent="0.3">
      <c r="A1306" s="1">
        <v>44197</v>
      </c>
      <c r="B1306" t="s">
        <v>6</v>
      </c>
      <c r="C1306" t="s">
        <v>7</v>
      </c>
      <c r="D1306" t="s">
        <v>574</v>
      </c>
      <c r="E1306" t="s">
        <v>14</v>
      </c>
      <c r="F1306">
        <v>283835.88</v>
      </c>
      <c r="G1306" s="3">
        <v>10877</v>
      </c>
      <c r="H1306">
        <f t="shared" si="20"/>
        <v>10877</v>
      </c>
      <c r="I1306">
        <v>1</v>
      </c>
    </row>
    <row r="1307" spans="1:9" ht="15.75" thickBot="1" x14ac:dyDescent="0.3">
      <c r="A1307" s="1">
        <v>44197</v>
      </c>
      <c r="B1307" t="s">
        <v>6</v>
      </c>
      <c r="C1307" t="s">
        <v>7</v>
      </c>
      <c r="D1307" t="s">
        <v>575</v>
      </c>
      <c r="E1307" t="s">
        <v>14</v>
      </c>
      <c r="F1307">
        <v>46711.81</v>
      </c>
      <c r="G1307" s="6">
        <v>224277.924</v>
      </c>
      <c r="H1307">
        <f t="shared" si="20"/>
        <v>224277.924</v>
      </c>
      <c r="I1307">
        <v>7</v>
      </c>
    </row>
    <row r="1308" spans="1:9" ht="15.75" thickBot="1" x14ac:dyDescent="0.3">
      <c r="A1308" s="1">
        <v>44197</v>
      </c>
      <c r="B1308" t="s">
        <v>6</v>
      </c>
      <c r="C1308" t="s">
        <v>7</v>
      </c>
      <c r="D1308" t="s">
        <v>575</v>
      </c>
      <c r="E1308" t="s">
        <v>12</v>
      </c>
      <c r="F1308">
        <v>28905.62</v>
      </c>
      <c r="G1308" s="6">
        <v>1099860.6910000001</v>
      </c>
      <c r="H1308">
        <f t="shared" si="20"/>
        <v>1099.8606910000001</v>
      </c>
      <c r="I1308">
        <v>68</v>
      </c>
    </row>
    <row r="1309" spans="1:9" ht="15.75" thickBot="1" x14ac:dyDescent="0.3">
      <c r="A1309" s="1">
        <v>44197</v>
      </c>
      <c r="B1309" t="s">
        <v>6</v>
      </c>
      <c r="C1309" t="s">
        <v>7</v>
      </c>
      <c r="D1309" t="s">
        <v>575</v>
      </c>
      <c r="E1309" t="s">
        <v>9</v>
      </c>
      <c r="F1309">
        <v>18398.86</v>
      </c>
      <c r="G1309" s="6">
        <v>146307.924</v>
      </c>
      <c r="H1309">
        <f t="shared" si="20"/>
        <v>146307.924</v>
      </c>
      <c r="I1309">
        <v>15</v>
      </c>
    </row>
    <row r="1310" spans="1:9" ht="15.75" thickBot="1" x14ac:dyDescent="0.3">
      <c r="A1310" s="1">
        <v>44197</v>
      </c>
      <c r="B1310" t="s">
        <v>6</v>
      </c>
      <c r="C1310" t="s">
        <v>7</v>
      </c>
      <c r="D1310" t="s">
        <v>575</v>
      </c>
      <c r="E1310" t="s">
        <v>17</v>
      </c>
      <c r="F1310">
        <v>17593.560000000001</v>
      </c>
      <c r="G1310" s="3">
        <v>633</v>
      </c>
      <c r="H1310">
        <f t="shared" si="20"/>
        <v>633</v>
      </c>
      <c r="I1310">
        <v>3</v>
      </c>
    </row>
    <row r="1311" spans="1:9" ht="15.75" thickBot="1" x14ac:dyDescent="0.3">
      <c r="A1311" s="1">
        <v>44197</v>
      </c>
      <c r="B1311" t="s">
        <v>6</v>
      </c>
      <c r="C1311" t="s">
        <v>7</v>
      </c>
      <c r="D1311" t="s">
        <v>576</v>
      </c>
      <c r="E1311" t="s">
        <v>15</v>
      </c>
      <c r="F1311">
        <v>8684.84</v>
      </c>
      <c r="G1311" s="3">
        <v>112</v>
      </c>
      <c r="H1311">
        <f t="shared" si="20"/>
        <v>112</v>
      </c>
      <c r="I1311">
        <v>1</v>
      </c>
    </row>
    <row r="1312" spans="1:9" ht="15.75" thickBot="1" x14ac:dyDescent="0.3">
      <c r="A1312" s="1">
        <v>44197</v>
      </c>
      <c r="B1312" t="s">
        <v>6</v>
      </c>
      <c r="C1312" t="s">
        <v>7</v>
      </c>
      <c r="D1312" t="s">
        <v>576</v>
      </c>
      <c r="E1312" t="s">
        <v>9</v>
      </c>
      <c r="F1312">
        <v>81.569999999999993</v>
      </c>
      <c r="G1312" s="4">
        <v>0</v>
      </c>
      <c r="H1312">
        <f t="shared" si="20"/>
        <v>0</v>
      </c>
      <c r="I1312">
        <v>1</v>
      </c>
    </row>
    <row r="1313" spans="1:9" ht="15.75" thickBot="1" x14ac:dyDescent="0.3">
      <c r="A1313" s="1">
        <v>44197</v>
      </c>
      <c r="B1313" t="s">
        <v>6</v>
      </c>
      <c r="C1313" t="s">
        <v>7</v>
      </c>
      <c r="D1313" t="s">
        <v>577</v>
      </c>
      <c r="E1313" t="s">
        <v>12</v>
      </c>
      <c r="F1313">
        <v>14864.51</v>
      </c>
      <c r="G1313" s="5">
        <v>256620.226</v>
      </c>
      <c r="H1313">
        <f t="shared" si="20"/>
        <v>256.620226</v>
      </c>
      <c r="I1313">
        <v>11</v>
      </c>
    </row>
    <row r="1314" spans="1:9" ht="15.75" thickBot="1" x14ac:dyDescent="0.3">
      <c r="A1314" s="1">
        <v>44197</v>
      </c>
      <c r="B1314" t="s">
        <v>6</v>
      </c>
      <c r="C1314" t="s">
        <v>7</v>
      </c>
      <c r="D1314" t="s">
        <v>577</v>
      </c>
      <c r="E1314" t="s">
        <v>9</v>
      </c>
      <c r="F1314">
        <v>1221.05</v>
      </c>
      <c r="G1314" s="5">
        <v>26646</v>
      </c>
      <c r="H1314">
        <f t="shared" si="20"/>
        <v>26646</v>
      </c>
      <c r="I1314">
        <v>8</v>
      </c>
    </row>
    <row r="1315" spans="1:9" ht="15.75" thickBot="1" x14ac:dyDescent="0.3">
      <c r="A1315" s="1">
        <v>44197</v>
      </c>
      <c r="B1315" t="s">
        <v>6</v>
      </c>
      <c r="C1315" t="s">
        <v>7</v>
      </c>
      <c r="D1315" t="s">
        <v>578</v>
      </c>
      <c r="E1315" t="s">
        <v>12</v>
      </c>
      <c r="F1315">
        <v>973.41</v>
      </c>
      <c r="G1315" s="5">
        <v>32000</v>
      </c>
      <c r="H1315">
        <f t="shared" si="20"/>
        <v>32</v>
      </c>
      <c r="I1315">
        <v>1</v>
      </c>
    </row>
    <row r="1316" spans="1:9" ht="15.75" thickBot="1" x14ac:dyDescent="0.3">
      <c r="A1316" s="1">
        <v>44197</v>
      </c>
      <c r="B1316" t="s">
        <v>6</v>
      </c>
      <c r="C1316" t="s">
        <v>7</v>
      </c>
      <c r="D1316" t="s">
        <v>578</v>
      </c>
      <c r="E1316" t="s">
        <v>9</v>
      </c>
      <c r="F1316">
        <v>2569.16</v>
      </c>
      <c r="G1316" s="5">
        <v>64003.45</v>
      </c>
      <c r="H1316">
        <f t="shared" si="20"/>
        <v>64003.45</v>
      </c>
      <c r="I1316">
        <v>11</v>
      </c>
    </row>
    <row r="1317" spans="1:9" ht="15.75" thickBot="1" x14ac:dyDescent="0.3">
      <c r="A1317" s="1">
        <v>44197</v>
      </c>
      <c r="B1317" t="s">
        <v>6</v>
      </c>
      <c r="C1317" t="s">
        <v>7</v>
      </c>
      <c r="D1317" t="s">
        <v>579</v>
      </c>
      <c r="E1317" t="s">
        <v>14</v>
      </c>
      <c r="F1317">
        <v>112502.39999999999</v>
      </c>
      <c r="G1317" s="3">
        <v>3945</v>
      </c>
      <c r="H1317">
        <f t="shared" si="20"/>
        <v>3945</v>
      </c>
      <c r="I1317">
        <v>2</v>
      </c>
    </row>
    <row r="1318" spans="1:9" ht="15.75" thickBot="1" x14ac:dyDescent="0.3">
      <c r="A1318" s="1">
        <v>44197</v>
      </c>
      <c r="B1318" t="s">
        <v>6</v>
      </c>
      <c r="C1318" t="s">
        <v>7</v>
      </c>
      <c r="D1318" t="s">
        <v>580</v>
      </c>
      <c r="E1318" t="s">
        <v>14</v>
      </c>
      <c r="F1318">
        <v>1231.5999999999999</v>
      </c>
      <c r="G1318" s="3">
        <v>30</v>
      </c>
      <c r="H1318">
        <f t="shared" si="20"/>
        <v>30</v>
      </c>
      <c r="I1318">
        <v>3</v>
      </c>
    </row>
    <row r="1319" spans="1:9" ht="15.75" thickBot="1" x14ac:dyDescent="0.3">
      <c r="A1319" s="1">
        <v>44197</v>
      </c>
      <c r="B1319" t="s">
        <v>6</v>
      </c>
      <c r="C1319" t="s">
        <v>7</v>
      </c>
      <c r="D1319" t="s">
        <v>580</v>
      </c>
      <c r="E1319" t="s">
        <v>12</v>
      </c>
      <c r="F1319">
        <v>5352.86</v>
      </c>
      <c r="G1319" s="5">
        <v>104993.561</v>
      </c>
      <c r="H1319">
        <f t="shared" si="20"/>
        <v>104.993561</v>
      </c>
      <c r="I1319">
        <v>22</v>
      </c>
    </row>
    <row r="1320" spans="1:9" ht="15.75" thickBot="1" x14ac:dyDescent="0.3">
      <c r="A1320" s="1">
        <v>44197</v>
      </c>
      <c r="B1320" t="s">
        <v>6</v>
      </c>
      <c r="C1320" t="s">
        <v>7</v>
      </c>
      <c r="D1320" t="s">
        <v>581</v>
      </c>
      <c r="E1320" t="s">
        <v>14</v>
      </c>
      <c r="F1320">
        <v>4704.4799999999996</v>
      </c>
      <c r="G1320" s="3">
        <v>64</v>
      </c>
      <c r="H1320">
        <f t="shared" si="20"/>
        <v>64</v>
      </c>
      <c r="I1320">
        <v>2</v>
      </c>
    </row>
    <row r="1321" spans="1:9" ht="15.75" thickBot="1" x14ac:dyDescent="0.3">
      <c r="A1321" s="1">
        <v>44197</v>
      </c>
      <c r="B1321" t="s">
        <v>6</v>
      </c>
      <c r="C1321" t="s">
        <v>7</v>
      </c>
      <c r="D1321" t="s">
        <v>581</v>
      </c>
      <c r="E1321" t="s">
        <v>24</v>
      </c>
      <c r="F1321">
        <v>7933.86</v>
      </c>
      <c r="G1321" s="3">
        <v>56</v>
      </c>
      <c r="H1321">
        <f t="shared" si="20"/>
        <v>56</v>
      </c>
      <c r="I1321">
        <v>2</v>
      </c>
    </row>
    <row r="1322" spans="1:9" ht="15.75" thickBot="1" x14ac:dyDescent="0.3">
      <c r="A1322" s="1">
        <v>44197</v>
      </c>
      <c r="B1322" t="s">
        <v>6</v>
      </c>
      <c r="C1322" t="s">
        <v>7</v>
      </c>
      <c r="D1322" t="s">
        <v>581</v>
      </c>
      <c r="E1322" t="s">
        <v>12</v>
      </c>
      <c r="F1322">
        <v>1146.3399999999999</v>
      </c>
      <c r="G1322" s="5">
        <v>39244</v>
      </c>
      <c r="H1322">
        <f t="shared" si="20"/>
        <v>39.244</v>
      </c>
      <c r="I1322">
        <v>4</v>
      </c>
    </row>
    <row r="1323" spans="1:9" ht="15.75" thickBot="1" x14ac:dyDescent="0.3">
      <c r="A1323" s="1">
        <v>44197</v>
      </c>
      <c r="B1323" t="s">
        <v>6</v>
      </c>
      <c r="C1323" t="s">
        <v>7</v>
      </c>
      <c r="D1323" t="s">
        <v>581</v>
      </c>
      <c r="E1323" t="s">
        <v>9</v>
      </c>
      <c r="F1323">
        <v>127838.73</v>
      </c>
      <c r="G1323" s="3">
        <v>4307</v>
      </c>
      <c r="H1323">
        <f t="shared" si="20"/>
        <v>4307</v>
      </c>
      <c r="I1323">
        <v>8</v>
      </c>
    </row>
    <row r="1324" spans="1:9" ht="15.75" thickBot="1" x14ac:dyDescent="0.3">
      <c r="A1324" s="1">
        <v>44197</v>
      </c>
      <c r="B1324" t="s">
        <v>6</v>
      </c>
      <c r="C1324" t="s">
        <v>7</v>
      </c>
      <c r="D1324" t="s">
        <v>582</v>
      </c>
      <c r="E1324" t="s">
        <v>12</v>
      </c>
      <c r="F1324">
        <v>264.92</v>
      </c>
      <c r="G1324" s="5">
        <v>10112.986000000001</v>
      </c>
      <c r="H1324">
        <f t="shared" si="20"/>
        <v>10.112986000000001</v>
      </c>
      <c r="I1324">
        <v>1</v>
      </c>
    </row>
    <row r="1325" spans="1:9" ht="15.75" thickBot="1" x14ac:dyDescent="0.3">
      <c r="A1325" s="1">
        <v>44197</v>
      </c>
      <c r="B1325" t="s">
        <v>6</v>
      </c>
      <c r="C1325" t="s">
        <v>7</v>
      </c>
      <c r="D1325" t="s">
        <v>583</v>
      </c>
      <c r="E1325" t="s">
        <v>14</v>
      </c>
      <c r="F1325">
        <v>1388121.41</v>
      </c>
      <c r="G1325" s="6">
        <v>1351799.2050000001</v>
      </c>
      <c r="H1325">
        <f t="shared" si="20"/>
        <v>1351799.2050000001</v>
      </c>
      <c r="I1325">
        <v>366</v>
      </c>
    </row>
    <row r="1326" spans="1:9" ht="15.75" thickBot="1" x14ac:dyDescent="0.3">
      <c r="A1326" s="1">
        <v>44197</v>
      </c>
      <c r="B1326" t="s">
        <v>6</v>
      </c>
      <c r="C1326" t="s">
        <v>7</v>
      </c>
      <c r="D1326" t="s">
        <v>583</v>
      </c>
      <c r="E1326" t="s">
        <v>24</v>
      </c>
      <c r="F1326">
        <v>155429571.68000001</v>
      </c>
      <c r="G1326" s="6">
        <v>58910489.148999996</v>
      </c>
      <c r="H1326">
        <f t="shared" si="20"/>
        <v>58910489.148999996</v>
      </c>
      <c r="I1326">
        <v>4514</v>
      </c>
    </row>
    <row r="1327" spans="1:9" ht="15.75" thickBot="1" x14ac:dyDescent="0.3">
      <c r="A1327" s="1">
        <v>44197</v>
      </c>
      <c r="B1327" t="s">
        <v>6</v>
      </c>
      <c r="C1327" t="s">
        <v>7</v>
      </c>
      <c r="D1327" t="s">
        <v>583</v>
      </c>
      <c r="E1327" t="s">
        <v>12</v>
      </c>
      <c r="F1327">
        <v>4235464.13</v>
      </c>
      <c r="G1327" s="6">
        <v>129523321.42900001</v>
      </c>
      <c r="H1327">
        <f t="shared" si="20"/>
        <v>129523.321429</v>
      </c>
      <c r="I1327">
        <v>11242</v>
      </c>
    </row>
    <row r="1328" spans="1:9" ht="15.75" thickBot="1" x14ac:dyDescent="0.3">
      <c r="A1328" s="1">
        <v>44197</v>
      </c>
      <c r="B1328" t="s">
        <v>6</v>
      </c>
      <c r="C1328" t="s">
        <v>7</v>
      </c>
      <c r="D1328" t="s">
        <v>583</v>
      </c>
      <c r="E1328" t="s">
        <v>15</v>
      </c>
      <c r="F1328">
        <v>760130.18</v>
      </c>
      <c r="G1328" s="3">
        <v>25409</v>
      </c>
      <c r="H1328">
        <f t="shared" si="20"/>
        <v>25409</v>
      </c>
      <c r="I1328">
        <v>74</v>
      </c>
    </row>
    <row r="1329" spans="1:9" ht="15.75" thickBot="1" x14ac:dyDescent="0.3">
      <c r="A1329" s="1">
        <v>44197</v>
      </c>
      <c r="B1329" t="s">
        <v>6</v>
      </c>
      <c r="C1329" t="s">
        <v>7</v>
      </c>
      <c r="D1329" t="s">
        <v>583</v>
      </c>
      <c r="E1329" t="s">
        <v>9</v>
      </c>
      <c r="F1329">
        <v>9652630.2400000002</v>
      </c>
      <c r="G1329" s="6">
        <v>18530915.603</v>
      </c>
      <c r="H1329">
        <f t="shared" si="20"/>
        <v>18530915.603</v>
      </c>
      <c r="I1329">
        <v>2191</v>
      </c>
    </row>
    <row r="1330" spans="1:9" ht="15.75" thickBot="1" x14ac:dyDescent="0.3">
      <c r="A1330" s="1">
        <v>44197</v>
      </c>
      <c r="B1330" t="s">
        <v>6</v>
      </c>
      <c r="C1330" t="s">
        <v>7</v>
      </c>
      <c r="D1330" t="s">
        <v>583</v>
      </c>
      <c r="E1330" t="s">
        <v>17</v>
      </c>
      <c r="F1330">
        <v>10157.08</v>
      </c>
      <c r="G1330" s="6">
        <v>1079724.943</v>
      </c>
      <c r="H1330">
        <f t="shared" si="20"/>
        <v>1079724.943</v>
      </c>
      <c r="I1330">
        <v>108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F0A59A9D689741A65F5231AA88FF57" ma:contentTypeVersion="1" ma:contentTypeDescription="Create a new document." ma:contentTypeScope="" ma:versionID="514a464ed9cd784aae41e6fe46595969">
  <xsd:schema xmlns:xsd="http://www.w3.org/2001/XMLSchema" xmlns:xs="http://www.w3.org/2001/XMLSchema" xmlns:p="http://schemas.microsoft.com/office/2006/metadata/properties" xmlns:ns2="578765bf-d8eb-4516-993b-cfa5305c6d4e" targetNamespace="http://schemas.microsoft.com/office/2006/metadata/properties" ma:root="true" ma:fieldsID="70caaa92b051bc9445c0393ee2e84be4" ns2:_="">
    <xsd:import namespace="578765bf-d8eb-4516-993b-cfa5305c6d4e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8765bf-d8eb-4516-993b-cfa5305c6d4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686BD-AEB0-465F-B8C2-259EE3C65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A66D7-FE17-489F-B9AB-DD8247E9F6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8765bf-d8eb-4516-993b-cfa5305c6d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9B5BD0E-D07F-4094-B1A3-0608915CCC2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2021 January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Luyanda Mgwexa</dc:creator>
  <cp:lastModifiedBy>Naomi Koyana</cp:lastModifiedBy>
  <dcterms:created xsi:type="dcterms:W3CDTF">2021-03-09T07:10:43Z</dcterms:created>
  <dcterms:modified xsi:type="dcterms:W3CDTF">2024-05-17T12:39:03Z</dcterms:modified>
</cp:coreProperties>
</file>
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NAOMI KOYANA\Downloads\Water_Billing_2019-2021-2022\Tableau\"/>
    </mc:Choice>
  </mc:AlternateContent>
  <xr:revisionPtr revIDLastSave="0" documentId="13_ncr:1_{ADD2FA95-9B94-4637-B0D9-04EC24677EC6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2019 December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2" l="1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H2024" i="2"/>
  <c r="H2025" i="2"/>
  <c r="H2026" i="2"/>
  <c r="H2027" i="2"/>
  <c r="H2028" i="2"/>
  <c r="H2029" i="2"/>
  <c r="H2030" i="2"/>
  <c r="H2031" i="2"/>
  <c r="H2032" i="2"/>
  <c r="H2033" i="2"/>
  <c r="H2034" i="2"/>
  <c r="H2035" i="2"/>
  <c r="H2036" i="2"/>
  <c r="H2037" i="2"/>
  <c r="H2038" i="2"/>
  <c r="H2039" i="2"/>
  <c r="H2040" i="2"/>
  <c r="H2041" i="2"/>
  <c r="H2042" i="2"/>
  <c r="H2043" i="2"/>
  <c r="H2044" i="2"/>
  <c r="H2045" i="2"/>
  <c r="H2046" i="2"/>
  <c r="H2047" i="2"/>
  <c r="H2048" i="2"/>
  <c r="H2049" i="2"/>
  <c r="H2050" i="2"/>
  <c r="H2051" i="2"/>
  <c r="H2052" i="2"/>
  <c r="H2053" i="2"/>
  <c r="H2054" i="2"/>
  <c r="H2055" i="2"/>
  <c r="H2056" i="2"/>
  <c r="H2057" i="2"/>
  <c r="H2058" i="2"/>
  <c r="H2059" i="2"/>
  <c r="H2060" i="2"/>
  <c r="H2061" i="2"/>
  <c r="H2062" i="2"/>
  <c r="H2063" i="2"/>
  <c r="H2064" i="2"/>
  <c r="H2065" i="2"/>
  <c r="H2066" i="2"/>
  <c r="H2067" i="2"/>
  <c r="H2068" i="2"/>
  <c r="H2069" i="2"/>
  <c r="H2070" i="2"/>
  <c r="H2071" i="2"/>
  <c r="H2072" i="2"/>
  <c r="H2073" i="2"/>
  <c r="H2074" i="2"/>
  <c r="H2075" i="2"/>
  <c r="H2076" i="2"/>
  <c r="H2077" i="2"/>
  <c r="H2078" i="2"/>
  <c r="H2079" i="2"/>
  <c r="H2080" i="2"/>
  <c r="H2081" i="2"/>
  <c r="H2082" i="2"/>
  <c r="H2083" i="2"/>
  <c r="H2084" i="2"/>
  <c r="H2085" i="2"/>
  <c r="H2086" i="2"/>
  <c r="H2087" i="2"/>
  <c r="H2088" i="2"/>
  <c r="H2089" i="2"/>
  <c r="H2090" i="2"/>
  <c r="H2091" i="2"/>
  <c r="H2092" i="2"/>
  <c r="H2093" i="2"/>
  <c r="H2094" i="2"/>
  <c r="H2095" i="2"/>
  <c r="H2096" i="2"/>
  <c r="H2097" i="2"/>
  <c r="H2098" i="2"/>
  <c r="H2099" i="2"/>
  <c r="H2100" i="2"/>
  <c r="H2101" i="2"/>
  <c r="H2102" i="2"/>
  <c r="H2103" i="2"/>
  <c r="H2104" i="2"/>
  <c r="H2105" i="2"/>
  <c r="H2106" i="2"/>
  <c r="H2107" i="2"/>
  <c r="H2108" i="2"/>
  <c r="H2109" i="2"/>
  <c r="H2110" i="2"/>
  <c r="H2111" i="2"/>
  <c r="H2112" i="2"/>
  <c r="H2113" i="2"/>
  <c r="H2114" i="2"/>
  <c r="H2115" i="2"/>
  <c r="H2116" i="2"/>
  <c r="H2117" i="2"/>
  <c r="H2118" i="2"/>
  <c r="H2119" i="2"/>
  <c r="H2120" i="2"/>
  <c r="H2121" i="2"/>
  <c r="H2122" i="2"/>
  <c r="H2123" i="2"/>
  <c r="H2124" i="2"/>
  <c r="H2125" i="2"/>
  <c r="H2126" i="2"/>
  <c r="H2127" i="2"/>
  <c r="H2128" i="2"/>
  <c r="H2129" i="2"/>
  <c r="H2130" i="2"/>
  <c r="H2131" i="2"/>
  <c r="H2132" i="2"/>
  <c r="H2133" i="2"/>
  <c r="H2134" i="2"/>
  <c r="H2135" i="2"/>
  <c r="H2136" i="2"/>
  <c r="H2137" i="2"/>
  <c r="H2138" i="2"/>
  <c r="H2139" i="2"/>
  <c r="H2140" i="2"/>
  <c r="H2141" i="2"/>
  <c r="H2142" i="2"/>
  <c r="H2143" i="2"/>
  <c r="H2144" i="2"/>
  <c r="H2145" i="2"/>
  <c r="H2146" i="2"/>
  <c r="H2147" i="2"/>
  <c r="H2148" i="2"/>
  <c r="H2149" i="2"/>
  <c r="H2150" i="2"/>
  <c r="H2151" i="2"/>
  <c r="H2152" i="2"/>
  <c r="H2153" i="2"/>
  <c r="H2154" i="2"/>
  <c r="H2155" i="2"/>
  <c r="H2156" i="2"/>
  <c r="H2157" i="2"/>
  <c r="H2158" i="2"/>
  <c r="H2159" i="2"/>
  <c r="H2160" i="2"/>
  <c r="H2161" i="2"/>
  <c r="H2162" i="2"/>
  <c r="H2163" i="2"/>
  <c r="H2164" i="2"/>
  <c r="H2165" i="2"/>
  <c r="H2166" i="2"/>
  <c r="H2167" i="2"/>
  <c r="H2168" i="2"/>
  <c r="H2169" i="2"/>
  <c r="H2170" i="2"/>
  <c r="H2171" i="2"/>
  <c r="H2172" i="2"/>
  <c r="H2173" i="2"/>
  <c r="H2174" i="2"/>
  <c r="H2175" i="2"/>
  <c r="H2176" i="2"/>
  <c r="H2177" i="2"/>
  <c r="H2178" i="2"/>
  <c r="H2179" i="2"/>
  <c r="H2180" i="2"/>
  <c r="H2181" i="2"/>
  <c r="H2182" i="2"/>
  <c r="H2183" i="2"/>
  <c r="H2184" i="2"/>
  <c r="H2185" i="2"/>
  <c r="H2186" i="2"/>
  <c r="H2187" i="2"/>
  <c r="H2188" i="2"/>
  <c r="H2189" i="2"/>
  <c r="H2190" i="2"/>
  <c r="H2191" i="2"/>
  <c r="H2192" i="2"/>
  <c r="H2193" i="2"/>
  <c r="H2194" i="2"/>
  <c r="H2195" i="2"/>
  <c r="H2196" i="2"/>
  <c r="H2197" i="2"/>
  <c r="H2198" i="2"/>
  <c r="H2199" i="2"/>
  <c r="H2200" i="2"/>
  <c r="H2201" i="2"/>
  <c r="H2202" i="2"/>
  <c r="H2203" i="2"/>
  <c r="H2204" i="2"/>
  <c r="H2205" i="2"/>
  <c r="H2206" i="2"/>
  <c r="H2207" i="2"/>
  <c r="H2208" i="2"/>
  <c r="H2209" i="2"/>
  <c r="H2210" i="2"/>
  <c r="H2211" i="2"/>
  <c r="H2212" i="2"/>
  <c r="H2213" i="2"/>
  <c r="H2214" i="2"/>
  <c r="H2215" i="2"/>
  <c r="H2216" i="2"/>
  <c r="H2217" i="2"/>
  <c r="H2218" i="2"/>
  <c r="H2219" i="2"/>
  <c r="H2220" i="2"/>
  <c r="H2221" i="2"/>
  <c r="H2222" i="2"/>
  <c r="H2223" i="2"/>
  <c r="H2224" i="2"/>
  <c r="H2225" i="2"/>
  <c r="H2226" i="2"/>
  <c r="H2227" i="2"/>
  <c r="H2228" i="2"/>
  <c r="H2229" i="2"/>
  <c r="H2230" i="2"/>
  <c r="H2231" i="2"/>
  <c r="H2232" i="2"/>
  <c r="H2233" i="2"/>
  <c r="H2234" i="2"/>
  <c r="H2235" i="2"/>
  <c r="H2236" i="2"/>
  <c r="H2237" i="2"/>
  <c r="H2238" i="2"/>
  <c r="H2239" i="2"/>
  <c r="H2240" i="2"/>
  <c r="H2241" i="2"/>
  <c r="H2242" i="2"/>
  <c r="H2243" i="2"/>
  <c r="H2244" i="2"/>
  <c r="H2245" i="2"/>
  <c r="H2246" i="2"/>
  <c r="H2247" i="2"/>
  <c r="H2248" i="2"/>
  <c r="H2249" i="2"/>
  <c r="H2250" i="2"/>
  <c r="H2251" i="2"/>
  <c r="H2252" i="2"/>
  <c r="H2253" i="2"/>
  <c r="H2254" i="2"/>
  <c r="H2255" i="2"/>
  <c r="H2256" i="2"/>
  <c r="H2257" i="2"/>
  <c r="H2258" i="2"/>
  <c r="H2259" i="2"/>
  <c r="H2260" i="2"/>
  <c r="H2261" i="2"/>
  <c r="H2262" i="2"/>
  <c r="H2263" i="2"/>
  <c r="H2264" i="2"/>
  <c r="H2265" i="2"/>
  <c r="H2266" i="2"/>
  <c r="H2267" i="2"/>
  <c r="H2268" i="2"/>
  <c r="H2269" i="2"/>
  <c r="H2270" i="2"/>
  <c r="H2271" i="2"/>
  <c r="H2272" i="2"/>
  <c r="H2273" i="2"/>
  <c r="H2274" i="2"/>
  <c r="H2275" i="2"/>
  <c r="H2276" i="2"/>
  <c r="H2277" i="2"/>
  <c r="H2278" i="2"/>
  <c r="H2279" i="2"/>
  <c r="H2280" i="2"/>
  <c r="H2281" i="2"/>
  <c r="H2282" i="2"/>
  <c r="H2283" i="2"/>
  <c r="H2284" i="2"/>
  <c r="H2285" i="2"/>
  <c r="H2286" i="2"/>
  <c r="H2287" i="2"/>
  <c r="H2288" i="2"/>
  <c r="H2289" i="2"/>
  <c r="H2290" i="2"/>
  <c r="H2291" i="2"/>
  <c r="H2292" i="2"/>
  <c r="H2293" i="2"/>
  <c r="H2294" i="2"/>
  <c r="H2295" i="2"/>
  <c r="H2296" i="2"/>
  <c r="H2297" i="2"/>
  <c r="H2298" i="2"/>
  <c r="H2299" i="2"/>
  <c r="H2300" i="2"/>
  <c r="H2301" i="2"/>
  <c r="H2302" i="2"/>
  <c r="H2303" i="2"/>
  <c r="H2304" i="2"/>
  <c r="H2305" i="2"/>
  <c r="H2306" i="2"/>
  <c r="H2307" i="2"/>
  <c r="H2308" i="2"/>
  <c r="H2309" i="2"/>
  <c r="H2310" i="2"/>
  <c r="H2311" i="2"/>
  <c r="H2312" i="2"/>
  <c r="H2313" i="2"/>
  <c r="H2314" i="2"/>
  <c r="H2315" i="2"/>
  <c r="H2316" i="2"/>
  <c r="H2317" i="2"/>
  <c r="H2318" i="2"/>
  <c r="H2319" i="2"/>
  <c r="H2320" i="2"/>
  <c r="H2321" i="2"/>
  <c r="H2322" i="2"/>
  <c r="H2323" i="2"/>
  <c r="H2324" i="2"/>
  <c r="H2325" i="2"/>
  <c r="H2326" i="2"/>
  <c r="H2327" i="2"/>
  <c r="H2328" i="2"/>
  <c r="H2329" i="2"/>
  <c r="H2330" i="2"/>
  <c r="H2331" i="2"/>
  <c r="H2332" i="2"/>
  <c r="H2333" i="2"/>
  <c r="H2334" i="2"/>
  <c r="H2335" i="2"/>
  <c r="H2336" i="2"/>
  <c r="H2337" i="2"/>
  <c r="H2338" i="2"/>
  <c r="H2339" i="2"/>
  <c r="H2340" i="2"/>
  <c r="H2341" i="2"/>
  <c r="H2342" i="2"/>
  <c r="H2343" i="2"/>
  <c r="H2344" i="2"/>
  <c r="H2345" i="2"/>
  <c r="H2346" i="2"/>
  <c r="H2347" i="2"/>
  <c r="H2348" i="2"/>
  <c r="H2349" i="2"/>
  <c r="H2350" i="2"/>
  <c r="H2351" i="2"/>
  <c r="H2352" i="2"/>
  <c r="H2353" i="2"/>
  <c r="H2354" i="2"/>
  <c r="H2355" i="2"/>
  <c r="H2356" i="2"/>
  <c r="H2357" i="2"/>
  <c r="H2358" i="2"/>
  <c r="H2359" i="2"/>
  <c r="H2360" i="2"/>
  <c r="H2361" i="2"/>
  <c r="H2362" i="2"/>
  <c r="H2363" i="2"/>
  <c r="H2364" i="2"/>
  <c r="H2365" i="2"/>
  <c r="H2366" i="2"/>
  <c r="H2367" i="2"/>
  <c r="H2368" i="2"/>
  <c r="H2369" i="2"/>
  <c r="H2370" i="2"/>
  <c r="H2371" i="2"/>
  <c r="H2372" i="2"/>
  <c r="H2373" i="2"/>
  <c r="H2374" i="2"/>
  <c r="H2375" i="2"/>
  <c r="H2376" i="2"/>
  <c r="H2377" i="2"/>
  <c r="H2378" i="2"/>
  <c r="H2379" i="2"/>
  <c r="H2380" i="2"/>
  <c r="H2381" i="2"/>
  <c r="H2382" i="2"/>
  <c r="H2383" i="2"/>
  <c r="H2384" i="2"/>
  <c r="H2385" i="2"/>
  <c r="H2386" i="2"/>
  <c r="H2387" i="2"/>
  <c r="H2388" i="2"/>
  <c r="H2389" i="2"/>
  <c r="H2390" i="2"/>
  <c r="H2391" i="2"/>
  <c r="H2392" i="2"/>
  <c r="H2393" i="2"/>
  <c r="H2394" i="2"/>
  <c r="H2395" i="2"/>
  <c r="H2396" i="2"/>
  <c r="H2397" i="2"/>
  <c r="H2398" i="2"/>
  <c r="H2399" i="2"/>
  <c r="H2400" i="2"/>
  <c r="H2401" i="2"/>
  <c r="H2402" i="2"/>
  <c r="H2403" i="2"/>
  <c r="H2404" i="2"/>
  <c r="H2405" i="2"/>
  <c r="H2406" i="2"/>
  <c r="H2407" i="2"/>
  <c r="H2408" i="2"/>
  <c r="H2409" i="2"/>
  <c r="H2410" i="2"/>
  <c r="H2411" i="2"/>
  <c r="H2412" i="2"/>
  <c r="H2413" i="2"/>
  <c r="H2414" i="2"/>
  <c r="H2415" i="2"/>
  <c r="H2416" i="2"/>
  <c r="H2417" i="2"/>
  <c r="H2418" i="2"/>
  <c r="H2419" i="2"/>
  <c r="H2420" i="2"/>
  <c r="H2421" i="2"/>
  <c r="H2422" i="2"/>
  <c r="H2423" i="2"/>
  <c r="H2424" i="2"/>
  <c r="H2425" i="2"/>
  <c r="H2426" i="2"/>
  <c r="H2427" i="2"/>
  <c r="H2428" i="2"/>
  <c r="H2429" i="2"/>
  <c r="H2430" i="2"/>
  <c r="H2431" i="2"/>
  <c r="H2432" i="2"/>
  <c r="H2433" i="2"/>
  <c r="H2434" i="2"/>
  <c r="H2435" i="2"/>
  <c r="H2436" i="2"/>
  <c r="H2437" i="2"/>
  <c r="H2438" i="2"/>
  <c r="H2439" i="2"/>
  <c r="H2440" i="2"/>
  <c r="H2441" i="2"/>
  <c r="H2442" i="2"/>
  <c r="H2443" i="2"/>
  <c r="H2444" i="2"/>
  <c r="H2445" i="2"/>
  <c r="H2446" i="2"/>
  <c r="H2447" i="2"/>
  <c r="H2448" i="2"/>
  <c r="H2449" i="2"/>
  <c r="H2450" i="2"/>
  <c r="H2451" i="2"/>
  <c r="H2452" i="2"/>
  <c r="H2453" i="2"/>
  <c r="H2454" i="2"/>
  <c r="H2455" i="2"/>
  <c r="H2456" i="2"/>
  <c r="H2457" i="2"/>
  <c r="H2458" i="2"/>
  <c r="H2459" i="2"/>
  <c r="H2460" i="2"/>
  <c r="H2461" i="2"/>
  <c r="H2462" i="2"/>
  <c r="H2463" i="2"/>
  <c r="H2464" i="2"/>
  <c r="H2465" i="2"/>
  <c r="H2466" i="2"/>
  <c r="H2467" i="2"/>
  <c r="H2468" i="2"/>
  <c r="H2469" i="2"/>
  <c r="H2470" i="2"/>
  <c r="H2471" i="2"/>
  <c r="H2472" i="2"/>
  <c r="H2473" i="2"/>
  <c r="H2474" i="2"/>
  <c r="H2475" i="2"/>
  <c r="H2476" i="2"/>
  <c r="H2477" i="2"/>
  <c r="H2478" i="2"/>
  <c r="H2479" i="2"/>
  <c r="H2480" i="2"/>
  <c r="H2481" i="2"/>
  <c r="H2482" i="2"/>
  <c r="H2483" i="2"/>
  <c r="H2484" i="2"/>
  <c r="H2485" i="2"/>
  <c r="H2486" i="2"/>
  <c r="H2487" i="2"/>
  <c r="H2488" i="2"/>
  <c r="H2489" i="2"/>
  <c r="H2490" i="2"/>
  <c r="H2491" i="2"/>
  <c r="H2492" i="2"/>
  <c r="H2493" i="2"/>
  <c r="H2494" i="2"/>
  <c r="H2495" i="2"/>
  <c r="H2496" i="2"/>
  <c r="H2497" i="2"/>
  <c r="H2498" i="2"/>
  <c r="H2499" i="2"/>
  <c r="H2500" i="2"/>
  <c r="H2501" i="2"/>
  <c r="H2502" i="2"/>
  <c r="H2503" i="2"/>
  <c r="H2504" i="2"/>
  <c r="H2505" i="2"/>
  <c r="H2506" i="2"/>
  <c r="H2507" i="2"/>
  <c r="H2508" i="2"/>
  <c r="H2509" i="2"/>
  <c r="H2510" i="2"/>
  <c r="H2511" i="2"/>
  <c r="H2512" i="2"/>
  <c r="H2513" i="2"/>
  <c r="H2514" i="2"/>
  <c r="H2515" i="2"/>
  <c r="H2516" i="2"/>
  <c r="H2517" i="2"/>
  <c r="H2518" i="2"/>
  <c r="H2519" i="2"/>
  <c r="H2520" i="2"/>
  <c r="H2521" i="2"/>
  <c r="H2522" i="2"/>
  <c r="H2523" i="2"/>
  <c r="H2524" i="2"/>
  <c r="H2525" i="2"/>
  <c r="H2526" i="2"/>
  <c r="H2527" i="2"/>
  <c r="H2528" i="2"/>
  <c r="H2529" i="2"/>
  <c r="H2530" i="2"/>
  <c r="H2531" i="2"/>
  <c r="H2532" i="2"/>
  <c r="H2533" i="2"/>
  <c r="H2534" i="2"/>
  <c r="H2535" i="2"/>
  <c r="H2536" i="2"/>
  <c r="H2537" i="2"/>
  <c r="H2538" i="2"/>
  <c r="H2539" i="2"/>
  <c r="H2540" i="2"/>
  <c r="H2541" i="2"/>
  <c r="H2542" i="2"/>
  <c r="H2543" i="2"/>
  <c r="H2544" i="2"/>
  <c r="H2545" i="2"/>
  <c r="H2546" i="2"/>
  <c r="H2547" i="2"/>
  <c r="H2548" i="2"/>
  <c r="H2549" i="2"/>
  <c r="H2550" i="2"/>
  <c r="H2551" i="2"/>
  <c r="H2552" i="2"/>
  <c r="H2553" i="2"/>
  <c r="H2554" i="2"/>
  <c r="H2555" i="2"/>
  <c r="H2556" i="2"/>
  <c r="H2557" i="2"/>
  <c r="H2558" i="2"/>
  <c r="H2559" i="2"/>
  <c r="H2560" i="2"/>
  <c r="H2561" i="2"/>
  <c r="H2562" i="2"/>
  <c r="H2563" i="2"/>
  <c r="H2564" i="2"/>
  <c r="H2565" i="2"/>
  <c r="H2566" i="2"/>
  <c r="H2567" i="2"/>
  <c r="H2568" i="2"/>
  <c r="H2569" i="2"/>
  <c r="H2570" i="2"/>
  <c r="H2571" i="2"/>
  <c r="H2572" i="2"/>
  <c r="H2573" i="2"/>
  <c r="H2574" i="2"/>
  <c r="H2575" i="2"/>
  <c r="H2576" i="2"/>
  <c r="H2577" i="2"/>
  <c r="H2578" i="2"/>
  <c r="H2579" i="2"/>
  <c r="H2580" i="2"/>
  <c r="H2581" i="2"/>
  <c r="H2582" i="2"/>
  <c r="H2583" i="2"/>
  <c r="H2584" i="2"/>
  <c r="H2585" i="2"/>
  <c r="H2586" i="2"/>
  <c r="H2587" i="2"/>
  <c r="H2588" i="2"/>
  <c r="H2589" i="2"/>
  <c r="H2590" i="2"/>
  <c r="H2591" i="2"/>
  <c r="H2592" i="2"/>
  <c r="H2593" i="2"/>
  <c r="H2594" i="2"/>
  <c r="H2595" i="2"/>
  <c r="H2596" i="2"/>
  <c r="H2597" i="2"/>
  <c r="H2598" i="2"/>
  <c r="H2599" i="2"/>
  <c r="H2600" i="2"/>
  <c r="H2601" i="2"/>
  <c r="H2602" i="2"/>
  <c r="H2603" i="2"/>
  <c r="H2604" i="2"/>
  <c r="H2605" i="2"/>
  <c r="H2606" i="2"/>
  <c r="H2607" i="2"/>
  <c r="H2608" i="2"/>
  <c r="H2609" i="2"/>
  <c r="H2610" i="2"/>
  <c r="H2611" i="2"/>
  <c r="H2612" i="2"/>
  <c r="H2613" i="2"/>
  <c r="H2614" i="2"/>
  <c r="H2615" i="2"/>
  <c r="H2616" i="2"/>
  <c r="H2617" i="2"/>
  <c r="H2618" i="2"/>
  <c r="H2619" i="2"/>
  <c r="H2620" i="2"/>
  <c r="H2621" i="2"/>
  <c r="H2622" i="2"/>
  <c r="H2623" i="2"/>
  <c r="H2624" i="2"/>
  <c r="H2625" i="2"/>
  <c r="H2626" i="2"/>
  <c r="H2627" i="2"/>
  <c r="H2628" i="2"/>
  <c r="H2629" i="2"/>
  <c r="H2630" i="2"/>
  <c r="H2631" i="2"/>
  <c r="H2632" i="2"/>
  <c r="H2633" i="2"/>
  <c r="H2634" i="2"/>
  <c r="H2635" i="2"/>
  <c r="H2636" i="2"/>
  <c r="H2637" i="2"/>
  <c r="H2638" i="2"/>
  <c r="H2639" i="2"/>
  <c r="H2640" i="2"/>
  <c r="H2641" i="2"/>
  <c r="H2642" i="2"/>
  <c r="H2643" i="2"/>
  <c r="H2644" i="2"/>
  <c r="H2645" i="2"/>
  <c r="H2646" i="2"/>
  <c r="H2647" i="2"/>
  <c r="H2648" i="2"/>
  <c r="H2649" i="2"/>
  <c r="H2650" i="2"/>
  <c r="H2651" i="2"/>
  <c r="H2652" i="2"/>
  <c r="H2653" i="2"/>
  <c r="H2654" i="2"/>
  <c r="H2655" i="2"/>
  <c r="H2656" i="2"/>
  <c r="H2657" i="2"/>
  <c r="H2658" i="2"/>
  <c r="H2659" i="2"/>
  <c r="H2660" i="2"/>
  <c r="H2661" i="2"/>
  <c r="H2662" i="2"/>
  <c r="H2663" i="2"/>
  <c r="H2664" i="2"/>
  <c r="H2665" i="2"/>
  <c r="H2666" i="2"/>
  <c r="H2667" i="2"/>
  <c r="H2668" i="2"/>
  <c r="H2669" i="2"/>
  <c r="H2670" i="2"/>
  <c r="H2671" i="2"/>
  <c r="H2672" i="2"/>
  <c r="H2673" i="2"/>
  <c r="H2674" i="2"/>
  <c r="H2675" i="2"/>
  <c r="H2676" i="2"/>
  <c r="H2677" i="2"/>
  <c r="H2678" i="2"/>
  <c r="H2679" i="2"/>
  <c r="H2680" i="2"/>
  <c r="H2681" i="2"/>
  <c r="H2682" i="2"/>
  <c r="H2683" i="2"/>
  <c r="H2684" i="2"/>
  <c r="H2685" i="2"/>
  <c r="H2686" i="2"/>
  <c r="H2687" i="2"/>
  <c r="H2688" i="2"/>
  <c r="H2689" i="2"/>
  <c r="H2690" i="2"/>
  <c r="H2691" i="2"/>
  <c r="H2692" i="2"/>
  <c r="H2693" i="2"/>
  <c r="H2694" i="2"/>
  <c r="H2695" i="2"/>
  <c r="H2696" i="2"/>
  <c r="H2697" i="2"/>
  <c r="H2698" i="2"/>
  <c r="H2699" i="2"/>
  <c r="H2700" i="2"/>
  <c r="H2701" i="2"/>
  <c r="H2702" i="2"/>
  <c r="H2703" i="2"/>
  <c r="H2704" i="2"/>
  <c r="H2705" i="2"/>
  <c r="H2706" i="2"/>
  <c r="H2707" i="2"/>
  <c r="H2708" i="2"/>
  <c r="H2709" i="2"/>
  <c r="H2710" i="2"/>
  <c r="H2711" i="2"/>
  <c r="H2712" i="2"/>
  <c r="H2713" i="2"/>
  <c r="H2714" i="2"/>
  <c r="H2715" i="2"/>
  <c r="H2716" i="2"/>
  <c r="H2717" i="2"/>
  <c r="H2718" i="2"/>
  <c r="H2719" i="2"/>
  <c r="H2720" i="2"/>
  <c r="H2721" i="2"/>
  <c r="H2722" i="2"/>
  <c r="H2723" i="2"/>
  <c r="H2724" i="2"/>
  <c r="H2725" i="2"/>
  <c r="H2726" i="2"/>
  <c r="H2727" i="2"/>
  <c r="H2728" i="2"/>
  <c r="H2729" i="2"/>
  <c r="H2730" i="2"/>
  <c r="H2731" i="2"/>
  <c r="H2732" i="2"/>
  <c r="H2733" i="2"/>
  <c r="H2734" i="2"/>
  <c r="H2735" i="2"/>
  <c r="H2736" i="2"/>
  <c r="H2737" i="2"/>
  <c r="H2738" i="2"/>
  <c r="H2739" i="2"/>
  <c r="H2740" i="2"/>
  <c r="H2741" i="2"/>
  <c r="H2742" i="2"/>
  <c r="H2743" i="2"/>
  <c r="H2744" i="2"/>
  <c r="H2745" i="2"/>
  <c r="H2746" i="2"/>
  <c r="H2747" i="2"/>
  <c r="H2748" i="2"/>
  <c r="H2749" i="2"/>
  <c r="H2750" i="2"/>
  <c r="H2751" i="2"/>
  <c r="H2752" i="2"/>
  <c r="H2753" i="2"/>
  <c r="H2754" i="2"/>
  <c r="H2755" i="2"/>
  <c r="H2756" i="2"/>
  <c r="H2757" i="2"/>
  <c r="H2758" i="2"/>
  <c r="H2759" i="2"/>
  <c r="H2760" i="2"/>
  <c r="H2761" i="2"/>
  <c r="H2762" i="2"/>
  <c r="H2763" i="2"/>
  <c r="H2764" i="2"/>
  <c r="H2765" i="2"/>
  <c r="H2766" i="2"/>
  <c r="H2767" i="2"/>
  <c r="H2768" i="2"/>
  <c r="H2769" i="2"/>
  <c r="H2770" i="2"/>
  <c r="H2771" i="2"/>
  <c r="H2772" i="2"/>
  <c r="H2773" i="2"/>
  <c r="H2774" i="2"/>
  <c r="H2775" i="2"/>
  <c r="H2776" i="2"/>
  <c r="H2777" i="2"/>
  <c r="H2778" i="2"/>
  <c r="H2779" i="2"/>
  <c r="H2780" i="2"/>
  <c r="H2781" i="2"/>
  <c r="H2782" i="2"/>
  <c r="H2783" i="2"/>
  <c r="H2784" i="2"/>
  <c r="H2785" i="2"/>
  <c r="H2786" i="2"/>
  <c r="H2787" i="2"/>
  <c r="H2788" i="2"/>
  <c r="H2789" i="2"/>
  <c r="H2790" i="2"/>
  <c r="H2791" i="2"/>
  <c r="H2792" i="2"/>
  <c r="H2793" i="2"/>
  <c r="H2794" i="2"/>
  <c r="H2795" i="2"/>
  <c r="H2796" i="2"/>
  <c r="H2797" i="2"/>
  <c r="H2798" i="2"/>
  <c r="H2799" i="2"/>
  <c r="H2800" i="2"/>
  <c r="H2801" i="2"/>
  <c r="H2802" i="2"/>
  <c r="H2803" i="2"/>
  <c r="H2804" i="2"/>
  <c r="H2805" i="2"/>
  <c r="H2806" i="2"/>
  <c r="H2807" i="2"/>
  <c r="H2808" i="2"/>
  <c r="H2809" i="2"/>
  <c r="H2810" i="2"/>
  <c r="H2811" i="2"/>
  <c r="H2812" i="2"/>
  <c r="H2813" i="2"/>
  <c r="H2814" i="2"/>
  <c r="H2815" i="2"/>
  <c r="H2816" i="2"/>
  <c r="H2817" i="2"/>
  <c r="H2818" i="2"/>
  <c r="H2819" i="2"/>
  <c r="H2820" i="2"/>
  <c r="H2821" i="2"/>
  <c r="H2822" i="2"/>
  <c r="H2823" i="2"/>
  <c r="H2824" i="2"/>
  <c r="H2825" i="2"/>
  <c r="H2826" i="2"/>
  <c r="H2827" i="2"/>
  <c r="H2828" i="2"/>
  <c r="H2829" i="2"/>
  <c r="H2830" i="2"/>
  <c r="H2831" i="2"/>
  <c r="H2832" i="2"/>
  <c r="H2833" i="2"/>
  <c r="H2834" i="2"/>
  <c r="H2835" i="2"/>
  <c r="H2836" i="2"/>
  <c r="H2837" i="2"/>
  <c r="H2838" i="2"/>
  <c r="H2839" i="2"/>
  <c r="H2840" i="2"/>
  <c r="H2841" i="2"/>
  <c r="H2842" i="2"/>
  <c r="H2843" i="2"/>
  <c r="H2844" i="2"/>
  <c r="H2845" i="2"/>
  <c r="H2846" i="2"/>
  <c r="H2847" i="2"/>
  <c r="H2848" i="2"/>
  <c r="H2849" i="2"/>
  <c r="H2850" i="2"/>
  <c r="H2851" i="2"/>
  <c r="H2852" i="2"/>
  <c r="H2853" i="2"/>
  <c r="H2854" i="2"/>
  <c r="H2855" i="2"/>
  <c r="H2856" i="2"/>
  <c r="H2857" i="2"/>
  <c r="H2858" i="2"/>
  <c r="H2859" i="2"/>
  <c r="H2860" i="2"/>
  <c r="H2861" i="2"/>
  <c r="H2862" i="2"/>
  <c r="H2863" i="2"/>
  <c r="H2864" i="2"/>
  <c r="H2865" i="2"/>
  <c r="H2866" i="2"/>
  <c r="H2867" i="2"/>
  <c r="H2868" i="2"/>
  <c r="H2869" i="2"/>
  <c r="H2870" i="2"/>
  <c r="H2871" i="2"/>
  <c r="H2872" i="2"/>
  <c r="H2873" i="2"/>
  <c r="H2874" i="2"/>
  <c r="H2875" i="2"/>
  <c r="H2876" i="2"/>
  <c r="H2877" i="2"/>
  <c r="H2878" i="2"/>
  <c r="H2879" i="2"/>
  <c r="H2880" i="2"/>
  <c r="H2881" i="2"/>
  <c r="H2882" i="2"/>
  <c r="H2883" i="2"/>
  <c r="H2884" i="2"/>
  <c r="H2885" i="2"/>
  <c r="H2886" i="2"/>
  <c r="H2887" i="2"/>
  <c r="H2888" i="2"/>
  <c r="H2889" i="2"/>
  <c r="H2890" i="2"/>
  <c r="H2891" i="2"/>
  <c r="H2892" i="2"/>
  <c r="H2893" i="2"/>
  <c r="H2894" i="2"/>
  <c r="H2895" i="2"/>
  <c r="H2896" i="2"/>
  <c r="H2897" i="2"/>
  <c r="H2898" i="2"/>
  <c r="H2899" i="2"/>
  <c r="H2900" i="2"/>
  <c r="H2901" i="2"/>
  <c r="H2902" i="2"/>
  <c r="H2903" i="2"/>
  <c r="H2904" i="2"/>
  <c r="H2905" i="2"/>
  <c r="H2906" i="2"/>
  <c r="H2907" i="2"/>
  <c r="H2908" i="2"/>
  <c r="H2909" i="2"/>
  <c r="H2910" i="2"/>
  <c r="H2911" i="2"/>
  <c r="H2912" i="2"/>
  <c r="H2913" i="2"/>
  <c r="H2914" i="2"/>
  <c r="H2915" i="2"/>
  <c r="H2916" i="2"/>
  <c r="H2917" i="2"/>
  <c r="H2918" i="2"/>
  <c r="H2919" i="2"/>
  <c r="H2920" i="2"/>
  <c r="H2921" i="2"/>
  <c r="H2922" i="2"/>
  <c r="H2923" i="2"/>
  <c r="H2924" i="2"/>
  <c r="H2925" i="2"/>
  <c r="H2926" i="2"/>
  <c r="H2927" i="2"/>
  <c r="H2928" i="2"/>
  <c r="H2929" i="2"/>
  <c r="H2930" i="2"/>
  <c r="H2931" i="2"/>
  <c r="H2932" i="2"/>
  <c r="H2933" i="2"/>
  <c r="H2934" i="2"/>
  <c r="H2935" i="2"/>
  <c r="H2936" i="2"/>
  <c r="H2937" i="2"/>
  <c r="H2938" i="2"/>
  <c r="H2939" i="2"/>
  <c r="H2940" i="2"/>
  <c r="H2941" i="2"/>
  <c r="H2942" i="2"/>
  <c r="H2943" i="2"/>
  <c r="H2944" i="2"/>
  <c r="H2945" i="2"/>
  <c r="H2946" i="2"/>
  <c r="H2947" i="2"/>
  <c r="H2948" i="2"/>
  <c r="H2949" i="2"/>
  <c r="H2950" i="2"/>
  <c r="H2951" i="2"/>
  <c r="H2952" i="2"/>
  <c r="H2953" i="2"/>
  <c r="H2954" i="2"/>
  <c r="H2955" i="2"/>
  <c r="H2956" i="2"/>
  <c r="H2957" i="2"/>
  <c r="H2958" i="2"/>
  <c r="H2959" i="2"/>
  <c r="H2960" i="2"/>
  <c r="H2961" i="2"/>
  <c r="H2962" i="2"/>
  <c r="H2963" i="2"/>
  <c r="H2964" i="2"/>
  <c r="H2965" i="2"/>
  <c r="H2966" i="2"/>
  <c r="H2967" i="2"/>
  <c r="H2968" i="2"/>
  <c r="H2969" i="2"/>
  <c r="H2970" i="2"/>
  <c r="H2971" i="2"/>
  <c r="H2972" i="2"/>
  <c r="H2973" i="2"/>
  <c r="H2974" i="2"/>
  <c r="H2975" i="2"/>
  <c r="H2976" i="2"/>
  <c r="H2977" i="2"/>
  <c r="H2978" i="2"/>
  <c r="H2979" i="2"/>
  <c r="H2980" i="2"/>
  <c r="H2981" i="2"/>
  <c r="H2982" i="2"/>
  <c r="H2983" i="2"/>
  <c r="H2984" i="2"/>
  <c r="H2985" i="2"/>
  <c r="H2986" i="2"/>
  <c r="H2987" i="2"/>
  <c r="H2988" i="2"/>
  <c r="H2989" i="2"/>
  <c r="H2990" i="2"/>
  <c r="H2991" i="2"/>
  <c r="H2992" i="2"/>
  <c r="H2993" i="2"/>
  <c r="H2994" i="2"/>
  <c r="H2995" i="2"/>
  <c r="H2996" i="2"/>
  <c r="H2997" i="2"/>
  <c r="H2998" i="2"/>
  <c r="H2999" i="2"/>
  <c r="H3000" i="2"/>
  <c r="H3001" i="2"/>
  <c r="H3002" i="2"/>
  <c r="H3003" i="2"/>
  <c r="H3004" i="2"/>
  <c r="H3005" i="2"/>
  <c r="H3006" i="2"/>
  <c r="H3007" i="2"/>
  <c r="H3008" i="2"/>
  <c r="H3009" i="2"/>
  <c r="H3010" i="2"/>
  <c r="H3011" i="2"/>
  <c r="H3012" i="2"/>
  <c r="H3013" i="2"/>
  <c r="H3014" i="2"/>
  <c r="H3015" i="2"/>
  <c r="H3016" i="2"/>
  <c r="H3017" i="2"/>
  <c r="H3018" i="2"/>
  <c r="H3019" i="2"/>
  <c r="H3020" i="2"/>
  <c r="H3021" i="2"/>
  <c r="H3022" i="2"/>
  <c r="H3023" i="2"/>
  <c r="H3024" i="2"/>
  <c r="H3025" i="2"/>
  <c r="H3026" i="2"/>
  <c r="H3027" i="2"/>
  <c r="H3028" i="2"/>
  <c r="H3029" i="2"/>
  <c r="H3030" i="2"/>
  <c r="H3031" i="2"/>
  <c r="H3032" i="2"/>
  <c r="H3033" i="2"/>
  <c r="H3034" i="2"/>
  <c r="H3035" i="2"/>
  <c r="H3036" i="2"/>
  <c r="H3037" i="2"/>
  <c r="H3038" i="2"/>
  <c r="H3039" i="2"/>
  <c r="H3040" i="2"/>
  <c r="H3041" i="2"/>
  <c r="H3042" i="2"/>
  <c r="H3043" i="2"/>
  <c r="H3044" i="2"/>
  <c r="H3045" i="2"/>
  <c r="H3046" i="2"/>
  <c r="H3047" i="2"/>
  <c r="H3048" i="2"/>
  <c r="H3049" i="2"/>
  <c r="H3050" i="2"/>
  <c r="H3051" i="2"/>
  <c r="H3052" i="2"/>
  <c r="H3053" i="2"/>
  <c r="H3054" i="2"/>
  <c r="H3055" i="2"/>
  <c r="H3056" i="2"/>
  <c r="H3057" i="2"/>
  <c r="H3058" i="2"/>
  <c r="H3059" i="2"/>
  <c r="H3060" i="2"/>
  <c r="H3061" i="2"/>
  <c r="H3062" i="2"/>
  <c r="H3063" i="2"/>
  <c r="H3064" i="2"/>
  <c r="H3065" i="2"/>
  <c r="H3066" i="2"/>
  <c r="H3067" i="2"/>
  <c r="H3068" i="2"/>
  <c r="H3069" i="2"/>
  <c r="H3070" i="2"/>
  <c r="H3071" i="2"/>
  <c r="H3072" i="2"/>
  <c r="H3073" i="2"/>
  <c r="H3074" i="2"/>
  <c r="H3075" i="2"/>
  <c r="H3076" i="2"/>
  <c r="H3077" i="2"/>
  <c r="H3078" i="2"/>
  <c r="H3079" i="2"/>
  <c r="H3080" i="2"/>
  <c r="H3081" i="2"/>
  <c r="H3082" i="2"/>
  <c r="H3083" i="2"/>
  <c r="H3084" i="2"/>
  <c r="H3085" i="2"/>
  <c r="H3086" i="2"/>
  <c r="H3087" i="2"/>
  <c r="H3088" i="2"/>
  <c r="H3089" i="2"/>
  <c r="H3090" i="2"/>
  <c r="H3091" i="2"/>
  <c r="H3092" i="2"/>
  <c r="H3093" i="2"/>
  <c r="H3094" i="2"/>
  <c r="H3095" i="2"/>
  <c r="H3096" i="2"/>
  <c r="H3097" i="2"/>
  <c r="H3098" i="2"/>
  <c r="H3099" i="2"/>
  <c r="H3100" i="2"/>
  <c r="H3101" i="2"/>
  <c r="H3102" i="2"/>
  <c r="H3103" i="2"/>
  <c r="H3104" i="2"/>
  <c r="H3105" i="2"/>
  <c r="H3106" i="2"/>
  <c r="H3107" i="2"/>
  <c r="H3108" i="2"/>
  <c r="H3109" i="2"/>
  <c r="H3110" i="2"/>
  <c r="H3111" i="2"/>
  <c r="H3112" i="2"/>
  <c r="H3113" i="2"/>
  <c r="H3114" i="2"/>
  <c r="H3115" i="2"/>
  <c r="H3116" i="2"/>
  <c r="H3117" i="2"/>
  <c r="H3118" i="2"/>
  <c r="H3119" i="2"/>
  <c r="H3120" i="2"/>
  <c r="H3121" i="2"/>
  <c r="H3122" i="2"/>
  <c r="H3123" i="2"/>
  <c r="H3124" i="2"/>
  <c r="H3125" i="2"/>
  <c r="H3126" i="2"/>
  <c r="H3127" i="2"/>
  <c r="H3128" i="2"/>
  <c r="H3129" i="2"/>
  <c r="H3130" i="2"/>
  <c r="H3131" i="2"/>
  <c r="H3132" i="2"/>
  <c r="H3133" i="2"/>
  <c r="H3134" i="2"/>
  <c r="H3135" i="2"/>
  <c r="H3136" i="2"/>
  <c r="H3137" i="2"/>
  <c r="H3138" i="2"/>
  <c r="H3139" i="2"/>
  <c r="H3140" i="2"/>
  <c r="H3141" i="2"/>
  <c r="H3142" i="2"/>
  <c r="H3143" i="2"/>
  <c r="H3144" i="2"/>
  <c r="H3145" i="2"/>
  <c r="H3146" i="2"/>
  <c r="H3147" i="2"/>
  <c r="H3148" i="2"/>
  <c r="H3149" i="2"/>
  <c r="H3150" i="2"/>
  <c r="H3" i="2"/>
  <c r="H4" i="2"/>
  <c r="H5" i="2"/>
</calcChain>
</file>

<file path=xl/sharedStrings.xml><?xml version="1.0" encoding="utf-8"?>
<sst xmlns="http://schemas.openxmlformats.org/spreadsheetml/2006/main" count="12604" uniqueCount="787">
  <si>
    <t>Amount</t>
  </si>
  <si>
    <t>Quantity</t>
  </si>
  <si>
    <t>Number of Contract Accounts</t>
  </si>
  <si>
    <t>Division</t>
  </si>
  <si>
    <t>Location</t>
  </si>
  <si>
    <t>Billing Class</t>
  </si>
  <si>
    <t>03</t>
  </si>
  <si>
    <t>WATER</t>
  </si>
  <si>
    <t>ACACIA PARK</t>
  </si>
  <si>
    <t>Commercial customers</t>
  </si>
  <si>
    <t>Domestic customers</t>
  </si>
  <si>
    <t>Other</t>
  </si>
  <si>
    <t>ADMIRALS PARK</t>
  </si>
  <si>
    <t>Not assigned</t>
  </si>
  <si>
    <t>ADRIAANSE</t>
  </si>
  <si>
    <t>Departmental(Internal charges)</t>
  </si>
  <si>
    <t>AIRPORT CITY</t>
  </si>
  <si>
    <t>Industrial customers</t>
  </si>
  <si>
    <t>AMANDA GLEN - Bellville</t>
  </si>
  <si>
    <t>AMANDA GLEN - Durbanville</t>
  </si>
  <si>
    <t>AMANDELRUG</t>
  </si>
  <si>
    <t>AMANDELSIG</t>
  </si>
  <si>
    <t>ANCHORAGE PARK</t>
  </si>
  <si>
    <t>ANNANDALE</t>
  </si>
  <si>
    <t>ANNANDALE FARM</t>
  </si>
  <si>
    <t>ANTILLES/CAYMAN BEACH</t>
  </si>
  <si>
    <t>ARAUNA</t>
  </si>
  <si>
    <t>ASANDA</t>
  </si>
  <si>
    <t>ASLA PARK</t>
  </si>
  <si>
    <t>ATHLONE</t>
  </si>
  <si>
    <t>ATLANTIS INDUSTRIAL</t>
  </si>
  <si>
    <t>ATLAS GARDENS BUSINESS PARK</t>
  </si>
  <si>
    <t>AUDAS ESTATE</t>
  </si>
  <si>
    <t>AURORA</t>
  </si>
  <si>
    <t>AUSTINVILLE</t>
  </si>
  <si>
    <t>AVALON ESTATE</t>
  </si>
  <si>
    <t>AVON</t>
  </si>
  <si>
    <t>AVONDALE</t>
  </si>
  <si>
    <t>AVONWOOD</t>
  </si>
  <si>
    <t>B.H.M</t>
  </si>
  <si>
    <t>BALVENIE</t>
  </si>
  <si>
    <t>BANTRY BAY</t>
  </si>
  <si>
    <t>BARNET MOLOKWANA CORNER</t>
  </si>
  <si>
    <t>BARONETCY ESTATE</t>
  </si>
  <si>
    <t>BEACON HILL</t>
  </si>
  <si>
    <t>BEACON VALLEY</t>
  </si>
  <si>
    <t>BEACONVALE</t>
  </si>
  <si>
    <t>BEL'AIRE</t>
  </si>
  <si>
    <t>BELGRAVIA</t>
  </si>
  <si>
    <t>BELGRAVIA -BELLVILLE</t>
  </si>
  <si>
    <t>BELHAR EXT 1</t>
  </si>
  <si>
    <t>BELHAR EXT 10</t>
  </si>
  <si>
    <t>BELHAR EXT 11</t>
  </si>
  <si>
    <t>BELHAR EXT 12</t>
  </si>
  <si>
    <t>BELHAR EXT 13</t>
  </si>
  <si>
    <t>BELHAR EXT 14</t>
  </si>
  <si>
    <t>BELHAR EXT 15</t>
  </si>
  <si>
    <t>BELHAR EXT 16</t>
  </si>
  <si>
    <t>BELHAR EXT 17</t>
  </si>
  <si>
    <t>BELHAR EXT 18</t>
  </si>
  <si>
    <t>BELHAR EXT 19</t>
  </si>
  <si>
    <t>BELHAR EXT 2</t>
  </si>
  <si>
    <t>BELHAR EXT 20</t>
  </si>
  <si>
    <t>BELHAR EXT 21</t>
  </si>
  <si>
    <t>BELHAR EXT 22</t>
  </si>
  <si>
    <t>BELHAR EXT 23</t>
  </si>
  <si>
    <t>BELHAR EXT 3</t>
  </si>
  <si>
    <t>BELHAR EXT 4</t>
  </si>
  <si>
    <t>BELHAR EXT 5</t>
  </si>
  <si>
    <t>BELHAR EXT 6</t>
  </si>
  <si>
    <t>BELHAR EXT 7</t>
  </si>
  <si>
    <t>BELHAR EXT 8</t>
  </si>
  <si>
    <t>BELHAR EXT 9</t>
  </si>
  <si>
    <t>BELL GLEN</t>
  </si>
  <si>
    <t>BELLAIR</t>
  </si>
  <si>
    <t>BELLVILLE CBD</t>
  </si>
  <si>
    <t>BELLVILLE LANDFILL</t>
  </si>
  <si>
    <t>BELLVILLE SOUTH</t>
  </si>
  <si>
    <t>BELLVILLE SOUTH INDUSTRIA</t>
  </si>
  <si>
    <t>BELLVILLE TEACHERS COLLEGE</t>
  </si>
  <si>
    <t>BELMONT PARK</t>
  </si>
  <si>
    <t>BELRAIL</t>
  </si>
  <si>
    <t>BELTHORN ESTATE</t>
  </si>
  <si>
    <t>BELVEDERE TYGERBERG</t>
  </si>
  <si>
    <t>BENE TOWNSHIP</t>
  </si>
  <si>
    <t>BENNO PARK</t>
  </si>
  <si>
    <t>BERBAGO</t>
  </si>
  <si>
    <t>BERGVLIET</t>
  </si>
  <si>
    <t>BETHANIE</t>
  </si>
  <si>
    <t>BIG BAY</t>
  </si>
  <si>
    <t>BISHOP LAVIS</t>
  </si>
  <si>
    <t>BISHOPSCOURT</t>
  </si>
  <si>
    <t>BIZWENI</t>
  </si>
  <si>
    <t>BLAAUWBERGSTRAND</t>
  </si>
  <si>
    <t>BLACKHEATH INDUSTRIA</t>
  </si>
  <si>
    <t>BLOEKOMBOS</t>
  </si>
  <si>
    <t>BLOEMHOF</t>
  </si>
  <si>
    <t>BLOMMENDAL</t>
  </si>
  <si>
    <t>BLOMTUIN</t>
  </si>
  <si>
    <t>BLOMVLEI</t>
  </si>
  <si>
    <t>BLOUBERG RISE</t>
  </si>
  <si>
    <t>BLOUBERG SANDS</t>
  </si>
  <si>
    <t>BLOUBERGRANT</t>
  </si>
  <si>
    <t>BLUE DOWNS CBD</t>
  </si>
  <si>
    <t>BO OAKDALE</t>
  </si>
  <si>
    <t>BONGANI</t>
  </si>
  <si>
    <t>BONNIE BRAE</t>
  </si>
  <si>
    <t>BONNIE BROOK</t>
  </si>
  <si>
    <t>BONTEHEUWEL</t>
  </si>
  <si>
    <t>BOQUINAR INDUSTRIAL AREA</t>
  </si>
  <si>
    <t>BOSBELL</t>
  </si>
  <si>
    <t>BOSKLOOF</t>
  </si>
  <si>
    <t>BOSONIA</t>
  </si>
  <si>
    <t>BOSTON</t>
  </si>
  <si>
    <t>BOTFONTEIN SMALLHOLDINGS</t>
  </si>
  <si>
    <t>BOTHASIG</t>
  </si>
  <si>
    <t>BOTTELARY SMALLHOLDINGS 1</t>
  </si>
  <si>
    <t>BOTTELARY SMALLHOLDINGS 2</t>
  </si>
  <si>
    <t>BRACKEN HEIGHTS</t>
  </si>
  <si>
    <t>BRACKENFELL CENTRAL</t>
  </si>
  <si>
    <t>BRACKENFELL COMMON</t>
  </si>
  <si>
    <t>BRACKENFELL INDUSTRIA</t>
  </si>
  <si>
    <t>BRACKENFELL SOUTH</t>
  </si>
  <si>
    <t>BRAEVIEW</t>
  </si>
  <si>
    <t>BRANDWACHT</t>
  </si>
  <si>
    <t>BRANDWAG</t>
  </si>
  <si>
    <t>BRANTWOOD</t>
  </si>
  <si>
    <t>BRENTWOOD PARK - BLUE DOWNS</t>
  </si>
  <si>
    <t>BRENTWOOD PARK - Durbanville</t>
  </si>
  <si>
    <t>BRIDGEBANK</t>
  </si>
  <si>
    <t>BRIDGETOWN</t>
  </si>
  <si>
    <t>BRIDGEWATER</t>
  </si>
  <si>
    <t>BRIZA</t>
  </si>
  <si>
    <t>BROADLANDS</t>
  </si>
  <si>
    <t>BROADLANDS PARK</t>
  </si>
  <si>
    <t>BROADLANDS VILLAGE</t>
  </si>
  <si>
    <t>BROOKLYN</t>
  </si>
  <si>
    <t>BUH-REIN ESTATE</t>
  </si>
  <si>
    <t>BURGUNDY</t>
  </si>
  <si>
    <t>BURGUNDY ESTATE</t>
  </si>
  <si>
    <t>CAMELOT</t>
  </si>
  <si>
    <t>CAMPS BAY / BAKOVEN</t>
  </si>
  <si>
    <t>CAPE FARMS -</t>
  </si>
  <si>
    <t>CAPE FARMS - DISTRICT B</t>
  </si>
  <si>
    <t>CAPE FARMS - DISTRICT C</t>
  </si>
  <si>
    <t>CAPE FARMS - DISTRICT H</t>
  </si>
  <si>
    <t>CAPE GATE</t>
  </si>
  <si>
    <t>CAPE TOWN</t>
  </si>
  <si>
    <t>CAPE TOWN AIRPORT</t>
  </si>
  <si>
    <t>CAPE TOWN CITY CENTRE</t>
  </si>
  <si>
    <t>CAPRI</t>
  </si>
  <si>
    <t>CAREY PARK</t>
  </si>
  <si>
    <t>CARWICK</t>
  </si>
  <si>
    <t>CASTLE ROCK</t>
  </si>
  <si>
    <t>CENTURY CITY</t>
  </si>
  <si>
    <t>CHANTECLER</t>
  </si>
  <si>
    <t>CHARLESVILLE</t>
  </si>
  <si>
    <t>CHRIS HANI PARK</t>
  </si>
  <si>
    <t>CHRIS NISSEN PARK</t>
  </si>
  <si>
    <t>CHRISMAR</t>
  </si>
  <si>
    <t>CHURCHILL ESTATE</t>
  </si>
  <si>
    <t>CLAMHALL</t>
  </si>
  <si>
    <t>CLARA ANNA FONTEIN</t>
  </si>
  <si>
    <t>CLAREMONT</t>
  </si>
  <si>
    <t>CLARKES ESTATE</t>
  </si>
  <si>
    <t>CLIFTON</t>
  </si>
  <si>
    <t>CLOVELLY</t>
  </si>
  <si>
    <t>COLORADO PARK</t>
  </si>
  <si>
    <t>CONNAUGHT</t>
  </si>
  <si>
    <t>CONSTANTIA</t>
  </si>
  <si>
    <t>CPUT</t>
  </si>
  <si>
    <t>CRAVENBY</t>
  </si>
  <si>
    <t>CRAWFORD</t>
  </si>
  <si>
    <t>CROSSROADS</t>
  </si>
  <si>
    <t>CROYDON</t>
  </si>
  <si>
    <t>CROYDON OLIVE ESTATE</t>
  </si>
  <si>
    <t>CROYDON VINEYARD ESTATE</t>
  </si>
  <si>
    <t>D'URBANVALE</t>
  </si>
  <si>
    <t>DANARAND</t>
  </si>
  <si>
    <t>DE DUIN</t>
  </si>
  <si>
    <t>DE GRENDEL FARM</t>
  </si>
  <si>
    <t>DE KUILEN</t>
  </si>
  <si>
    <t>DE LA HAYE</t>
  </si>
  <si>
    <t>DE OUDE SPRUIT</t>
  </si>
  <si>
    <t>DE TIJGER</t>
  </si>
  <si>
    <t>DE VELDE</t>
  </si>
  <si>
    <t>DE WIJNLANDEN ESTATE</t>
  </si>
  <si>
    <t>DEACONVILLE</t>
  </si>
  <si>
    <t>DEEPFREEZE</t>
  </si>
  <si>
    <t>DELFT 1 &amp; 2</t>
  </si>
  <si>
    <t>DELFT 3</t>
  </si>
  <si>
    <t>DELFT 4</t>
  </si>
  <si>
    <t>DELFT 5</t>
  </si>
  <si>
    <t>DELFT 6</t>
  </si>
  <si>
    <t>DELFT 7</t>
  </si>
  <si>
    <t>DELFT 8</t>
  </si>
  <si>
    <t>DELFT 9</t>
  </si>
  <si>
    <t>DELFT SOUTH</t>
  </si>
  <si>
    <t>DELRO VILLAGE</t>
  </si>
  <si>
    <t>DENNEGEUR</t>
  </si>
  <si>
    <t>DENNEMERE</t>
  </si>
  <si>
    <t>DEO GRACIA</t>
  </si>
  <si>
    <t>DES HAMPDEN</t>
  </si>
  <si>
    <t>DIE WINGERD</t>
  </si>
  <si>
    <t>DIEPRIVER</t>
  </si>
  <si>
    <t>DOBSON</t>
  </si>
  <si>
    <t>DOOR DE KRAAL</t>
  </si>
  <si>
    <t>DOOR DE KRAAL FARM</t>
  </si>
  <si>
    <t>DORHILL</t>
  </si>
  <si>
    <t>DREAMWORLD</t>
  </si>
  <si>
    <t>DRIFTSANDS</t>
  </si>
  <si>
    <t>DUNOON</t>
  </si>
  <si>
    <t>DUNROBIN</t>
  </si>
  <si>
    <t>DURBANVILLE</t>
  </si>
  <si>
    <t>DURBANVILLE HILLS</t>
  </si>
  <si>
    <t>DURBANVILLE MEADOWS</t>
  </si>
  <si>
    <t>DURBELL</t>
  </si>
  <si>
    <t>DURMONTE</t>
  </si>
  <si>
    <t>EAGLE PARK</t>
  </si>
  <si>
    <t>EASTRIDGE</t>
  </si>
  <si>
    <t>EDENPARK</t>
  </si>
  <si>
    <t>EDGEMEAD</t>
  </si>
  <si>
    <t>EENSGEVONDEN</t>
  </si>
  <si>
    <t>EERSTE RIVER</t>
  </si>
  <si>
    <t>EERSTERIVIER</t>
  </si>
  <si>
    <t>EERSTERIVIER INDUSTRIA</t>
  </si>
  <si>
    <t>EERSTERIVIER SOUTH</t>
  </si>
  <si>
    <t>EIKENBOSCH KUILS RIVER</t>
  </si>
  <si>
    <t>EIKENDAL</t>
  </si>
  <si>
    <t>EINDHOVEN</t>
  </si>
  <si>
    <t>EKUPHUMULENI</t>
  </si>
  <si>
    <t>ELECTRIC CITY</t>
  </si>
  <si>
    <t>ELFINDALE</t>
  </si>
  <si>
    <t>ELIM</t>
  </si>
  <si>
    <t>ELNOR</t>
  </si>
  <si>
    <t>ELSIES RIVER</t>
  </si>
  <si>
    <t>ELSIES RIVER INDUSTRIA</t>
  </si>
  <si>
    <t>ENKANINI INFORMAL SETTLEMENT</t>
  </si>
  <si>
    <t>EPPING FOREST</t>
  </si>
  <si>
    <t>EPPING INDUSTRIA 1</t>
  </si>
  <si>
    <t>EPPING INDUSTRIA 2</t>
  </si>
  <si>
    <t>ERINVALE ESTATE</t>
  </si>
  <si>
    <t>EUREKA ESTATE</t>
  </si>
  <si>
    <t>EVERGLEN</t>
  </si>
  <si>
    <t>EVERITE INDUSTRIA</t>
  </si>
  <si>
    <t>EVERSDAL - Bellville</t>
  </si>
  <si>
    <t>EVERSDAL - Durbanville</t>
  </si>
  <si>
    <t>EVERSDAL HEIGHTS</t>
  </si>
  <si>
    <t>EYETHU</t>
  </si>
  <si>
    <t>FAIRDALE</t>
  </si>
  <si>
    <t>FAIRFIELD ESTATE</t>
  </si>
  <si>
    <t>FAIRVIEW GOLF ESTATE</t>
  </si>
  <si>
    <t>FALSE BAY COASTAL PARK</t>
  </si>
  <si>
    <t>FAURE</t>
  </si>
  <si>
    <t>FERNDALE</t>
  </si>
  <si>
    <t>FERNWOOD</t>
  </si>
  <si>
    <t>FIRGROVE</t>
  </si>
  <si>
    <t>FIRGROVE RURAL</t>
  </si>
  <si>
    <t>FIRLANDS</t>
  </si>
  <si>
    <t>FISANTEKRAAL</t>
  </si>
  <si>
    <t>FISANTEKRAAL INDUSTRIAL</t>
  </si>
  <si>
    <t>FISH HOEK</t>
  </si>
  <si>
    <t>FLAMINGO VLEI</t>
  </si>
  <si>
    <t>FLORIDA</t>
  </si>
  <si>
    <t>FORESHORE</t>
  </si>
  <si>
    <t>FOREST HEIGHTS</t>
  </si>
  <si>
    <t>FOREST VILLAGE</t>
  </si>
  <si>
    <t>FOUNTAIN VILLAGE</t>
  </si>
  <si>
    <t>FRAAIGELEGEN</t>
  </si>
  <si>
    <t>FRESNAYE</t>
  </si>
  <si>
    <t>GANTS PARK</t>
  </si>
  <si>
    <t>GARDEN VILLAGE</t>
  </si>
  <si>
    <t>GARDENS</t>
  </si>
  <si>
    <t>GATESVILLE</t>
  </si>
  <si>
    <t>GAYLEE</t>
  </si>
  <si>
    <t>GEORGE PARK</t>
  </si>
  <si>
    <t>GERSHAM</t>
  </si>
  <si>
    <t>GLENCAIRN</t>
  </si>
  <si>
    <t>GLENHAVEN</t>
  </si>
  <si>
    <t>GLENLILY</t>
  </si>
  <si>
    <t>GLENWOOD</t>
  </si>
  <si>
    <t>GOEDE HOOP</t>
  </si>
  <si>
    <t>GOEDEHOOP</t>
  </si>
  <si>
    <t>GOEDEMOED</t>
  </si>
  <si>
    <t>GOLDEN ACRE</t>
  </si>
  <si>
    <t>GOLDEN HILL EXT 1</t>
  </si>
  <si>
    <t>GOLIATH ESTATE</t>
  </si>
  <si>
    <t>GOOD HOPE</t>
  </si>
  <si>
    <t>GOODRAIL</t>
  </si>
  <si>
    <t>GOODWOOD  EXT 1</t>
  </si>
  <si>
    <t>GOODWOOD ESTATE</t>
  </si>
  <si>
    <t>GORDON HEIGHTS</t>
  </si>
  <si>
    <t>GORDONS BAY</t>
  </si>
  <si>
    <t>GORDONS BAY EXT 12</t>
  </si>
  <si>
    <t>GORDONS BAY VILLAGE</t>
  </si>
  <si>
    <t>GORDONS STRAND ESTATE</t>
  </si>
  <si>
    <t>GRAANENDAL</t>
  </si>
  <si>
    <t>GRACELAND</t>
  </si>
  <si>
    <t>GRASSY PARK</t>
  </si>
  <si>
    <t>GREEN POINT</t>
  </si>
  <si>
    <t>GREENFIELDS</t>
  </si>
  <si>
    <t>GREENLANDS</t>
  </si>
  <si>
    <t>GREENVILLE GARDEN CITY</t>
  </si>
  <si>
    <t>GREENWAYS</t>
  </si>
  <si>
    <t>GROENVALLEI</t>
  </si>
  <si>
    <t>GUGULETU</t>
  </si>
  <si>
    <t>HAASENDAL</t>
  </si>
  <si>
    <t>HAGLEY</t>
  </si>
  <si>
    <t>HANOVER PARK</t>
  </si>
  <si>
    <t>HAPPY VALLEY</t>
  </si>
  <si>
    <t>HARARE</t>
  </si>
  <si>
    <t>HARBOUR ISLAND</t>
  </si>
  <si>
    <t>HARDEKRAALTJIE</t>
  </si>
  <si>
    <t>HARMONY VILLAGE</t>
  </si>
  <si>
    <t>HATTON</t>
  </si>
  <si>
    <t>HAZENDAL</t>
  </si>
  <si>
    <t>HEARTLAND BEACH ROAD PRECINCT</t>
  </si>
  <si>
    <t>HEARTLAND HISTORIC PRECINCT</t>
  </si>
  <si>
    <t>HEATHFIELD</t>
  </si>
  <si>
    <t>HEEMSTEDE</t>
  </si>
  <si>
    <t>HEIDEVELD</t>
  </si>
  <si>
    <t>HELDERBERG ESTATE</t>
  </si>
  <si>
    <t>HELDERBERG INDUSTRIAL PARK</t>
  </si>
  <si>
    <t>HELDERBERG PARK</t>
  </si>
  <si>
    <t>HELDERBERG VILLAGE</t>
  </si>
  <si>
    <t>HELDERRANT</t>
  </si>
  <si>
    <t>HELDERVUE</t>
  </si>
  <si>
    <t>HELDERZICHT</t>
  </si>
  <si>
    <t>HELENA HEIGHTS</t>
  </si>
  <si>
    <t>HERITAGE PARK</t>
  </si>
  <si>
    <t>HIGH RIDING</t>
  </si>
  <si>
    <t>HIGHBURY</t>
  </si>
  <si>
    <t>HIGHBURY PARK</t>
  </si>
  <si>
    <t>HIGHGATE</t>
  </si>
  <si>
    <t>HIGHLANDS VILLAGE</t>
  </si>
  <si>
    <t>HIGHVELD</t>
  </si>
  <si>
    <t>HILLCREST HEIGHTS</t>
  </si>
  <si>
    <t>HINDLE PARK</t>
  </si>
  <si>
    <t>HOHEIZEN</t>
  </si>
  <si>
    <t>HOOGSTEDE</t>
  </si>
  <si>
    <t>HOUT BAY</t>
  </si>
  <si>
    <t>HUMANSHOF</t>
  </si>
  <si>
    <t>HUNTERS CREEK</t>
  </si>
  <si>
    <t>HYDE PARK</t>
  </si>
  <si>
    <t>IKWEZI PARK</t>
  </si>
  <si>
    <t>ILITHA PARK</t>
  </si>
  <si>
    <t>ILLAIRE</t>
  </si>
  <si>
    <t>JACARANDAS</t>
  </si>
  <si>
    <t>JACOBSDAL SMALLHOLDINGS</t>
  </si>
  <si>
    <t>JACQUES HILL</t>
  </si>
  <si>
    <t>JAGTERSHOF</t>
  </si>
  <si>
    <t>JAN KRIEL</t>
  </si>
  <si>
    <t>JOE SLOVO PARK</t>
  </si>
  <si>
    <t>JONKERS HOOGTE</t>
  </si>
  <si>
    <t>JOOSTENBERGVLAKTE SMALLHOLDINGS</t>
  </si>
  <si>
    <t>JOUBERTPARK</t>
  </si>
  <si>
    <t>KAAPSIG</t>
  </si>
  <si>
    <t>KAAPZICHT</t>
  </si>
  <si>
    <t>KALK BAY</t>
  </si>
  <si>
    <t>KALKFONTEIN 1</t>
  </si>
  <si>
    <t>KALKFONTEIN II</t>
  </si>
  <si>
    <t>KALKSTEENFONTEIN</t>
  </si>
  <si>
    <t>KANONBERG</t>
  </si>
  <si>
    <t>KATAMUDA</t>
  </si>
  <si>
    <t>KELDERHOF</t>
  </si>
  <si>
    <t>KEMPENVILLE</t>
  </si>
  <si>
    <t>KENILWORTH</t>
  </si>
  <si>
    <t>KENRIDGE - Bellville</t>
  </si>
  <si>
    <t>KENRIDGE - Durbanville</t>
  </si>
  <si>
    <t>KENSINGTON</t>
  </si>
  <si>
    <t>KEWTOWN</t>
  </si>
  <si>
    <t>KHAYA</t>
  </si>
  <si>
    <t>KILLARNEY GARDENS</t>
  </si>
  <si>
    <t>KING DAVID COUNTRY CLUB</t>
  </si>
  <si>
    <t>KINGSTON</t>
  </si>
  <si>
    <t>KIRSTENHOF</t>
  </si>
  <si>
    <t>KLEIN ZEVENWACHT</t>
  </si>
  <si>
    <t>KLEINBEGIN</t>
  </si>
  <si>
    <t>KLEINBOSCH</t>
  </si>
  <si>
    <t>KLEINBRON</t>
  </si>
  <si>
    <t>KLEINVLEI TOWN</t>
  </si>
  <si>
    <t>KLIPDAM</t>
  </si>
  <si>
    <t>KLIPHEUWEL HOUSING SCHEME</t>
  </si>
  <si>
    <t>KLIPKOP</t>
  </si>
  <si>
    <t>KLOOFZICHT</t>
  </si>
  <si>
    <t>KOMMETJIE</t>
  </si>
  <si>
    <t>KRAAIFONTEIN</t>
  </si>
  <si>
    <t>KRAAIFONTEIN EAST</t>
  </si>
  <si>
    <t>KRAAIFONTEIN INDUSTRIA</t>
  </si>
  <si>
    <t>KUILS RIVER SPORTS GROUNDS</t>
  </si>
  <si>
    <t>KUILSRIVIER INDUSTRIA</t>
  </si>
  <si>
    <t>KUILSRIVIER SOUTH SMALLHOLDINGS</t>
  </si>
  <si>
    <t>KUYASA</t>
  </si>
  <si>
    <t>LA CONCORDE</t>
  </si>
  <si>
    <t>LA MONTAGNE</t>
  </si>
  <si>
    <t>LA ROCHELLE</t>
  </si>
  <si>
    <t>LA SANDRA</t>
  </si>
  <si>
    <t>LABIANCE</t>
  </si>
  <si>
    <t>LAGOON BEACH</t>
  </si>
  <si>
    <t>LAKESIDE</t>
  </si>
  <si>
    <t>LAND EN ZEEZICHT</t>
  </si>
  <si>
    <t>LANGA</t>
  </si>
  <si>
    <t>LANGEBERG HOOGTE</t>
  </si>
  <si>
    <t>LANGEBERG RIDGE</t>
  </si>
  <si>
    <t>LANGEBERG VILLAGE</t>
  </si>
  <si>
    <t>LANSDOWNE</t>
  </si>
  <si>
    <t>LAVENDER HILL</t>
  </si>
  <si>
    <t>LEIDEN</t>
  </si>
  <si>
    <t>LENTEGEUR</t>
  </si>
  <si>
    <t>LEONSDALE</t>
  </si>
  <si>
    <t>LETRU</t>
  </si>
  <si>
    <t>LILLYDALE</t>
  </si>
  <si>
    <t>LLANDUDNO</t>
  </si>
  <si>
    <t>LOEVENSTEIN</t>
  </si>
  <si>
    <t>LONGDOWN ESTATE</t>
  </si>
  <si>
    <t>LOTUS RIVER</t>
  </si>
  <si>
    <t>LOUCHARMANTE</t>
  </si>
  <si>
    <t>LOUMAR</t>
  </si>
  <si>
    <t>LOURENSIA PARK</t>
  </si>
  <si>
    <t>LWANDLE</t>
  </si>
  <si>
    <t>LYNN'S VIEW</t>
  </si>
  <si>
    <t>MABILLE PARK</t>
  </si>
  <si>
    <t>MACASSAR</t>
  </si>
  <si>
    <t>MACASSAR BEACH</t>
  </si>
  <si>
    <t>MACASSAR VILLAGE</t>
  </si>
  <si>
    <t>MAITLAND</t>
  </si>
  <si>
    <t>MAITLAND GARDEN VILLAGE</t>
  </si>
  <si>
    <t>MALIBU VILLAGE</t>
  </si>
  <si>
    <t>MALL INTERCHANGE</t>
  </si>
  <si>
    <t>MALL MOTOR CITY</t>
  </si>
  <si>
    <t>MALL TRIANGLE</t>
  </si>
  <si>
    <t>MALMESBURY FARMS</t>
  </si>
  <si>
    <t>MAMRE</t>
  </si>
  <si>
    <t>MANDELA PARK</t>
  </si>
  <si>
    <t>MANENBERG</t>
  </si>
  <si>
    <t>MANSFIELD INDUSTRIA</t>
  </si>
  <si>
    <t>MARCONI BEAM</t>
  </si>
  <si>
    <t>MARINDA PARK</t>
  </si>
  <si>
    <t>MARTINVILLE</t>
  </si>
  <si>
    <t>MARVINPARK</t>
  </si>
  <si>
    <t>MATROOSFONTEIN</t>
  </si>
  <si>
    <t>MEADOWRIDGE</t>
  </si>
  <si>
    <t>MELKBOSCH STRAND</t>
  </si>
  <si>
    <t>METRO</t>
  </si>
  <si>
    <t>MEYERHOF</t>
  </si>
  <si>
    <t>MFULENI</t>
  </si>
  <si>
    <t>MIKPUNT</t>
  </si>
  <si>
    <t>MIKRO PARK</t>
  </si>
  <si>
    <t>MILNERTON</t>
  </si>
  <si>
    <t>MILNERTON RIDGE</t>
  </si>
  <si>
    <t>MISSION GROUNDS</t>
  </si>
  <si>
    <t>MISTY CLIFFS</t>
  </si>
  <si>
    <t>MITCHELLS PLAIN CBD</t>
  </si>
  <si>
    <t>MODDERDAM</t>
  </si>
  <si>
    <t>MONTAGUE</t>
  </si>
  <si>
    <t>MONTAGUE GARDENS</t>
  </si>
  <si>
    <t>MONTANA</t>
  </si>
  <si>
    <t>MONTANA EXTENSION</t>
  </si>
  <si>
    <t>MONTCHERE</t>
  </si>
  <si>
    <t>MONTE SERENO</t>
  </si>
  <si>
    <t>MONTE VISTA</t>
  </si>
  <si>
    <t>MONTEVIDEO</t>
  </si>
  <si>
    <t>MONWABISI</t>
  </si>
  <si>
    <t>MORGAN INDUSTRIA</t>
  </si>
  <si>
    <t>MORGANS VILLAGE</t>
  </si>
  <si>
    <t>MORGENSTER</t>
  </si>
  <si>
    <t>MORGENSTER HEIGHTS</t>
  </si>
  <si>
    <t>MORNINGSIDE</t>
  </si>
  <si>
    <t>MORNINGSTAR</t>
  </si>
  <si>
    <t>MOUILLE POINT</t>
  </si>
  <si>
    <t>MOUNTAINSIDE</t>
  </si>
  <si>
    <t>MOUNTAINSIDE ESTATE</t>
  </si>
  <si>
    <t>MOUNTAINSIDE EXT 2</t>
  </si>
  <si>
    <t>MOUNTVIEW</t>
  </si>
  <si>
    <t>MOWBRAY</t>
  </si>
  <si>
    <t>MUIZENBERG</t>
  </si>
  <si>
    <t>MXOLISI PHETANI</t>
  </si>
  <si>
    <t>N1-STAD</t>
  </si>
  <si>
    <t>NATURE'S VALLEY</t>
  </si>
  <si>
    <t>NATURES VALLEY</t>
  </si>
  <si>
    <t>NERINA</t>
  </si>
  <si>
    <t>NEW MACASSAR</t>
  </si>
  <si>
    <t>NEW SCHEME</t>
  </si>
  <si>
    <t>NEW WOODLANDS</t>
  </si>
  <si>
    <t>NEWFIELDS</t>
  </si>
  <si>
    <t>NEWLANDS</t>
  </si>
  <si>
    <t>NIEUW MAASTRECHT-1</t>
  </si>
  <si>
    <t>NOMZAMO</t>
  </si>
  <si>
    <t>NONQUBELA</t>
  </si>
  <si>
    <t>NOOITGEDACHT</t>
  </si>
  <si>
    <t>NOORDHOEK</t>
  </si>
  <si>
    <t>NORMANDIE ESTATE</t>
  </si>
  <si>
    <t>NORTHGATE</t>
  </si>
  <si>
    <t>NORTHPINE</t>
  </si>
  <si>
    <t>NUTWOOD</t>
  </si>
  <si>
    <t>NYANGA</t>
  </si>
  <si>
    <t>O'KENNEDYVILLE</t>
  </si>
  <si>
    <t>OAKDALE</t>
  </si>
  <si>
    <t>OAKDENE</t>
  </si>
  <si>
    <t>OAKGLEN</t>
  </si>
  <si>
    <t>OBSERVATORY</t>
  </si>
  <si>
    <t>OCEAN VIEW</t>
  </si>
  <si>
    <t>OKAVANGO PARK</t>
  </si>
  <si>
    <t>OLIVE GROVE</t>
  </si>
  <si>
    <t>ONVERWACHT</t>
  </si>
  <si>
    <t>ONVERWACHT (Gordons Bay)</t>
  </si>
  <si>
    <t>ONVERWACHT VILLAGE</t>
  </si>
  <si>
    <t>OOSTERZEE-BELLVILLE</t>
  </si>
  <si>
    <t>ORANJEZICHT</t>
  </si>
  <si>
    <t>OTTERY</t>
  </si>
  <si>
    <t>OUDE WESTHOF</t>
  </si>
  <si>
    <t>OUDEKRAAL</t>
  </si>
  <si>
    <t>PAARDE VLEI</t>
  </si>
  <si>
    <t>PAARDEN EILAND</t>
  </si>
  <si>
    <t>PAARL FARMS</t>
  </si>
  <si>
    <t>PANORAMA</t>
  </si>
  <si>
    <t>PAREL VALLEI</t>
  </si>
  <si>
    <t>PARELVALLEI KLEINHOEWES</t>
  </si>
  <si>
    <t>PARKLANDS</t>
  </si>
  <si>
    <t>PARKWOOD</t>
  </si>
  <si>
    <t>PAROW</t>
  </si>
  <si>
    <t>PAROW EAST</t>
  </si>
  <si>
    <t>PAROW GOLF COURSE</t>
  </si>
  <si>
    <t>PAROW INDUSTRIA</t>
  </si>
  <si>
    <t>PAROW NORTH</t>
  </si>
  <si>
    <t>PAROW VALLEY</t>
  </si>
  <si>
    <t>PEACOCK CLOSE</t>
  </si>
  <si>
    <t>PEARL MARINA</t>
  </si>
  <si>
    <t>PEARL RISE</t>
  </si>
  <si>
    <t>PEERLESS PARK EAST</t>
  </si>
  <si>
    <t>PEERLESS PARK NORTH</t>
  </si>
  <si>
    <t>PEERLESS PARK WEST</t>
  </si>
  <si>
    <t>PELIKAN HEIGHTS</t>
  </si>
  <si>
    <t>PELIKAN PARK</t>
  </si>
  <si>
    <t>PELLA</t>
  </si>
  <si>
    <t>PENHILL</t>
  </si>
  <si>
    <t>PENLYN ESTATE</t>
  </si>
  <si>
    <t>PETROSA TANK FARM</t>
  </si>
  <si>
    <t>PHILADELPHIA</t>
  </si>
  <si>
    <t>PHILIPPI</t>
  </si>
  <si>
    <t>PHILIPPI PARK</t>
  </si>
  <si>
    <t>PHOENIX</t>
  </si>
  <si>
    <t>PINATI</t>
  </si>
  <si>
    <t>PINEHURST</t>
  </si>
  <si>
    <t>PINELANDS</t>
  </si>
  <si>
    <t>PLATTEKLOOF 1</t>
  </si>
  <si>
    <t>PLATTEKLOOF 2</t>
  </si>
  <si>
    <t>PLATTEKLOOF 3</t>
  </si>
  <si>
    <t>PLATTEKLOOF GLEN</t>
  </si>
  <si>
    <t>PLUMSTEAD</t>
  </si>
  <si>
    <t>PORTLAND</t>
  </si>
  <si>
    <t>PROTEA HEIGHTS</t>
  </si>
  <si>
    <t>PROTEA PARK</t>
  </si>
  <si>
    <t>PROTEA VILLAGE</t>
  </si>
  <si>
    <t>PROTEAVALLEY</t>
  </si>
  <si>
    <t>PROTEAVILLE</t>
  </si>
  <si>
    <t>RACING PARK</t>
  </si>
  <si>
    <t>RAVENSMEAD</t>
  </si>
  <si>
    <t>RETREAT</t>
  </si>
  <si>
    <t>RICHMOND</t>
  </si>
  <si>
    <t>RICHMOND ESTATE</t>
  </si>
  <si>
    <t>RICHMOND PARK</t>
  </si>
  <si>
    <t>RICHWOOD</t>
  </si>
  <si>
    <t>RIDGEWORTH</t>
  </si>
  <si>
    <t>RIVERGATE</t>
  </si>
  <si>
    <t>RIVERSIDE</t>
  </si>
  <si>
    <t>RIVERTON ELSIES RIVER</t>
  </si>
  <si>
    <t>ROBINVALE</t>
  </si>
  <si>
    <t>ROCKLANDS</t>
  </si>
  <si>
    <t>ROME GLEN</t>
  </si>
  <si>
    <t>RONDEBOSCH</t>
  </si>
  <si>
    <t>RONDEBOSCH EAST</t>
  </si>
  <si>
    <t>RONDEVLEI PARK</t>
  </si>
  <si>
    <t>ROOSENDAL</t>
  </si>
  <si>
    <t>ROSEBANK</t>
  </si>
  <si>
    <t>ROSEDALE</t>
  </si>
  <si>
    <t>ROSENDAL</t>
  </si>
  <si>
    <t>ROSENPARK</t>
  </si>
  <si>
    <t>ROTTERDAM</t>
  </si>
  <si>
    <t>ROUNDHAY</t>
  </si>
  <si>
    <t>ROUXVILLE</t>
  </si>
  <si>
    <t>ROYAL ASCOT</t>
  </si>
  <si>
    <t>RUGBY</t>
  </si>
  <si>
    <t>RUITERSHOOGTE</t>
  </si>
  <si>
    <t>RUSTDAL</t>
  </si>
  <si>
    <t>RUWARI</t>
  </si>
  <si>
    <t>RUYTERWACHT</t>
  </si>
  <si>
    <t>RYLANDS</t>
  </si>
  <si>
    <t>SABATA DALINDYEBO SQUARE</t>
  </si>
  <si>
    <t>SACK'S CIRCLE INDUSTRIA</t>
  </si>
  <si>
    <t>SALT RIVER</t>
  </si>
  <si>
    <t>SAND INDUSTRIA</t>
  </si>
  <si>
    <t>SANDDRIFT</t>
  </si>
  <si>
    <t>SANDOWN</t>
  </si>
  <si>
    <t>SANDVLEI</t>
  </si>
  <si>
    <t>SANLAMHOF</t>
  </si>
  <si>
    <t>SAREPTA</t>
  </si>
  <si>
    <t>SAXENBURG PARK 1</t>
  </si>
  <si>
    <t>SAXENBURG PARK 2</t>
  </si>
  <si>
    <t>SAXON INDUSTRIAL</t>
  </si>
  <si>
    <t>SAXONSEA</t>
  </si>
  <si>
    <t>SCARBOROUGH</t>
  </si>
  <si>
    <t>SCHONENBERG</t>
  </si>
  <si>
    <t>SCHOONGEZICHT</t>
  </si>
  <si>
    <t>SCHOTSCHEKLOOF</t>
  </si>
  <si>
    <t>SCOTTSDENE</t>
  </si>
  <si>
    <t>SCOTTSVILLE</t>
  </si>
  <si>
    <t>SEA BREEZ PARK</t>
  </si>
  <si>
    <t>SEA POINT</t>
  </si>
  <si>
    <t>SEAWINDS</t>
  </si>
  <si>
    <t>SELBORNE</t>
  </si>
  <si>
    <t>SERCOR PARK</t>
  </si>
  <si>
    <t>SHERWOOD</t>
  </si>
  <si>
    <t>SHIRLEY PARK</t>
  </si>
  <si>
    <t>SIGNAL HILL / LIONS HEAD</t>
  </si>
  <si>
    <t>SILVEROAKS</t>
  </si>
  <si>
    <t>SILVERSANDS</t>
  </si>
  <si>
    <t>SILVERTAS</t>
  </si>
  <si>
    <t>SILVERTOWN</t>
  </si>
  <si>
    <t>SILWERBOOMKLOOF</t>
  </si>
  <si>
    <t>SILWERTOWN</t>
  </si>
  <si>
    <t>SIMON'S TOWN</t>
  </si>
  <si>
    <t>SIR LOWRYS PASS</t>
  </si>
  <si>
    <t>SIR LOWRYS PASS VILLAGE CENTRE</t>
  </si>
  <si>
    <t>SIRROCCO'S</t>
  </si>
  <si>
    <t>SITARI COUNTRY ESTATE</t>
  </si>
  <si>
    <t>SMARTIE TOWN</t>
  </si>
  <si>
    <t>SMITSWINKELBAAI</t>
  </si>
  <si>
    <t>SOMERSET FOREST</t>
  </si>
  <si>
    <t>SOMERSET RIDGE</t>
  </si>
  <si>
    <t>SOMERSET WEST</t>
  </si>
  <si>
    <t>SOMERSET WEST BUSINESS PARK</t>
  </si>
  <si>
    <t>SOMERSET WEST COUNTRY CLUB</t>
  </si>
  <si>
    <t>SOMERSET WEST NATURE RESERVE</t>
  </si>
  <si>
    <t>SONEIKE I</t>
  </si>
  <si>
    <t>SONEIKE II</t>
  </si>
  <si>
    <t>SONKRING</t>
  </si>
  <si>
    <t>SONNEKUIL</t>
  </si>
  <si>
    <t>SONNENDAL</t>
  </si>
  <si>
    <t>SONSTRAAL</t>
  </si>
  <si>
    <t>SONSTRAAL HEIGHTS</t>
  </si>
  <si>
    <t>SOUTHFIELD</t>
  </si>
  <si>
    <t>SOUTHFORK</t>
  </si>
  <si>
    <t>SPANISH FARM</t>
  </si>
  <si>
    <t>SPRINGBOKPARK</t>
  </si>
  <si>
    <t>SPRINGFIELD</t>
  </si>
  <si>
    <t>ST DUMAS</t>
  </si>
  <si>
    <t>ST JAMES</t>
  </si>
  <si>
    <t>ST MICHAELS</t>
  </si>
  <si>
    <t>STEENBERG</t>
  </si>
  <si>
    <t>STEENBRAS VIEW</t>
  </si>
  <si>
    <t>STELLENBERG</t>
  </si>
  <si>
    <t>STELLENBOSCH FARMS</t>
  </si>
  <si>
    <t>STELLENBOSCH FARMS (BLUE DOWNS)</t>
  </si>
  <si>
    <t>STELLENBOSCH FARMS (KUILSRIVIER)</t>
  </si>
  <si>
    <t>STELLENBOSCH UNIV</t>
  </si>
  <si>
    <t>STELLENDALE</t>
  </si>
  <si>
    <t>STELLENRIDGE</t>
  </si>
  <si>
    <t>STELLENRYK</t>
  </si>
  <si>
    <t>STIKLAND</t>
  </si>
  <si>
    <t>STIKLAND HOSPITAAL</t>
  </si>
  <si>
    <t>STIKLAND INDUSTRIA</t>
  </si>
  <si>
    <t>STRAND</t>
  </si>
  <si>
    <t>STRAND GOLF CLUB</t>
  </si>
  <si>
    <t>STRAND INDUSTRIA</t>
  </si>
  <si>
    <t>STRANDFONTEIN</t>
  </si>
  <si>
    <t>STRANDVALE</t>
  </si>
  <si>
    <t>STUART'S HILL</t>
  </si>
  <si>
    <t>SUMMER GREENS</t>
  </si>
  <si>
    <t>SUMMERVILLE</t>
  </si>
  <si>
    <t>SUN CITY</t>
  </si>
  <si>
    <t>SUNBIRD PARK</t>
  </si>
  <si>
    <t>SUNNINGDALE</t>
  </si>
  <si>
    <t>SUNNYDALE</t>
  </si>
  <si>
    <t>SUNRIDGE</t>
  </si>
  <si>
    <t>SUNSET BEACH</t>
  </si>
  <si>
    <t>SUNVALLEY</t>
  </si>
  <si>
    <t>SURREY</t>
  </si>
  <si>
    <t>SYBRAND PARK</t>
  </si>
  <si>
    <t>TABLE MOUNTAIN</t>
  </si>
  <si>
    <t>TABLE VIEW</t>
  </si>
  <si>
    <t>TAFELSIG</t>
  </si>
  <si>
    <t>TAMBOERSKLOOF</t>
  </si>
  <si>
    <t>TEMPERANCE TOWN</t>
  </si>
  <si>
    <t>THE CONIFERS</t>
  </si>
  <si>
    <t>THE CREST</t>
  </si>
  <si>
    <t>THE HAGUE</t>
  </si>
  <si>
    <t>THE LINK</t>
  </si>
  <si>
    <t>THE RANGE</t>
  </si>
  <si>
    <t>THE STABLES</t>
  </si>
  <si>
    <t>THEMBOKWEZI</t>
  </si>
  <si>
    <t>THORNTON</t>
  </si>
  <si>
    <t>THREE ANCHOR BAY</t>
  </si>
  <si>
    <t>TIJGERHOF</t>
  </si>
  <si>
    <t>TOKAI</t>
  </si>
  <si>
    <t>TOWNSEND ESTATE</t>
  </si>
  <si>
    <t>TRANSNET MARSHALLING YARD</t>
  </si>
  <si>
    <t>TRE DONNE</t>
  </si>
  <si>
    <t>TRIANGLE FARM</t>
  </si>
  <si>
    <t>TURTLE CREEK</t>
  </si>
  <si>
    <t>TUSCANY GLEN</t>
  </si>
  <si>
    <t>TYGERBERG HOSPITAL</t>
  </si>
  <si>
    <t>TYGERDAL</t>
  </si>
  <si>
    <t>TYGERVALLEY</t>
  </si>
  <si>
    <t>TYGERVALLEY WATERFRONT</t>
  </si>
  <si>
    <t>UITSIG</t>
  </si>
  <si>
    <t>UITZICHT</t>
  </si>
  <si>
    <t>UMRHABULO TRIANGLE</t>
  </si>
  <si>
    <t>UWC</t>
  </si>
  <si>
    <t>VALHALLA PARK</t>
  </si>
  <si>
    <t>VALMARY PARK</t>
  </si>
  <si>
    <t>VAN DER STEL</t>
  </si>
  <si>
    <t>VAN RIEBEECKSHOF</t>
  </si>
  <si>
    <t>VANGUARD</t>
  </si>
  <si>
    <t>VASCO ESTATE</t>
  </si>
  <si>
    <t>VERGESIG</t>
  </si>
  <si>
    <t>VICTORIA MXENGE</t>
  </si>
  <si>
    <t>VICTORIA PARK</t>
  </si>
  <si>
    <t>VIERLANDEN</t>
  </si>
  <si>
    <t>VIKING VILLAGE</t>
  </si>
  <si>
    <t>VOELVLEI</t>
  </si>
  <si>
    <t>VOGELVLEI</t>
  </si>
  <si>
    <t>VOORBRUG</t>
  </si>
  <si>
    <t>VREDEHOEK</t>
  </si>
  <si>
    <t>VREDEKLOOF</t>
  </si>
  <si>
    <t>VREDEKLOOF EAST</t>
  </si>
  <si>
    <t>VREDEKLOOF HEIGHTS</t>
  </si>
  <si>
    <t>VREDELUST BELLVILLE</t>
  </si>
  <si>
    <t>VREDELUST KUIL RIVER</t>
  </si>
  <si>
    <t>VREDENBERG</t>
  </si>
  <si>
    <t>VREDENZICHT</t>
  </si>
  <si>
    <t>VRYGROND</t>
  </si>
  <si>
    <t>VYGEBOOM</t>
  </si>
  <si>
    <t>WAIROA</t>
  </si>
  <si>
    <t>WALLACEDENE</t>
  </si>
  <si>
    <t>WATERKLOOF, DE BRON EXT 44</t>
  </si>
  <si>
    <t>WEDDERWILL ESTATE</t>
  </si>
  <si>
    <t>WELCOME</t>
  </si>
  <si>
    <t>WELGEDACHT</t>
  </si>
  <si>
    <t>WELGELEGEN</t>
  </si>
  <si>
    <t>WELGEMOED</t>
  </si>
  <si>
    <t>WELGEVONDEN</t>
  </si>
  <si>
    <t>WELLWAY PARK</t>
  </si>
  <si>
    <t>WELLWAY PARK EAST</t>
  </si>
  <si>
    <t>WELMOED CEMETERY</t>
  </si>
  <si>
    <t>WELTEVREDEN VALLEY</t>
  </si>
  <si>
    <t>WEMBLEY PARK</t>
  </si>
  <si>
    <t>WESBANK</t>
  </si>
  <si>
    <t>WESFLEUR</t>
  </si>
  <si>
    <t>WEST BEACH</t>
  </si>
  <si>
    <t>WEST RIDING</t>
  </si>
  <si>
    <t>WESTERDALE</t>
  </si>
  <si>
    <t>WESTGATE</t>
  </si>
  <si>
    <t>WESTLAKE</t>
  </si>
  <si>
    <t>WESTRIDGE</t>
  </si>
  <si>
    <t>WETTON</t>
  </si>
  <si>
    <t>WILDWOOD</t>
  </si>
  <si>
    <t>WIMBLEDON ESTATE</t>
  </si>
  <si>
    <t>WINDERMERE</t>
  </si>
  <si>
    <t>WINDSOR ESTATE</t>
  </si>
  <si>
    <t>WINDSOR PARK ESTATE</t>
  </si>
  <si>
    <t>WINGFIELD</t>
  </si>
  <si>
    <t>WINSLOW</t>
  </si>
  <si>
    <t>WITSAND</t>
  </si>
  <si>
    <t>WOODLANDS</t>
  </si>
  <si>
    <t>WOODSTOCK</t>
  </si>
  <si>
    <t>WORLD'S VIEW</t>
  </si>
  <si>
    <t>WP PARK</t>
  </si>
  <si>
    <t>WP SHOWGROUNDS</t>
  </si>
  <si>
    <t>WYNBERG</t>
  </si>
  <si>
    <t>WYNBERG NU</t>
  </si>
  <si>
    <t>WYNLAND INDUSTRIAL PARK</t>
  </si>
  <si>
    <t>YSTERPLAAT</t>
  </si>
  <si>
    <t>ZEEKOEIVLEI</t>
  </si>
  <si>
    <t>ZEVENDAL</t>
  </si>
  <si>
    <t>ZEVENWACHT COUNTRY ESTATE</t>
  </si>
  <si>
    <t>ZEVENWACHT FARM VILLAGE</t>
  </si>
  <si>
    <t>ZEVENWACHT MALL</t>
  </si>
  <si>
    <t>ZEVENWACHT RETIREMENT VILLAGE</t>
  </si>
  <si>
    <t>ZEVENZICHT</t>
  </si>
  <si>
    <t>ZONNEBLOEM</t>
  </si>
  <si>
    <t>ZOO PARK</t>
  </si>
  <si>
    <t>#</t>
  </si>
  <si>
    <t>Result</t>
  </si>
  <si>
    <t>Division Number</t>
  </si>
  <si>
    <t>Date</t>
  </si>
  <si>
    <t>Quantity in KL (Kilolitres)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</si>
</sst>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00;\-#,##0.000;#,##0.000;@"/>
    <numFmt numFmtId="165" formatCode="#,##0.000&quot; KL&quot;;\-#,##0.000&quot; KL&quot;;#,##0.000&quot; KL&quot;;@"/>
    <numFmt numFmtId="166" formatCode="#,##0.000&quot; L&quot;;\-#,##0.000&quot; L&quot;;#,##0.000&quot; L&quot;;@"/>
    <numFmt numFmtId="167" formatCode="&quot;*&quot;;&quot;*&quot;;&quot;*&quot;;"/>
    <numFmt numFmtId="168" formatCode="&quot;R&quot;#,##0.00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AEAEAE"/>
      </left>
      <right style="medium">
        <color rgb="FFAEAEAE"/>
      </right>
      <top style="medium">
        <color rgb="FFAEAEAE"/>
      </top>
      <bottom style="medium">
        <color rgb="FFAEAEAE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14" fontId="0" fillId="0" borderId="0" xfId="0" applyNumberFormat="1"/>
    <xf numFmtId="0" fontId="7" fillId="3" borderId="0" xfId="7"/>
    <xf numFmtId="49" fontId="7" fillId="3" borderId="10" xfId="7" applyNumberFormat="1" applyBorder="1" applyAlignment="1">
      <alignment horizontal="left" vertical="center" wrapText="1"/>
    </xf>
    <xf numFmtId="165" fontId="7" fillId="3" borderId="10" xfId="7" applyNumberFormat="1" applyBorder="1" applyAlignment="1">
      <alignment horizontal="right" vertical="center" wrapText="1"/>
    </xf>
    <xf numFmtId="164" fontId="7" fillId="3" borderId="10" xfId="7" applyNumberFormat="1" applyBorder="1" applyAlignment="1">
      <alignment horizontal="right" vertical="center" wrapText="1"/>
    </xf>
    <xf numFmtId="166" fontId="7" fillId="3" borderId="10" xfId="7" applyNumberFormat="1" applyBorder="1" applyAlignment="1">
      <alignment horizontal="right" vertical="center" wrapText="1"/>
    </xf>
    <xf numFmtId="167" fontId="7" fillId="3" borderId="10" xfId="7" applyNumberFormat="1" applyBorder="1" applyAlignment="1">
      <alignment horizontal="right" vertical="center" wrapText="1"/>
    </xf>
    <xf numFmtId="2" fontId="0" fillId="0" borderId="0" xfId="0" applyNumberFormat="1"/>
    <xf numFmtId="168" fontId="0" fillId="0" borderId="0" xfId="0" applyNumberFormat="1"/>
    <xf numFmtId="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7">
    <dxf>
      <numFmt numFmtId="1" formatCode="0"/>
    </dxf>
    <dxf>
      <numFmt numFmtId="2" formatCode="0.00"/>
    </dxf>
    <dxf>
      <numFmt numFmtId="168" formatCode="&quot;R&quot;#,##0.00"/>
    </dxf>
    <dxf>
      <numFmt numFmtId="2" formatCode="0.00"/>
    </dxf>
    <dxf>
      <numFmt numFmtId="19" formatCode="yyyy/mm/dd"/>
    </dxf>
    <dxf>
      <border outline="0">
        <right style="medium">
          <color rgb="FFAEAEAE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numFmt numFmtId="30" formatCode="@"/>
      <fill>
        <patternFill patternType="solid">
          <fgColor indexed="64"/>
          <bgColor rgb="FFC6C4C4"/>
        </patternFill>
      </fill>
      <alignment horizontal="left" vertical="center" textRotation="0" wrapText="1" indent="0" justifyLastLine="0" shrinkToFit="0" readingOrder="0"/>
      <border diagonalUp="0" diagonalDown="0" outline="0">
        <left style="medium">
          <color rgb="FFAEAEAE"/>
        </left>
        <right style="medium">
          <color rgb="FFAEAEAE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I3150" totalsRowShown="0" headerRowDxfId="6" tableBorderDxfId="5">
  <autoFilter ref="A1:I3150" xr:uid="{00000000-0009-0000-0100-000001000000}"/>
  <tableColumns count="9">
    <tableColumn id="1" xr3:uid="{00000000-0010-0000-0000-000001000000}" name="Date" dataDxfId="4" dataCellStyle="Normal"/>
    <tableColumn id="2" xr3:uid="{00000000-0010-0000-0000-000002000000}" name="Division Number" dataDxfId="3" dataCellStyle="Normal"/>
    <tableColumn id="3" xr3:uid="{00000000-0010-0000-0000-000003000000}" name="Division" dataCellStyle="Normal"/>
    <tableColumn id="4" xr3:uid="{00000000-0010-0000-0000-000004000000}" name="Location" dataCellStyle="Normal"/>
    <tableColumn id="5" xr3:uid="{00000000-0010-0000-0000-000005000000}" name="Billing Class" dataCellStyle="Normal"/>
    <tableColumn id="6" xr3:uid="{00000000-0010-0000-0000-000006000000}" name="Amount" dataDxfId="2" dataCellStyle="Normal"/>
    <tableColumn id="7" xr3:uid="{00000000-0010-0000-0000-000007000000}" name="Quantity" dataCellStyle="Bad"/>
    <tableColumn id="8" xr3:uid="{00000000-0010-0000-0000-000008000000}" name="Quantity in KL (Kilolitres)" dataDxfId="1" dataCellStyle="Normal">
      <calculatedColumnFormula>IF(ISNUMBER(SEARCH("Domestic customer", E2)),G2/1000,G2)</calculatedColumnFormula>
    </tableColumn>
    <tableColumn id="9" xr3:uid="{00000000-0010-0000-0000-000009000000}" name="Number of Contract Accounts" dataDxfId="0" dataCellStyle="Normal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3150"/>
  <sheetViews>
    <sheetView tabSelected="1" workbookViewId="0">
      <selection activeCell="H2" sqref="H2"/>
    </sheetView>
  </sheetViews>
  <sheetFormatPr defaultRowHeight="15" x14ac:dyDescent="0.25"/>
  <cols>
    <col min="1" max="1" width="17.42578125" style="1" customWidth="1"/>
    <col min="2" max="2" width="18.28515625" style="8" customWidth="1"/>
    <col min="3" max="3" width="10.5703125" customWidth="1"/>
    <col min="5" max="5" width="11.28515625" customWidth="1"/>
    <col min="6" max="6" width="23.28515625" style="9" customWidth="1"/>
    <col min="7" max="7" width="25.140625" style="2" customWidth="1"/>
    <col min="8" max="8" width="24.42578125" style="8" customWidth="1"/>
    <col min="9" max="9" width="23.7109375" style="10" customWidth="1"/>
  </cols>
  <sheetData>
    <row r="1" spans="1:9" ht="15.75" thickBot="1" x14ac:dyDescent="0.3">
      <c r="A1" s="1" t="s">
        <v>785</v>
      </c>
      <c r="B1" s="8" t="s">
        <v>784</v>
      </c>
      <c r="C1" t="s">
        <v>3</v>
      </c>
      <c r="D1" t="s">
        <v>4</v>
      </c>
      <c r="E1" t="s">
        <v>5</v>
      </c>
      <c r="F1" s="9" t="s">
        <v>0</v>
      </c>
      <c r="G1" s="3" t="s">
        <v>1</v>
      </c>
      <c r="H1" s="8" t="s">
        <v>786</v>
      </c>
      <c r="I1" s="10" t="s">
        <v>2</v>
      </c>
    </row>
    <row r="2" spans="1:9" ht="15.75" thickBot="1" x14ac:dyDescent="0.3">
      <c r="A2" s="1">
        <v>43800</v>
      </c>
      <c r="B2" s="8" t="s">
        <v>6</v>
      </c>
      <c r="C2" t="s">
        <v>7</v>
      </c>
      <c r="D2" t="s">
        <v>8</v>
      </c>
      <c r="E2" t="s">
        <v>9</v>
      </c>
      <c r="F2" s="9">
        <v>248712.6</v>
      </c>
      <c r="G2" s="4">
        <v>8990</v>
      </c>
      <c r="H2" s="8">
        <f>IF(ISNUMBER(SEARCH("Domestic customer", E2)),G2/1000,G2)</f>
        <v>8990</v>
      </c>
      <c r="I2" s="10">
        <v>3</v>
      </c>
    </row>
    <row r="3" spans="1:9" ht="15.75" thickBot="1" x14ac:dyDescent="0.3">
      <c r="A3" s="1">
        <v>43800</v>
      </c>
      <c r="B3" s="8" t="s">
        <v>6</v>
      </c>
      <c r="C3" t="s">
        <v>7</v>
      </c>
      <c r="D3" t="s">
        <v>8</v>
      </c>
      <c r="E3" t="s">
        <v>10</v>
      </c>
      <c r="F3" s="9">
        <v>81.569999999999993</v>
      </c>
      <c r="G3" s="5">
        <v>0</v>
      </c>
      <c r="H3" s="8">
        <f t="shared" ref="H2:H65" si="0">IF(ISNUMBER(SEARCH("Domestic customer", E3)),G3/1000,G3)</f>
        <v>0</v>
      </c>
      <c r="I3" s="10">
        <v>1</v>
      </c>
    </row>
    <row r="4" spans="1:9" ht="15.75" thickBot="1" x14ac:dyDescent="0.3">
      <c r="A4" s="1">
        <v>43800</v>
      </c>
      <c r="B4" s="8" t="s">
        <v>6</v>
      </c>
      <c r="C4" t="s">
        <v>7</v>
      </c>
      <c r="D4" t="s">
        <v>8</v>
      </c>
      <c r="E4" t="s">
        <v>11</v>
      </c>
      <c r="F4" s="9">
        <v>283004.57</v>
      </c>
      <c r="G4" s="4">
        <v>10150</v>
      </c>
      <c r="H4" s="8">
        <f t="shared" si="0"/>
        <v>10150</v>
      </c>
      <c r="I4" s="10">
        <v>2</v>
      </c>
    </row>
    <row r="5" spans="1:9" ht="15.75" thickBot="1" x14ac:dyDescent="0.3">
      <c r="A5" s="1">
        <v>43800</v>
      </c>
      <c r="B5" s="8" t="s">
        <v>6</v>
      </c>
      <c r="C5" t="s">
        <v>7</v>
      </c>
      <c r="D5" t="s">
        <v>12</v>
      </c>
      <c r="E5" t="s">
        <v>10</v>
      </c>
      <c r="F5" s="9">
        <v>74164.08</v>
      </c>
      <c r="G5" s="6">
        <v>2485741.628</v>
      </c>
      <c r="H5" s="8">
        <f t="shared" si="0"/>
        <v>2485.7416280000002</v>
      </c>
      <c r="I5" s="10">
        <v>282</v>
      </c>
    </row>
    <row r="6" spans="1:9" ht="15.75" thickBot="1" x14ac:dyDescent="0.3">
      <c r="A6" s="1">
        <v>43800</v>
      </c>
      <c r="B6" s="8" t="s">
        <v>6</v>
      </c>
      <c r="C6" t="s">
        <v>7</v>
      </c>
      <c r="D6" t="s">
        <v>12</v>
      </c>
      <c r="E6" t="s">
        <v>11</v>
      </c>
      <c r="F6" s="9">
        <v>181.57</v>
      </c>
      <c r="G6" s="4">
        <v>0</v>
      </c>
      <c r="H6" s="8">
        <f t="shared" si="0"/>
        <v>0</v>
      </c>
      <c r="I6" s="10">
        <v>2</v>
      </c>
    </row>
    <row r="7" spans="1:9" ht="15.75" thickBot="1" x14ac:dyDescent="0.3">
      <c r="A7" s="1">
        <v>43800</v>
      </c>
      <c r="B7" s="8" t="s">
        <v>6</v>
      </c>
      <c r="C7" t="s">
        <v>7</v>
      </c>
      <c r="D7" t="s">
        <v>12</v>
      </c>
      <c r="E7" t="s">
        <v>13</v>
      </c>
      <c r="F7" s="9">
        <v>1304.45</v>
      </c>
      <c r="G7" s="6">
        <v>43000</v>
      </c>
      <c r="H7" s="8">
        <f t="shared" si="0"/>
        <v>43000</v>
      </c>
      <c r="I7" s="10">
        <v>4</v>
      </c>
    </row>
    <row r="8" spans="1:9" ht="15.75" thickBot="1" x14ac:dyDescent="0.3">
      <c r="A8" s="1">
        <v>43800</v>
      </c>
      <c r="B8" s="8" t="s">
        <v>6</v>
      </c>
      <c r="C8" t="s">
        <v>7</v>
      </c>
      <c r="D8" t="s">
        <v>14</v>
      </c>
      <c r="E8" t="s">
        <v>9</v>
      </c>
      <c r="F8" s="9">
        <v>1714.64</v>
      </c>
      <c r="G8" s="4">
        <v>40</v>
      </c>
      <c r="H8" s="8">
        <f t="shared" si="0"/>
        <v>40</v>
      </c>
      <c r="I8" s="10">
        <v>3</v>
      </c>
    </row>
    <row r="9" spans="1:9" ht="15.75" thickBot="1" x14ac:dyDescent="0.3">
      <c r="A9" s="1">
        <v>43800</v>
      </c>
      <c r="B9" s="8" t="s">
        <v>6</v>
      </c>
      <c r="C9" t="s">
        <v>7</v>
      </c>
      <c r="D9" t="s">
        <v>14</v>
      </c>
      <c r="E9" t="s">
        <v>15</v>
      </c>
      <c r="F9" s="9">
        <v>800688.1</v>
      </c>
      <c r="G9" s="7">
        <v>14955345.473999999</v>
      </c>
      <c r="H9" s="8">
        <f t="shared" si="0"/>
        <v>14955345.473999999</v>
      </c>
      <c r="I9" s="10">
        <v>116</v>
      </c>
    </row>
    <row r="10" spans="1:9" ht="15.75" thickBot="1" x14ac:dyDescent="0.3">
      <c r="A10" s="1">
        <v>43800</v>
      </c>
      <c r="B10" s="8" t="s">
        <v>6</v>
      </c>
      <c r="C10" t="s">
        <v>7</v>
      </c>
      <c r="D10" t="s">
        <v>14</v>
      </c>
      <c r="E10" t="s">
        <v>10</v>
      </c>
      <c r="F10" s="9">
        <v>72772.240000000005</v>
      </c>
      <c r="G10" s="6">
        <v>3234120.3820000002</v>
      </c>
      <c r="H10" s="8">
        <f t="shared" si="0"/>
        <v>3234.1203820000001</v>
      </c>
      <c r="I10" s="10">
        <v>374</v>
      </c>
    </row>
    <row r="11" spans="1:9" ht="15.75" thickBot="1" x14ac:dyDescent="0.3">
      <c r="A11" s="1">
        <v>43800</v>
      </c>
      <c r="B11" s="8" t="s">
        <v>6</v>
      </c>
      <c r="C11" t="s">
        <v>7</v>
      </c>
      <c r="D11" t="s">
        <v>14</v>
      </c>
      <c r="E11" t="s">
        <v>11</v>
      </c>
      <c r="F11" s="9">
        <v>14025.82</v>
      </c>
      <c r="G11" s="7">
        <v>-23793.715</v>
      </c>
      <c r="H11" s="8">
        <f t="shared" si="0"/>
        <v>-23793.715</v>
      </c>
      <c r="I11" s="10">
        <v>9</v>
      </c>
    </row>
    <row r="12" spans="1:9" ht="15.75" thickBot="1" x14ac:dyDescent="0.3">
      <c r="A12" s="1">
        <v>43466</v>
      </c>
      <c r="B12" s="8" t="s">
        <v>6</v>
      </c>
      <c r="C12" t="s">
        <v>7</v>
      </c>
      <c r="D12" t="s">
        <v>14</v>
      </c>
      <c r="E12" t="s">
        <v>13</v>
      </c>
      <c r="F12" s="9">
        <v>280.61</v>
      </c>
      <c r="G12" s="6">
        <v>10000</v>
      </c>
      <c r="H12" s="8">
        <f t="shared" si="0"/>
        <v>10000</v>
      </c>
      <c r="I12" s="10">
        <v>1</v>
      </c>
    </row>
    <row r="13" spans="1:9" ht="15.75" thickBot="1" x14ac:dyDescent="0.3">
      <c r="A13" s="1">
        <v>43466</v>
      </c>
      <c r="B13" s="8" t="s">
        <v>6</v>
      </c>
      <c r="C13" t="s">
        <v>7</v>
      </c>
      <c r="D13" t="s">
        <v>16</v>
      </c>
      <c r="E13" t="s">
        <v>9</v>
      </c>
      <c r="F13" s="9">
        <v>357956.47</v>
      </c>
      <c r="G13" s="4">
        <v>10760</v>
      </c>
      <c r="H13" s="8">
        <f t="shared" si="0"/>
        <v>10760</v>
      </c>
      <c r="I13" s="10">
        <v>39</v>
      </c>
    </row>
    <row r="14" spans="1:9" ht="15.75" thickBot="1" x14ac:dyDescent="0.3">
      <c r="A14" s="1">
        <v>43466</v>
      </c>
      <c r="B14" s="8" t="s">
        <v>6</v>
      </c>
      <c r="C14" t="s">
        <v>7</v>
      </c>
      <c r="D14" t="s">
        <v>16</v>
      </c>
      <c r="E14" t="s">
        <v>10</v>
      </c>
      <c r="F14" s="9">
        <v>25969.14</v>
      </c>
      <c r="G14" s="7">
        <v>287075.848</v>
      </c>
      <c r="H14" s="8">
        <f t="shared" si="0"/>
        <v>287.07584800000001</v>
      </c>
      <c r="I14" s="10">
        <v>31</v>
      </c>
    </row>
    <row r="15" spans="1:9" ht="15.75" thickBot="1" x14ac:dyDescent="0.3">
      <c r="A15" s="1">
        <v>43800</v>
      </c>
      <c r="B15" s="8" t="s">
        <v>6</v>
      </c>
      <c r="C15" t="s">
        <v>7</v>
      </c>
      <c r="D15" t="s">
        <v>16</v>
      </c>
      <c r="E15" t="s">
        <v>17</v>
      </c>
      <c r="F15" s="9">
        <v>52227.65</v>
      </c>
      <c r="G15" s="4">
        <v>873</v>
      </c>
      <c r="H15" s="8">
        <f t="shared" si="0"/>
        <v>873</v>
      </c>
      <c r="I15" s="10">
        <v>18</v>
      </c>
    </row>
    <row r="16" spans="1:9" ht="15.75" thickBot="1" x14ac:dyDescent="0.3">
      <c r="A16" s="1">
        <v>43800</v>
      </c>
      <c r="B16" s="8" t="s">
        <v>6</v>
      </c>
      <c r="C16" t="s">
        <v>7</v>
      </c>
      <c r="D16" t="s">
        <v>16</v>
      </c>
      <c r="E16" t="s">
        <v>11</v>
      </c>
      <c r="F16" s="9">
        <v>14745.42</v>
      </c>
      <c r="G16" s="4">
        <v>228</v>
      </c>
      <c r="H16" s="8">
        <f t="shared" si="0"/>
        <v>228</v>
      </c>
      <c r="I16" s="10">
        <v>18</v>
      </c>
    </row>
    <row r="17" spans="1:9" ht="15.75" thickBot="1" x14ac:dyDescent="0.3">
      <c r="A17" s="1">
        <v>43800</v>
      </c>
      <c r="B17" s="8" t="s">
        <v>6</v>
      </c>
      <c r="C17" t="s">
        <v>7</v>
      </c>
      <c r="D17" t="s">
        <v>16</v>
      </c>
      <c r="E17" t="s">
        <v>13</v>
      </c>
      <c r="F17" s="9">
        <v>946.92</v>
      </c>
      <c r="G17" s="4">
        <v>31</v>
      </c>
      <c r="H17" s="8">
        <f t="shared" si="0"/>
        <v>31</v>
      </c>
      <c r="I17" s="10">
        <v>1</v>
      </c>
    </row>
    <row r="18" spans="1:9" ht="15.75" thickBot="1" x14ac:dyDescent="0.3">
      <c r="A18" s="1">
        <v>43800</v>
      </c>
      <c r="B18" s="8" t="s">
        <v>6</v>
      </c>
      <c r="C18" t="s">
        <v>7</v>
      </c>
      <c r="D18" t="s">
        <v>18</v>
      </c>
      <c r="E18" t="s">
        <v>9</v>
      </c>
      <c r="F18" s="9">
        <v>2394.88</v>
      </c>
      <c r="G18" s="4">
        <v>84</v>
      </c>
      <c r="H18" s="8">
        <f t="shared" si="0"/>
        <v>84</v>
      </c>
      <c r="I18" s="10">
        <v>2</v>
      </c>
    </row>
    <row r="19" spans="1:9" ht="15.75" thickBot="1" x14ac:dyDescent="0.3">
      <c r="A19" s="1">
        <v>43466</v>
      </c>
      <c r="B19" s="8" t="s">
        <v>6</v>
      </c>
      <c r="C19" t="s">
        <v>7</v>
      </c>
      <c r="D19" t="s">
        <v>18</v>
      </c>
      <c r="E19" t="s">
        <v>15</v>
      </c>
      <c r="F19" s="9">
        <v>625</v>
      </c>
      <c r="G19" s="4">
        <v>0</v>
      </c>
      <c r="H19" s="8">
        <f t="shared" si="0"/>
        <v>0</v>
      </c>
      <c r="I19" s="10">
        <v>1</v>
      </c>
    </row>
    <row r="20" spans="1:9" ht="15.75" thickBot="1" x14ac:dyDescent="0.3">
      <c r="A20" s="1">
        <v>43466</v>
      </c>
      <c r="B20" s="8" t="s">
        <v>6</v>
      </c>
      <c r="C20" t="s">
        <v>7</v>
      </c>
      <c r="D20" t="s">
        <v>18</v>
      </c>
      <c r="E20" t="s">
        <v>10</v>
      </c>
      <c r="F20" s="9">
        <v>52200.52</v>
      </c>
      <c r="G20" s="6">
        <v>2051959.5</v>
      </c>
      <c r="H20" s="8">
        <f t="shared" si="0"/>
        <v>2051.9594999999999</v>
      </c>
      <c r="I20" s="10">
        <v>106</v>
      </c>
    </row>
    <row r="21" spans="1:9" ht="15.75" thickBot="1" x14ac:dyDescent="0.3">
      <c r="A21" s="1">
        <v>43466</v>
      </c>
      <c r="B21" s="8" t="s">
        <v>6</v>
      </c>
      <c r="C21" t="s">
        <v>7</v>
      </c>
      <c r="D21" t="s">
        <v>19</v>
      </c>
      <c r="E21" t="s">
        <v>9</v>
      </c>
      <c r="F21" s="9">
        <v>5730.64</v>
      </c>
      <c r="G21" s="4">
        <v>202</v>
      </c>
      <c r="H21" s="8">
        <f t="shared" si="0"/>
        <v>202</v>
      </c>
      <c r="I21" s="10">
        <v>2</v>
      </c>
    </row>
    <row r="22" spans="1:9" ht="15.75" thickBot="1" x14ac:dyDescent="0.3">
      <c r="A22" s="1">
        <v>43800</v>
      </c>
      <c r="B22" s="8" t="s">
        <v>6</v>
      </c>
      <c r="C22" t="s">
        <v>7</v>
      </c>
      <c r="D22" t="s">
        <v>19</v>
      </c>
      <c r="E22" t="s">
        <v>15</v>
      </c>
      <c r="F22" s="9">
        <v>56.06</v>
      </c>
      <c r="G22" s="4">
        <v>2</v>
      </c>
      <c r="H22" s="8">
        <f t="shared" si="0"/>
        <v>2</v>
      </c>
      <c r="I22" s="10">
        <v>1</v>
      </c>
    </row>
    <row r="23" spans="1:9" ht="15.75" thickBot="1" x14ac:dyDescent="0.3">
      <c r="A23" s="1">
        <v>43800</v>
      </c>
      <c r="B23" s="8" t="s">
        <v>6</v>
      </c>
      <c r="C23" t="s">
        <v>7</v>
      </c>
      <c r="D23" t="s">
        <v>19</v>
      </c>
      <c r="E23" t="s">
        <v>10</v>
      </c>
      <c r="F23" s="9">
        <v>81939.47</v>
      </c>
      <c r="G23" s="6">
        <v>2832622.9109999998</v>
      </c>
      <c r="H23" s="8">
        <f t="shared" si="0"/>
        <v>2832.6229109999999</v>
      </c>
      <c r="I23" s="10">
        <v>216</v>
      </c>
    </row>
    <row r="24" spans="1:9" ht="15.75" thickBot="1" x14ac:dyDescent="0.3">
      <c r="A24" s="1">
        <v>43800</v>
      </c>
      <c r="B24" s="8" t="s">
        <v>6</v>
      </c>
      <c r="C24" t="s">
        <v>7</v>
      </c>
      <c r="D24" t="s">
        <v>19</v>
      </c>
      <c r="E24" t="s">
        <v>11</v>
      </c>
      <c r="F24" s="9">
        <v>81.569999999999993</v>
      </c>
      <c r="G24" s="5">
        <v>0</v>
      </c>
      <c r="H24" s="8">
        <f t="shared" si="0"/>
        <v>0</v>
      </c>
      <c r="I24" s="10">
        <v>1</v>
      </c>
    </row>
    <row r="25" spans="1:9" ht="15.75" thickBot="1" x14ac:dyDescent="0.3">
      <c r="A25" s="1">
        <v>43800</v>
      </c>
      <c r="B25" s="8" t="s">
        <v>6</v>
      </c>
      <c r="C25" t="s">
        <v>7</v>
      </c>
      <c r="D25" t="s">
        <v>19</v>
      </c>
      <c r="E25" t="s">
        <v>13</v>
      </c>
      <c r="F25" s="9">
        <v>-516.39</v>
      </c>
      <c r="G25" s="6">
        <v>-35000</v>
      </c>
      <c r="H25" s="8">
        <f t="shared" si="0"/>
        <v>-35000</v>
      </c>
      <c r="I25" s="10">
        <v>1</v>
      </c>
    </row>
    <row r="26" spans="1:9" ht="15.75" thickBot="1" x14ac:dyDescent="0.3">
      <c r="A26" s="1">
        <v>43466</v>
      </c>
      <c r="B26" s="8" t="s">
        <v>6</v>
      </c>
      <c r="C26" t="s">
        <v>7</v>
      </c>
      <c r="D26" t="s">
        <v>20</v>
      </c>
      <c r="E26" t="s">
        <v>15</v>
      </c>
      <c r="F26" s="9">
        <v>56</v>
      </c>
      <c r="G26" s="4">
        <v>0</v>
      </c>
      <c r="H26" s="8">
        <f t="shared" si="0"/>
        <v>0</v>
      </c>
      <c r="I26" s="10">
        <v>1</v>
      </c>
    </row>
    <row r="27" spans="1:9" ht="15.75" thickBot="1" x14ac:dyDescent="0.3">
      <c r="A27" s="1">
        <v>43466</v>
      </c>
      <c r="B27" s="8" t="s">
        <v>6</v>
      </c>
      <c r="C27" t="s">
        <v>7</v>
      </c>
      <c r="D27" t="s">
        <v>20</v>
      </c>
      <c r="E27" t="s">
        <v>10</v>
      </c>
      <c r="F27" s="9">
        <v>105219.46</v>
      </c>
      <c r="G27" s="6">
        <v>3739799.6469999999</v>
      </c>
      <c r="H27" s="8">
        <f t="shared" si="0"/>
        <v>3739.7996469999998</v>
      </c>
      <c r="I27" s="10">
        <v>349</v>
      </c>
    </row>
    <row r="28" spans="1:9" ht="15.75" thickBot="1" x14ac:dyDescent="0.3">
      <c r="A28" s="1">
        <v>43466</v>
      </c>
      <c r="B28" s="8" t="s">
        <v>6</v>
      </c>
      <c r="C28" t="s">
        <v>7</v>
      </c>
      <c r="D28" t="s">
        <v>20</v>
      </c>
      <c r="E28" t="s">
        <v>11</v>
      </c>
      <c r="F28" s="9">
        <v>1394.29</v>
      </c>
      <c r="G28" s="4">
        <v>46</v>
      </c>
      <c r="H28" s="8">
        <f t="shared" si="0"/>
        <v>46</v>
      </c>
      <c r="I28" s="10">
        <v>2</v>
      </c>
    </row>
    <row r="29" spans="1:9" ht="15.75" thickBot="1" x14ac:dyDescent="0.3">
      <c r="A29" s="1">
        <v>43800</v>
      </c>
      <c r="B29" s="8" t="s">
        <v>6</v>
      </c>
      <c r="C29" t="s">
        <v>7</v>
      </c>
      <c r="D29" t="s">
        <v>21</v>
      </c>
      <c r="E29" t="s">
        <v>15</v>
      </c>
      <c r="F29" s="9">
        <v>168</v>
      </c>
      <c r="G29" s="4">
        <v>0</v>
      </c>
      <c r="H29" s="8">
        <f t="shared" si="0"/>
        <v>0</v>
      </c>
      <c r="I29" s="10">
        <v>3</v>
      </c>
    </row>
    <row r="30" spans="1:9" ht="15.75" thickBot="1" x14ac:dyDescent="0.3">
      <c r="A30" s="1">
        <v>43800</v>
      </c>
      <c r="B30" s="8" t="s">
        <v>6</v>
      </c>
      <c r="C30" t="s">
        <v>7</v>
      </c>
      <c r="D30" t="s">
        <v>21</v>
      </c>
      <c r="E30" t="s">
        <v>10</v>
      </c>
      <c r="F30" s="9">
        <v>108457.42</v>
      </c>
      <c r="G30" s="6">
        <v>4211986.1569999997</v>
      </c>
      <c r="H30" s="8">
        <f t="shared" si="0"/>
        <v>4211.9861569999994</v>
      </c>
      <c r="I30" s="10">
        <v>290</v>
      </c>
    </row>
    <row r="31" spans="1:9" ht="15.75" thickBot="1" x14ac:dyDescent="0.3">
      <c r="A31" s="1">
        <v>43800</v>
      </c>
      <c r="B31" s="8" t="s">
        <v>6</v>
      </c>
      <c r="C31" t="s">
        <v>7</v>
      </c>
      <c r="D31" t="s">
        <v>21</v>
      </c>
      <c r="E31" t="s">
        <v>11</v>
      </c>
      <c r="F31" s="9">
        <v>2232.3200000000002</v>
      </c>
      <c r="G31" s="4">
        <v>76</v>
      </c>
      <c r="H31" s="8">
        <f t="shared" si="0"/>
        <v>76</v>
      </c>
      <c r="I31" s="10">
        <v>2</v>
      </c>
    </row>
    <row r="32" spans="1:9" ht="15.75" thickBot="1" x14ac:dyDescent="0.3">
      <c r="A32" s="1">
        <v>43800</v>
      </c>
      <c r="B32" s="8" t="s">
        <v>6</v>
      </c>
      <c r="C32" t="s">
        <v>7</v>
      </c>
      <c r="D32" t="s">
        <v>21</v>
      </c>
      <c r="E32" t="s">
        <v>13</v>
      </c>
      <c r="F32" s="9">
        <v>1294.9000000000001</v>
      </c>
      <c r="G32" s="6">
        <v>34000</v>
      </c>
      <c r="H32" s="8">
        <f t="shared" si="0"/>
        <v>34000</v>
      </c>
      <c r="I32" s="10">
        <v>3</v>
      </c>
    </row>
    <row r="33" spans="1:9" ht="15.75" thickBot="1" x14ac:dyDescent="0.3">
      <c r="A33" s="1">
        <v>43466</v>
      </c>
      <c r="B33" s="8" t="s">
        <v>6</v>
      </c>
      <c r="C33" t="s">
        <v>7</v>
      </c>
      <c r="D33" t="s">
        <v>22</v>
      </c>
      <c r="E33" t="s">
        <v>10</v>
      </c>
      <c r="F33" s="9">
        <v>129203.35</v>
      </c>
      <c r="G33" s="6">
        <v>4624076.6349999998</v>
      </c>
      <c r="H33" s="8">
        <f t="shared" si="0"/>
        <v>4624.0766349999994</v>
      </c>
      <c r="I33" s="10">
        <v>405</v>
      </c>
    </row>
    <row r="34" spans="1:9" ht="15.75" thickBot="1" x14ac:dyDescent="0.3">
      <c r="A34" s="1">
        <v>43466</v>
      </c>
      <c r="B34" s="8" t="s">
        <v>6</v>
      </c>
      <c r="C34" t="s">
        <v>7</v>
      </c>
      <c r="D34" t="s">
        <v>22</v>
      </c>
      <c r="E34" t="s">
        <v>11</v>
      </c>
      <c r="F34" s="9">
        <v>3891.72</v>
      </c>
      <c r="G34" s="6">
        <v>165000</v>
      </c>
      <c r="H34" s="8">
        <f t="shared" si="0"/>
        <v>165000</v>
      </c>
      <c r="I34" s="10">
        <v>2</v>
      </c>
    </row>
    <row r="35" spans="1:9" ht="15.75" thickBot="1" x14ac:dyDescent="0.3">
      <c r="A35" s="1">
        <v>43466</v>
      </c>
      <c r="B35" s="8" t="s">
        <v>6</v>
      </c>
      <c r="C35" t="s">
        <v>7</v>
      </c>
      <c r="D35" t="s">
        <v>22</v>
      </c>
      <c r="E35" t="s">
        <v>13</v>
      </c>
      <c r="F35" s="9">
        <v>891.5</v>
      </c>
      <c r="G35" s="6">
        <v>30000</v>
      </c>
      <c r="H35" s="8">
        <f t="shared" si="0"/>
        <v>30000</v>
      </c>
      <c r="I35" s="10">
        <v>4</v>
      </c>
    </row>
    <row r="36" spans="1:9" ht="15.75" thickBot="1" x14ac:dyDescent="0.3">
      <c r="A36" s="1">
        <v>43800</v>
      </c>
      <c r="B36" s="8" t="s">
        <v>6</v>
      </c>
      <c r="C36" t="s">
        <v>7</v>
      </c>
      <c r="D36" t="s">
        <v>23</v>
      </c>
      <c r="E36" t="s">
        <v>10</v>
      </c>
      <c r="F36" s="9">
        <v>48162.82</v>
      </c>
      <c r="G36" s="6">
        <v>1790861.831</v>
      </c>
      <c r="H36" s="8">
        <f t="shared" si="0"/>
        <v>1790.8618309999999</v>
      </c>
      <c r="I36" s="10">
        <v>176</v>
      </c>
    </row>
    <row r="37" spans="1:9" ht="15.75" thickBot="1" x14ac:dyDescent="0.3">
      <c r="A37" s="1">
        <v>43800</v>
      </c>
      <c r="B37" s="8" t="s">
        <v>6</v>
      </c>
      <c r="C37" t="s">
        <v>7</v>
      </c>
      <c r="D37" t="s">
        <v>23</v>
      </c>
      <c r="E37" t="s">
        <v>11</v>
      </c>
      <c r="F37" s="9">
        <v>163.13999999999999</v>
      </c>
      <c r="G37" s="5">
        <v>0</v>
      </c>
      <c r="H37" s="8">
        <f t="shared" si="0"/>
        <v>0</v>
      </c>
      <c r="I37" s="10">
        <v>2</v>
      </c>
    </row>
    <row r="38" spans="1:9" ht="15.75" thickBot="1" x14ac:dyDescent="0.3">
      <c r="A38" s="1">
        <v>43800</v>
      </c>
      <c r="B38" s="8" t="s">
        <v>6</v>
      </c>
      <c r="C38" t="s">
        <v>7</v>
      </c>
      <c r="D38" t="s">
        <v>23</v>
      </c>
      <c r="E38" t="s">
        <v>13</v>
      </c>
      <c r="F38" s="9">
        <v>357.09</v>
      </c>
      <c r="G38" s="6">
        <v>14000</v>
      </c>
      <c r="H38" s="8">
        <f t="shared" si="0"/>
        <v>14000</v>
      </c>
      <c r="I38" s="10">
        <v>1</v>
      </c>
    </row>
    <row r="39" spans="1:9" ht="15.75" thickBot="1" x14ac:dyDescent="0.3">
      <c r="A39" s="1">
        <v>43800</v>
      </c>
      <c r="B39" s="8" t="s">
        <v>6</v>
      </c>
      <c r="C39" t="s">
        <v>7</v>
      </c>
      <c r="D39" t="s">
        <v>24</v>
      </c>
      <c r="E39" t="s">
        <v>9</v>
      </c>
      <c r="F39" s="9">
        <v>809.87</v>
      </c>
      <c r="G39" s="4">
        <v>26</v>
      </c>
      <c r="H39" s="8">
        <f t="shared" si="0"/>
        <v>26</v>
      </c>
      <c r="I39" s="10">
        <v>1</v>
      </c>
    </row>
    <row r="40" spans="1:9" ht="15.75" thickBot="1" x14ac:dyDescent="0.3">
      <c r="A40" s="1">
        <v>43466</v>
      </c>
      <c r="B40" s="8" t="s">
        <v>6</v>
      </c>
      <c r="C40" t="s">
        <v>7</v>
      </c>
      <c r="D40" t="s">
        <v>25</v>
      </c>
      <c r="E40" t="s">
        <v>10</v>
      </c>
      <c r="F40" s="9">
        <v>25864.69</v>
      </c>
      <c r="G40" s="6">
        <v>919077.777</v>
      </c>
      <c r="H40" s="8">
        <f t="shared" si="0"/>
        <v>919.07777699999997</v>
      </c>
      <c r="I40" s="10">
        <v>78</v>
      </c>
    </row>
    <row r="41" spans="1:9" ht="15.75" thickBot="1" x14ac:dyDescent="0.3">
      <c r="A41" s="1">
        <v>43466</v>
      </c>
      <c r="B41" s="8" t="s">
        <v>6</v>
      </c>
      <c r="C41" t="s">
        <v>7</v>
      </c>
      <c r="D41" t="s">
        <v>25</v>
      </c>
      <c r="E41" t="s">
        <v>11</v>
      </c>
      <c r="F41" s="9">
        <v>337.96</v>
      </c>
      <c r="G41" s="4">
        <v>3</v>
      </c>
      <c r="H41" s="8">
        <f t="shared" si="0"/>
        <v>3</v>
      </c>
      <c r="I41" s="10">
        <v>3</v>
      </c>
    </row>
    <row r="42" spans="1:9" ht="15.75" thickBot="1" x14ac:dyDescent="0.3">
      <c r="A42" s="1">
        <v>43466</v>
      </c>
      <c r="B42" s="8" t="s">
        <v>6</v>
      </c>
      <c r="C42" t="s">
        <v>7</v>
      </c>
      <c r="D42" t="s">
        <v>26</v>
      </c>
      <c r="E42" t="s">
        <v>9</v>
      </c>
      <c r="F42" s="9">
        <v>4968.3999999999996</v>
      </c>
      <c r="G42" s="4">
        <v>170</v>
      </c>
      <c r="H42" s="8">
        <f t="shared" si="0"/>
        <v>170</v>
      </c>
      <c r="I42" s="10">
        <v>5</v>
      </c>
    </row>
    <row r="43" spans="1:9" ht="15.75" thickBot="1" x14ac:dyDescent="0.3">
      <c r="A43" s="1">
        <v>43800</v>
      </c>
      <c r="B43" s="8" t="s">
        <v>6</v>
      </c>
      <c r="C43" t="s">
        <v>7</v>
      </c>
      <c r="D43" t="s">
        <v>26</v>
      </c>
      <c r="E43" t="s">
        <v>15</v>
      </c>
      <c r="F43" s="9">
        <v>5677.78</v>
      </c>
      <c r="G43" s="4">
        <v>204</v>
      </c>
      <c r="H43" s="8">
        <f t="shared" si="0"/>
        <v>204</v>
      </c>
      <c r="I43" s="10">
        <v>2</v>
      </c>
    </row>
    <row r="44" spans="1:9" ht="15.75" thickBot="1" x14ac:dyDescent="0.3">
      <c r="A44" s="1">
        <v>43800</v>
      </c>
      <c r="B44" s="8" t="s">
        <v>6</v>
      </c>
      <c r="C44" t="s">
        <v>7</v>
      </c>
      <c r="D44" t="s">
        <v>26</v>
      </c>
      <c r="E44" t="s">
        <v>10</v>
      </c>
      <c r="F44" s="9">
        <v>37092.03</v>
      </c>
      <c r="G44" s="6">
        <v>1349066.6270000001</v>
      </c>
      <c r="H44" s="8">
        <f t="shared" si="0"/>
        <v>1349.0666270000002</v>
      </c>
      <c r="I44" s="10">
        <v>103</v>
      </c>
    </row>
    <row r="45" spans="1:9" ht="15.75" thickBot="1" x14ac:dyDescent="0.3">
      <c r="A45" s="1">
        <v>43800</v>
      </c>
      <c r="B45" s="8" t="s">
        <v>6</v>
      </c>
      <c r="C45" t="s">
        <v>7</v>
      </c>
      <c r="D45" t="s">
        <v>26</v>
      </c>
      <c r="E45" t="s">
        <v>17</v>
      </c>
      <c r="F45" s="9">
        <v>1250.1600000000001</v>
      </c>
      <c r="G45" s="4">
        <v>38</v>
      </c>
      <c r="H45" s="8">
        <f t="shared" si="0"/>
        <v>38</v>
      </c>
      <c r="I45" s="10">
        <v>3</v>
      </c>
    </row>
    <row r="46" spans="1:9" ht="15.75" thickBot="1" x14ac:dyDescent="0.3">
      <c r="A46" s="1">
        <v>43800</v>
      </c>
      <c r="B46" s="8" t="s">
        <v>6</v>
      </c>
      <c r="C46" t="s">
        <v>7</v>
      </c>
      <c r="D46" t="s">
        <v>26</v>
      </c>
      <c r="E46" t="s">
        <v>11</v>
      </c>
      <c r="F46" s="9">
        <v>9741.24</v>
      </c>
      <c r="G46" s="4">
        <v>287</v>
      </c>
      <c r="H46" s="8">
        <f t="shared" si="0"/>
        <v>287</v>
      </c>
      <c r="I46" s="10">
        <v>5</v>
      </c>
    </row>
    <row r="47" spans="1:9" ht="15.75" thickBot="1" x14ac:dyDescent="0.3">
      <c r="A47" s="1">
        <v>43466</v>
      </c>
      <c r="B47" s="8" t="s">
        <v>6</v>
      </c>
      <c r="C47" t="s">
        <v>7</v>
      </c>
      <c r="D47" t="s">
        <v>26</v>
      </c>
      <c r="E47" t="s">
        <v>13</v>
      </c>
      <c r="F47" s="9">
        <v>131.07</v>
      </c>
      <c r="G47" s="6">
        <v>5000</v>
      </c>
      <c r="H47" s="8">
        <f t="shared" si="0"/>
        <v>5000</v>
      </c>
      <c r="I47" s="10">
        <v>1</v>
      </c>
    </row>
    <row r="48" spans="1:9" ht="15.75" thickBot="1" x14ac:dyDescent="0.3">
      <c r="A48" s="1">
        <v>43466</v>
      </c>
      <c r="B48" s="8" t="s">
        <v>6</v>
      </c>
      <c r="C48" t="s">
        <v>7</v>
      </c>
      <c r="D48" t="s">
        <v>27</v>
      </c>
      <c r="E48" t="s">
        <v>9</v>
      </c>
      <c r="F48" s="9">
        <v>2223.04</v>
      </c>
      <c r="G48" s="4">
        <v>72</v>
      </c>
      <c r="H48" s="8">
        <f t="shared" si="0"/>
        <v>72</v>
      </c>
      <c r="I48" s="10">
        <v>3</v>
      </c>
    </row>
    <row r="49" spans="1:9" ht="15.75" thickBot="1" x14ac:dyDescent="0.3">
      <c r="A49" s="1">
        <v>43466</v>
      </c>
      <c r="B49" s="8" t="s">
        <v>6</v>
      </c>
      <c r="C49" t="s">
        <v>7</v>
      </c>
      <c r="D49" t="s">
        <v>27</v>
      </c>
      <c r="E49" t="s">
        <v>15</v>
      </c>
      <c r="F49" s="9">
        <v>976.15</v>
      </c>
      <c r="G49" s="4">
        <v>10</v>
      </c>
      <c r="H49" s="8">
        <f t="shared" si="0"/>
        <v>10</v>
      </c>
      <c r="I49" s="10">
        <v>4</v>
      </c>
    </row>
    <row r="50" spans="1:9" ht="15.75" thickBot="1" x14ac:dyDescent="0.3">
      <c r="A50" s="1">
        <v>43800</v>
      </c>
      <c r="B50" s="8" t="s">
        <v>6</v>
      </c>
      <c r="C50" t="s">
        <v>7</v>
      </c>
      <c r="D50" t="s">
        <v>27</v>
      </c>
      <c r="E50" t="s">
        <v>10</v>
      </c>
      <c r="F50" s="9">
        <v>133510.01</v>
      </c>
      <c r="G50" s="6">
        <v>27059728.730999999</v>
      </c>
      <c r="H50" s="8">
        <f t="shared" si="0"/>
        <v>27059.728730999999</v>
      </c>
      <c r="I50" s="10">
        <v>2964</v>
      </c>
    </row>
    <row r="51" spans="1:9" ht="15.75" thickBot="1" x14ac:dyDescent="0.3">
      <c r="A51" s="1">
        <v>43800</v>
      </c>
      <c r="B51" s="8" t="s">
        <v>6</v>
      </c>
      <c r="C51" t="s">
        <v>7</v>
      </c>
      <c r="D51" t="s">
        <v>27</v>
      </c>
      <c r="E51" t="s">
        <v>11</v>
      </c>
      <c r="F51" s="9">
        <v>44422.62</v>
      </c>
      <c r="G51" s="4">
        <v>1295</v>
      </c>
      <c r="H51" s="8">
        <f t="shared" si="0"/>
        <v>1295</v>
      </c>
      <c r="I51" s="10">
        <v>11</v>
      </c>
    </row>
    <row r="52" spans="1:9" ht="15.75" thickBot="1" x14ac:dyDescent="0.3">
      <c r="A52" s="1">
        <v>43800</v>
      </c>
      <c r="B52" s="8" t="s">
        <v>6</v>
      </c>
      <c r="C52" t="s">
        <v>7</v>
      </c>
      <c r="D52" t="s">
        <v>27</v>
      </c>
      <c r="E52" t="s">
        <v>13</v>
      </c>
      <c r="F52" s="9">
        <v>3145.44</v>
      </c>
      <c r="G52" s="6">
        <v>393000</v>
      </c>
      <c r="H52" s="8">
        <f t="shared" si="0"/>
        <v>393000</v>
      </c>
      <c r="I52" s="10">
        <v>50</v>
      </c>
    </row>
    <row r="53" spans="1:9" ht="15.75" thickBot="1" x14ac:dyDescent="0.3">
      <c r="A53" s="1">
        <v>43800</v>
      </c>
      <c r="B53" s="8" t="s">
        <v>6</v>
      </c>
      <c r="C53" t="s">
        <v>7</v>
      </c>
      <c r="D53" t="s">
        <v>28</v>
      </c>
      <c r="E53" t="s">
        <v>9</v>
      </c>
      <c r="F53" s="9">
        <v>15159.4</v>
      </c>
      <c r="G53" s="4">
        <v>295</v>
      </c>
      <c r="H53" s="8">
        <f t="shared" si="0"/>
        <v>295</v>
      </c>
      <c r="I53" s="10">
        <v>5</v>
      </c>
    </row>
    <row r="54" spans="1:9" ht="15.75" thickBot="1" x14ac:dyDescent="0.3">
      <c r="A54" s="1">
        <v>43466</v>
      </c>
      <c r="B54" s="8" t="s">
        <v>6</v>
      </c>
      <c r="C54" t="s">
        <v>7</v>
      </c>
      <c r="D54" t="s">
        <v>28</v>
      </c>
      <c r="E54" t="s">
        <v>10</v>
      </c>
      <c r="F54" s="9">
        <v>4264.22</v>
      </c>
      <c r="G54" s="6">
        <v>46000</v>
      </c>
      <c r="H54" s="8">
        <f t="shared" si="0"/>
        <v>46</v>
      </c>
      <c r="I54" s="10">
        <v>1</v>
      </c>
    </row>
    <row r="55" spans="1:9" ht="15.75" thickBot="1" x14ac:dyDescent="0.3">
      <c r="A55" s="1">
        <v>43466</v>
      </c>
      <c r="B55" s="8" t="s">
        <v>6</v>
      </c>
      <c r="C55" t="s">
        <v>7</v>
      </c>
      <c r="D55" t="s">
        <v>28</v>
      </c>
      <c r="E55" t="s">
        <v>17</v>
      </c>
      <c r="F55" s="9">
        <v>373.2</v>
      </c>
      <c r="G55" s="4">
        <v>10</v>
      </c>
      <c r="H55" s="8">
        <f t="shared" si="0"/>
        <v>10</v>
      </c>
      <c r="I55" s="10">
        <v>1</v>
      </c>
    </row>
    <row r="56" spans="1:9" ht="15.75" thickBot="1" x14ac:dyDescent="0.3">
      <c r="A56" s="1">
        <v>43466</v>
      </c>
      <c r="B56" s="8" t="s">
        <v>6</v>
      </c>
      <c r="C56" t="s">
        <v>7</v>
      </c>
      <c r="D56" t="s">
        <v>28</v>
      </c>
      <c r="E56" t="s">
        <v>11</v>
      </c>
      <c r="F56" s="9">
        <v>14387.44</v>
      </c>
      <c r="G56" s="4">
        <v>167</v>
      </c>
      <c r="H56" s="8">
        <f t="shared" si="0"/>
        <v>167</v>
      </c>
      <c r="I56" s="10">
        <v>3</v>
      </c>
    </row>
    <row r="57" spans="1:9" ht="15.75" thickBot="1" x14ac:dyDescent="0.3">
      <c r="A57" s="1">
        <v>43800</v>
      </c>
      <c r="B57" s="8" t="s">
        <v>6</v>
      </c>
      <c r="C57" t="s">
        <v>7</v>
      </c>
      <c r="D57" t="s">
        <v>29</v>
      </c>
      <c r="E57" t="s">
        <v>9</v>
      </c>
      <c r="F57" s="9">
        <v>127550.62</v>
      </c>
      <c r="G57" s="7">
        <v>82572.380999999994</v>
      </c>
      <c r="H57" s="8">
        <f t="shared" si="0"/>
        <v>82572.380999999994</v>
      </c>
      <c r="I57" s="10">
        <v>84</v>
      </c>
    </row>
    <row r="58" spans="1:9" ht="15.75" thickBot="1" x14ac:dyDescent="0.3">
      <c r="A58" s="1">
        <v>43800</v>
      </c>
      <c r="B58" s="8" t="s">
        <v>6</v>
      </c>
      <c r="C58" t="s">
        <v>7</v>
      </c>
      <c r="D58" t="s">
        <v>29</v>
      </c>
      <c r="E58" t="s">
        <v>15</v>
      </c>
      <c r="F58" s="9">
        <v>3707.37</v>
      </c>
      <c r="G58" s="7">
        <v>48997.794999999998</v>
      </c>
      <c r="H58" s="8">
        <f t="shared" si="0"/>
        <v>48997.794999999998</v>
      </c>
      <c r="I58" s="10">
        <v>7</v>
      </c>
    </row>
    <row r="59" spans="1:9" ht="15.75" thickBot="1" x14ac:dyDescent="0.3">
      <c r="A59" s="1">
        <v>43800</v>
      </c>
      <c r="B59" s="8" t="s">
        <v>6</v>
      </c>
      <c r="C59" t="s">
        <v>7</v>
      </c>
      <c r="D59" t="s">
        <v>29</v>
      </c>
      <c r="E59" t="s">
        <v>10</v>
      </c>
      <c r="F59" s="9">
        <v>762407.44</v>
      </c>
      <c r="G59" s="7">
        <v>26387680.605999999</v>
      </c>
      <c r="H59" s="8">
        <f t="shared" si="0"/>
        <v>26387.680605999998</v>
      </c>
      <c r="I59" s="10">
        <v>2315</v>
      </c>
    </row>
    <row r="60" spans="1:9" ht="15.75" thickBot="1" x14ac:dyDescent="0.3">
      <c r="A60" s="1">
        <v>43800</v>
      </c>
      <c r="B60" s="8" t="s">
        <v>6</v>
      </c>
      <c r="C60" t="s">
        <v>7</v>
      </c>
      <c r="D60" t="s">
        <v>29</v>
      </c>
      <c r="E60" t="s">
        <v>17</v>
      </c>
      <c r="F60" s="9">
        <v>618.55999999999995</v>
      </c>
      <c r="G60" s="4">
        <v>8</v>
      </c>
      <c r="H60" s="8">
        <f t="shared" si="0"/>
        <v>8</v>
      </c>
      <c r="I60" s="10">
        <v>1</v>
      </c>
    </row>
    <row r="61" spans="1:9" ht="15.75" thickBot="1" x14ac:dyDescent="0.3">
      <c r="A61" s="1">
        <v>43466</v>
      </c>
      <c r="B61" s="8" t="s">
        <v>6</v>
      </c>
      <c r="C61" t="s">
        <v>7</v>
      </c>
      <c r="D61" t="s">
        <v>29</v>
      </c>
      <c r="E61" t="s">
        <v>11</v>
      </c>
      <c r="F61" s="9">
        <v>97960.58</v>
      </c>
      <c r="G61" s="7">
        <v>80656.743000000002</v>
      </c>
      <c r="H61" s="8">
        <f t="shared" si="0"/>
        <v>80656.743000000002</v>
      </c>
      <c r="I61" s="10">
        <v>111</v>
      </c>
    </row>
    <row r="62" spans="1:9" ht="15.75" thickBot="1" x14ac:dyDescent="0.3">
      <c r="A62" s="1">
        <v>43466</v>
      </c>
      <c r="B62" s="8" t="s">
        <v>6</v>
      </c>
      <c r="C62" t="s">
        <v>7</v>
      </c>
      <c r="D62" t="s">
        <v>29</v>
      </c>
      <c r="E62" t="s">
        <v>13</v>
      </c>
      <c r="F62" s="9">
        <v>4365.63</v>
      </c>
      <c r="G62" s="6">
        <v>151000</v>
      </c>
      <c r="H62" s="8">
        <f t="shared" si="0"/>
        <v>151000</v>
      </c>
      <c r="I62" s="10">
        <v>17</v>
      </c>
    </row>
    <row r="63" spans="1:9" ht="15.75" thickBot="1" x14ac:dyDescent="0.3">
      <c r="A63" s="1">
        <v>43466</v>
      </c>
      <c r="B63" s="8" t="s">
        <v>6</v>
      </c>
      <c r="C63" t="s">
        <v>7</v>
      </c>
      <c r="D63" t="s">
        <v>30</v>
      </c>
      <c r="E63" t="s">
        <v>9</v>
      </c>
      <c r="F63" s="9">
        <v>17612.41</v>
      </c>
      <c r="G63" s="4">
        <v>185</v>
      </c>
      <c r="H63" s="8">
        <f t="shared" si="0"/>
        <v>185</v>
      </c>
      <c r="I63" s="10">
        <v>2</v>
      </c>
    </row>
    <row r="64" spans="1:9" ht="15.75" thickBot="1" x14ac:dyDescent="0.3">
      <c r="A64" s="1">
        <v>43800</v>
      </c>
      <c r="B64" s="8" t="s">
        <v>6</v>
      </c>
      <c r="C64" t="s">
        <v>7</v>
      </c>
      <c r="D64" t="s">
        <v>30</v>
      </c>
      <c r="E64" t="s">
        <v>15</v>
      </c>
      <c r="F64" s="9">
        <v>127548.07</v>
      </c>
      <c r="G64" s="4">
        <v>3983</v>
      </c>
      <c r="H64" s="8">
        <f t="shared" si="0"/>
        <v>3983</v>
      </c>
      <c r="I64" s="10">
        <v>15</v>
      </c>
    </row>
    <row r="65" spans="1:9" ht="15.75" thickBot="1" x14ac:dyDescent="0.3">
      <c r="A65" s="1">
        <v>43800</v>
      </c>
      <c r="B65" s="8" t="s">
        <v>6</v>
      </c>
      <c r="C65" t="s">
        <v>7</v>
      </c>
      <c r="D65" t="s">
        <v>30</v>
      </c>
      <c r="E65" t="s">
        <v>10</v>
      </c>
      <c r="F65" s="9">
        <v>3099.73</v>
      </c>
      <c r="G65" s="6">
        <v>70000</v>
      </c>
      <c r="H65" s="8">
        <f t="shared" si="0"/>
        <v>70</v>
      </c>
      <c r="I65" s="10">
        <v>5</v>
      </c>
    </row>
    <row r="66" spans="1:9" ht="15.75" thickBot="1" x14ac:dyDescent="0.3">
      <c r="A66" s="1">
        <v>43800</v>
      </c>
      <c r="B66" s="8" t="s">
        <v>6</v>
      </c>
      <c r="C66" t="s">
        <v>7</v>
      </c>
      <c r="D66" t="s">
        <v>30</v>
      </c>
      <c r="E66" t="s">
        <v>17</v>
      </c>
      <c r="F66" s="9">
        <v>1657900.61</v>
      </c>
      <c r="G66" s="4">
        <v>52652</v>
      </c>
      <c r="H66" s="8">
        <f t="shared" ref="H66:H129" si="1">IF(ISNUMBER(SEARCH("Domestic customer", E66)),G66/1000,G66)</f>
        <v>52652</v>
      </c>
      <c r="I66" s="10">
        <v>128</v>
      </c>
    </row>
    <row r="67" spans="1:9" ht="15.75" thickBot="1" x14ac:dyDescent="0.3">
      <c r="A67" s="1">
        <v>43800</v>
      </c>
      <c r="B67" s="8" t="s">
        <v>6</v>
      </c>
      <c r="C67" t="s">
        <v>7</v>
      </c>
      <c r="D67" t="s">
        <v>30</v>
      </c>
      <c r="E67" t="s">
        <v>11</v>
      </c>
      <c r="F67" s="9">
        <v>19116.43</v>
      </c>
      <c r="G67" s="4">
        <v>222</v>
      </c>
      <c r="H67" s="8">
        <f t="shared" si="1"/>
        <v>222</v>
      </c>
      <c r="I67" s="10">
        <v>32</v>
      </c>
    </row>
    <row r="68" spans="1:9" ht="15.75" thickBot="1" x14ac:dyDescent="0.3">
      <c r="A68" s="1">
        <v>43466</v>
      </c>
      <c r="B68" s="8" t="s">
        <v>6</v>
      </c>
      <c r="C68" t="s">
        <v>7</v>
      </c>
      <c r="D68" t="s">
        <v>30</v>
      </c>
      <c r="E68" t="s">
        <v>13</v>
      </c>
      <c r="F68" s="9">
        <v>29483.84</v>
      </c>
      <c r="G68" s="4">
        <v>864</v>
      </c>
      <c r="H68" s="8">
        <f t="shared" si="1"/>
        <v>864</v>
      </c>
      <c r="I68" s="10">
        <v>5</v>
      </c>
    </row>
    <row r="69" spans="1:9" ht="15.75" thickBot="1" x14ac:dyDescent="0.3">
      <c r="A69" s="1">
        <v>43466</v>
      </c>
      <c r="B69" s="8" t="s">
        <v>6</v>
      </c>
      <c r="C69" t="s">
        <v>7</v>
      </c>
      <c r="D69" t="s">
        <v>31</v>
      </c>
      <c r="E69" t="s">
        <v>10</v>
      </c>
      <c r="F69" s="9">
        <v>407.85</v>
      </c>
      <c r="G69" s="5">
        <v>0</v>
      </c>
      <c r="H69" s="8">
        <f t="shared" si="1"/>
        <v>0</v>
      </c>
      <c r="I69" s="10">
        <v>5</v>
      </c>
    </row>
    <row r="70" spans="1:9" ht="15.75" thickBot="1" x14ac:dyDescent="0.3">
      <c r="A70" s="1">
        <v>43466</v>
      </c>
      <c r="B70" s="8" t="s">
        <v>6</v>
      </c>
      <c r="C70" t="s">
        <v>7</v>
      </c>
      <c r="D70" t="s">
        <v>31</v>
      </c>
      <c r="E70" t="s">
        <v>17</v>
      </c>
      <c r="F70" s="9">
        <v>12778.57</v>
      </c>
      <c r="G70" s="4">
        <v>262</v>
      </c>
      <c r="H70" s="8">
        <f t="shared" si="1"/>
        <v>262</v>
      </c>
      <c r="I70" s="10">
        <v>1</v>
      </c>
    </row>
    <row r="71" spans="1:9" ht="15.75" thickBot="1" x14ac:dyDescent="0.3">
      <c r="A71" s="1">
        <v>43800</v>
      </c>
      <c r="B71" s="8" t="s">
        <v>6</v>
      </c>
      <c r="C71" t="s">
        <v>7</v>
      </c>
      <c r="D71" t="s">
        <v>31</v>
      </c>
      <c r="E71" t="s">
        <v>11</v>
      </c>
      <c r="F71" s="9">
        <v>734.13</v>
      </c>
      <c r="G71" s="5">
        <v>0</v>
      </c>
      <c r="H71" s="8">
        <f t="shared" si="1"/>
        <v>0</v>
      </c>
      <c r="I71" s="10">
        <v>10</v>
      </c>
    </row>
    <row r="72" spans="1:9" ht="15.75" thickBot="1" x14ac:dyDescent="0.3">
      <c r="A72" s="1">
        <v>43800</v>
      </c>
      <c r="B72" s="8" t="s">
        <v>6</v>
      </c>
      <c r="C72" t="s">
        <v>7</v>
      </c>
      <c r="D72" t="s">
        <v>32</v>
      </c>
      <c r="E72" t="s">
        <v>9</v>
      </c>
      <c r="F72" s="9">
        <v>50720.1</v>
      </c>
      <c r="G72" s="4">
        <v>1456</v>
      </c>
      <c r="H72" s="8">
        <f t="shared" si="1"/>
        <v>1456</v>
      </c>
      <c r="I72" s="10">
        <v>94</v>
      </c>
    </row>
    <row r="73" spans="1:9" ht="15.75" thickBot="1" x14ac:dyDescent="0.3">
      <c r="A73" s="1">
        <v>43800</v>
      </c>
      <c r="B73" s="8" t="s">
        <v>6</v>
      </c>
      <c r="C73" t="s">
        <v>7</v>
      </c>
      <c r="D73" t="s">
        <v>32</v>
      </c>
      <c r="E73" t="s">
        <v>15</v>
      </c>
      <c r="F73" s="9">
        <v>100</v>
      </c>
      <c r="G73" s="4">
        <v>0</v>
      </c>
      <c r="H73" s="8">
        <f t="shared" si="1"/>
        <v>0</v>
      </c>
      <c r="I73" s="10">
        <v>1</v>
      </c>
    </row>
    <row r="74" spans="1:9" ht="15.75" thickBot="1" x14ac:dyDescent="0.3">
      <c r="A74" s="1">
        <v>43800</v>
      </c>
      <c r="B74" s="8" t="s">
        <v>6</v>
      </c>
      <c r="C74" t="s">
        <v>7</v>
      </c>
      <c r="D74" t="s">
        <v>32</v>
      </c>
      <c r="E74" t="s">
        <v>10</v>
      </c>
      <c r="F74" s="9">
        <v>67495.83</v>
      </c>
      <c r="G74" s="7">
        <v>2085683.324</v>
      </c>
      <c r="H74" s="8">
        <f t="shared" si="1"/>
        <v>2085.6833240000001</v>
      </c>
      <c r="I74" s="10">
        <v>168</v>
      </c>
    </row>
    <row r="75" spans="1:9" ht="15.75" thickBot="1" x14ac:dyDescent="0.3">
      <c r="A75" s="1">
        <v>43466</v>
      </c>
      <c r="B75" s="8" t="s">
        <v>6</v>
      </c>
      <c r="C75" t="s">
        <v>7</v>
      </c>
      <c r="D75" t="s">
        <v>32</v>
      </c>
      <c r="E75" t="s">
        <v>11</v>
      </c>
      <c r="F75" s="9">
        <v>12004.29</v>
      </c>
      <c r="G75" s="7">
        <v>214687.8</v>
      </c>
      <c r="H75" s="8">
        <f t="shared" si="1"/>
        <v>214687.8</v>
      </c>
      <c r="I75" s="10">
        <v>11</v>
      </c>
    </row>
    <row r="76" spans="1:9" ht="15.75" thickBot="1" x14ac:dyDescent="0.3">
      <c r="A76" s="1">
        <v>43466</v>
      </c>
      <c r="B76" s="8" t="s">
        <v>6</v>
      </c>
      <c r="C76" t="s">
        <v>7</v>
      </c>
      <c r="D76" t="s">
        <v>32</v>
      </c>
      <c r="E76" t="s">
        <v>13</v>
      </c>
      <c r="F76" s="9">
        <v>2507.6999999999998</v>
      </c>
      <c r="G76" s="6">
        <v>64000</v>
      </c>
      <c r="H76" s="8">
        <f t="shared" si="1"/>
        <v>64000</v>
      </c>
      <c r="I76" s="10">
        <v>2</v>
      </c>
    </row>
    <row r="77" spans="1:9" ht="15.75" thickBot="1" x14ac:dyDescent="0.3">
      <c r="A77" s="1">
        <v>43466</v>
      </c>
      <c r="B77" s="8" t="s">
        <v>6</v>
      </c>
      <c r="C77" t="s">
        <v>7</v>
      </c>
      <c r="D77" t="s">
        <v>33</v>
      </c>
      <c r="E77" t="s">
        <v>10</v>
      </c>
      <c r="F77" s="9">
        <v>204528.88</v>
      </c>
      <c r="G77" s="6">
        <v>7198786.8150000004</v>
      </c>
      <c r="H77" s="8">
        <f t="shared" si="1"/>
        <v>7198.7868150000004</v>
      </c>
      <c r="I77" s="10">
        <v>432</v>
      </c>
    </row>
    <row r="78" spans="1:9" ht="15.75" thickBot="1" x14ac:dyDescent="0.3">
      <c r="A78" s="1">
        <v>43800</v>
      </c>
      <c r="B78" s="8" t="s">
        <v>6</v>
      </c>
      <c r="C78" t="s">
        <v>7</v>
      </c>
      <c r="D78" t="s">
        <v>33</v>
      </c>
      <c r="E78" t="s">
        <v>11</v>
      </c>
      <c r="F78" s="9">
        <v>55530.22</v>
      </c>
      <c r="G78" s="4">
        <v>1932</v>
      </c>
      <c r="H78" s="8">
        <f t="shared" si="1"/>
        <v>1932</v>
      </c>
      <c r="I78" s="10">
        <v>4</v>
      </c>
    </row>
    <row r="79" spans="1:9" ht="15.75" thickBot="1" x14ac:dyDescent="0.3">
      <c r="A79" s="1">
        <v>43800</v>
      </c>
      <c r="B79" s="8" t="s">
        <v>6</v>
      </c>
      <c r="C79" t="s">
        <v>7</v>
      </c>
      <c r="D79" t="s">
        <v>33</v>
      </c>
      <c r="E79" t="s">
        <v>13</v>
      </c>
      <c r="F79" s="9">
        <v>248.41</v>
      </c>
      <c r="G79" s="6">
        <v>11000</v>
      </c>
      <c r="H79" s="8">
        <f t="shared" si="1"/>
        <v>11000</v>
      </c>
      <c r="I79" s="10">
        <v>1</v>
      </c>
    </row>
    <row r="80" spans="1:9" ht="15.75" thickBot="1" x14ac:dyDescent="0.3">
      <c r="A80" s="1">
        <v>43800</v>
      </c>
      <c r="B80" s="8" t="s">
        <v>6</v>
      </c>
      <c r="C80" t="s">
        <v>7</v>
      </c>
      <c r="D80" t="s">
        <v>34</v>
      </c>
      <c r="E80" t="s">
        <v>9</v>
      </c>
      <c r="F80" s="9">
        <v>274.56</v>
      </c>
      <c r="G80" s="4">
        <v>8</v>
      </c>
      <c r="H80" s="8">
        <f t="shared" si="1"/>
        <v>8</v>
      </c>
      <c r="I80" s="10">
        <v>1</v>
      </c>
    </row>
    <row r="81" spans="1:9" ht="15.75" thickBot="1" x14ac:dyDescent="0.3">
      <c r="A81" s="1">
        <v>43800</v>
      </c>
      <c r="B81" s="8" t="s">
        <v>6</v>
      </c>
      <c r="C81" t="s">
        <v>7</v>
      </c>
      <c r="D81" t="s">
        <v>34</v>
      </c>
      <c r="E81" t="s">
        <v>15</v>
      </c>
      <c r="F81" s="9">
        <v>2864.52</v>
      </c>
      <c r="G81" s="4">
        <v>78</v>
      </c>
      <c r="H81" s="8">
        <f t="shared" si="1"/>
        <v>78</v>
      </c>
      <c r="I81" s="10">
        <v>2</v>
      </c>
    </row>
    <row r="82" spans="1:9" ht="15.75" thickBot="1" x14ac:dyDescent="0.3">
      <c r="A82" s="1">
        <v>43466</v>
      </c>
      <c r="B82" s="8" t="s">
        <v>6</v>
      </c>
      <c r="C82" t="s">
        <v>7</v>
      </c>
      <c r="D82" t="s">
        <v>34</v>
      </c>
      <c r="E82" t="s">
        <v>10</v>
      </c>
      <c r="F82" s="9">
        <v>71355.399999999994</v>
      </c>
      <c r="G82" s="6">
        <v>2683877.85</v>
      </c>
      <c r="H82" s="8">
        <f t="shared" si="1"/>
        <v>2683.8778500000003</v>
      </c>
      <c r="I82" s="10">
        <v>305</v>
      </c>
    </row>
    <row r="83" spans="1:9" ht="15.75" thickBot="1" x14ac:dyDescent="0.3">
      <c r="A83" s="1">
        <v>43466</v>
      </c>
      <c r="B83" s="8" t="s">
        <v>6</v>
      </c>
      <c r="C83" t="s">
        <v>7</v>
      </c>
      <c r="D83" t="s">
        <v>34</v>
      </c>
      <c r="E83" t="s">
        <v>11</v>
      </c>
      <c r="F83" s="9">
        <v>15732.96</v>
      </c>
      <c r="G83" s="4">
        <v>553</v>
      </c>
      <c r="H83" s="8">
        <f t="shared" si="1"/>
        <v>553</v>
      </c>
      <c r="I83" s="10">
        <v>1</v>
      </c>
    </row>
    <row r="84" spans="1:9" ht="15.75" thickBot="1" x14ac:dyDescent="0.3">
      <c r="A84" s="1">
        <v>43466</v>
      </c>
      <c r="B84" s="8" t="s">
        <v>6</v>
      </c>
      <c r="C84" t="s">
        <v>7</v>
      </c>
      <c r="D84" t="s">
        <v>35</v>
      </c>
      <c r="E84" t="s">
        <v>9</v>
      </c>
      <c r="F84" s="9">
        <v>429.2</v>
      </c>
      <c r="G84" s="4">
        <v>10</v>
      </c>
      <c r="H84" s="8">
        <f t="shared" si="1"/>
        <v>10</v>
      </c>
      <c r="I84" s="10">
        <v>1</v>
      </c>
    </row>
    <row r="85" spans="1:9" ht="15.75" thickBot="1" x14ac:dyDescent="0.3">
      <c r="A85" s="1">
        <v>43800</v>
      </c>
      <c r="B85" s="8" t="s">
        <v>6</v>
      </c>
      <c r="C85" t="s">
        <v>7</v>
      </c>
      <c r="D85" t="s">
        <v>35</v>
      </c>
      <c r="E85" t="s">
        <v>10</v>
      </c>
      <c r="F85" s="9">
        <v>1149916.28</v>
      </c>
      <c r="G85" s="6">
        <v>20728485.294</v>
      </c>
      <c r="H85" s="8">
        <f t="shared" si="1"/>
        <v>20728.485293999998</v>
      </c>
      <c r="I85" s="10">
        <v>12</v>
      </c>
    </row>
    <row r="86" spans="1:9" ht="15.75" thickBot="1" x14ac:dyDescent="0.3">
      <c r="A86" s="1">
        <v>43800</v>
      </c>
      <c r="B86" s="8" t="s">
        <v>6</v>
      </c>
      <c r="C86" t="s">
        <v>7</v>
      </c>
      <c r="D86" t="s">
        <v>35</v>
      </c>
      <c r="E86" t="s">
        <v>11</v>
      </c>
      <c r="F86" s="9">
        <v>163.13999999999999</v>
      </c>
      <c r="G86" s="5">
        <v>0</v>
      </c>
      <c r="H86" s="8">
        <f t="shared" si="1"/>
        <v>0</v>
      </c>
      <c r="I86" s="10">
        <v>2</v>
      </c>
    </row>
    <row r="87" spans="1:9" ht="15.75" thickBot="1" x14ac:dyDescent="0.3">
      <c r="A87" s="1">
        <v>43800</v>
      </c>
      <c r="B87" s="8" t="s">
        <v>6</v>
      </c>
      <c r="C87" t="s">
        <v>7</v>
      </c>
      <c r="D87" t="s">
        <v>36</v>
      </c>
      <c r="E87" t="s">
        <v>9</v>
      </c>
      <c r="F87" s="9">
        <v>15286.67</v>
      </c>
      <c r="G87" s="4">
        <v>511</v>
      </c>
      <c r="H87" s="8">
        <f t="shared" si="1"/>
        <v>511</v>
      </c>
      <c r="I87" s="10">
        <v>9</v>
      </c>
    </row>
    <row r="88" spans="1:9" ht="15.75" thickBot="1" x14ac:dyDescent="0.3">
      <c r="A88" s="1">
        <v>43800</v>
      </c>
      <c r="B88" s="8" t="s">
        <v>6</v>
      </c>
      <c r="C88" t="s">
        <v>7</v>
      </c>
      <c r="D88" t="s">
        <v>36</v>
      </c>
      <c r="E88" t="s">
        <v>15</v>
      </c>
      <c r="F88" s="9">
        <v>144100.1</v>
      </c>
      <c r="G88" s="7">
        <v>1713819.122</v>
      </c>
      <c r="H88" s="8">
        <f t="shared" si="1"/>
        <v>1713819.122</v>
      </c>
      <c r="I88" s="10">
        <v>39</v>
      </c>
    </row>
    <row r="89" spans="1:9" ht="15.75" thickBot="1" x14ac:dyDescent="0.3">
      <c r="A89" s="1">
        <v>43466</v>
      </c>
      <c r="B89" s="8" t="s">
        <v>6</v>
      </c>
      <c r="C89" t="s">
        <v>7</v>
      </c>
      <c r="D89" t="s">
        <v>36</v>
      </c>
      <c r="E89" t="s">
        <v>10</v>
      </c>
      <c r="F89" s="9">
        <v>73050.09</v>
      </c>
      <c r="G89" s="7">
        <v>2452504.639</v>
      </c>
      <c r="H89" s="8">
        <f t="shared" si="1"/>
        <v>2452.5046389999998</v>
      </c>
      <c r="I89" s="10">
        <v>217</v>
      </c>
    </row>
    <row r="90" spans="1:9" ht="15.75" thickBot="1" x14ac:dyDescent="0.3">
      <c r="A90" s="1">
        <v>43466</v>
      </c>
      <c r="B90" s="8" t="s">
        <v>6</v>
      </c>
      <c r="C90" t="s">
        <v>7</v>
      </c>
      <c r="D90" t="s">
        <v>36</v>
      </c>
      <c r="E90" t="s">
        <v>11</v>
      </c>
      <c r="F90" s="9">
        <v>11437.61</v>
      </c>
      <c r="G90" s="7">
        <v>16403.219000000001</v>
      </c>
      <c r="H90" s="8">
        <f t="shared" si="1"/>
        <v>16403.219000000001</v>
      </c>
      <c r="I90" s="10">
        <v>11</v>
      </c>
    </row>
    <row r="91" spans="1:9" ht="15.75" thickBot="1" x14ac:dyDescent="0.3">
      <c r="A91" s="1">
        <v>43466</v>
      </c>
      <c r="B91" s="8" t="s">
        <v>6</v>
      </c>
      <c r="C91" t="s">
        <v>7</v>
      </c>
      <c r="D91" t="s">
        <v>37</v>
      </c>
      <c r="E91" t="s">
        <v>9</v>
      </c>
      <c r="F91" s="9">
        <v>122908.69</v>
      </c>
      <c r="G91" s="4">
        <v>3696</v>
      </c>
      <c r="H91" s="8">
        <f t="shared" si="1"/>
        <v>3696</v>
      </c>
      <c r="I91" s="10">
        <v>54</v>
      </c>
    </row>
    <row r="92" spans="1:9" ht="15.75" thickBot="1" x14ac:dyDescent="0.3">
      <c r="A92" s="1">
        <v>43800</v>
      </c>
      <c r="B92" s="8" t="s">
        <v>6</v>
      </c>
      <c r="C92" t="s">
        <v>7</v>
      </c>
      <c r="D92" t="s">
        <v>37</v>
      </c>
      <c r="E92" t="s">
        <v>15</v>
      </c>
      <c r="F92" s="9">
        <v>400532.86</v>
      </c>
      <c r="G92" s="4">
        <v>13866</v>
      </c>
      <c r="H92" s="8">
        <f t="shared" si="1"/>
        <v>13866</v>
      </c>
      <c r="I92" s="10">
        <v>182</v>
      </c>
    </row>
    <row r="93" spans="1:9" ht="15.75" thickBot="1" x14ac:dyDescent="0.3">
      <c r="A93" s="1">
        <v>43800</v>
      </c>
      <c r="B93" s="8" t="s">
        <v>6</v>
      </c>
      <c r="C93" t="s">
        <v>7</v>
      </c>
      <c r="D93" t="s">
        <v>37</v>
      </c>
      <c r="E93" t="s">
        <v>10</v>
      </c>
      <c r="F93" s="9">
        <v>646450.46</v>
      </c>
      <c r="G93" s="7">
        <v>31899490.958000001</v>
      </c>
      <c r="H93" s="8">
        <f t="shared" si="1"/>
        <v>31899.490958000002</v>
      </c>
      <c r="I93" s="10">
        <v>2229</v>
      </c>
    </row>
    <row r="94" spans="1:9" ht="15.75" thickBot="1" x14ac:dyDescent="0.3">
      <c r="A94" s="1">
        <v>43800</v>
      </c>
      <c r="B94" s="8" t="s">
        <v>6</v>
      </c>
      <c r="C94" t="s">
        <v>7</v>
      </c>
      <c r="D94" t="s">
        <v>37</v>
      </c>
      <c r="E94" t="s">
        <v>11</v>
      </c>
      <c r="F94" s="9">
        <v>99889.919999999998</v>
      </c>
      <c r="G94" s="7">
        <v>9251.1329999999998</v>
      </c>
      <c r="H94" s="8">
        <f t="shared" si="1"/>
        <v>9251.1329999999998</v>
      </c>
      <c r="I94" s="10">
        <v>41</v>
      </c>
    </row>
    <row r="95" spans="1:9" ht="15.75" thickBot="1" x14ac:dyDescent="0.3">
      <c r="A95" s="1">
        <v>43800</v>
      </c>
      <c r="B95" s="8" t="s">
        <v>6</v>
      </c>
      <c r="C95" t="s">
        <v>7</v>
      </c>
      <c r="D95" t="s">
        <v>37</v>
      </c>
      <c r="E95" t="s">
        <v>13</v>
      </c>
      <c r="F95" s="9">
        <v>2455.59</v>
      </c>
      <c r="G95" s="7">
        <v>156023.54999999999</v>
      </c>
      <c r="H95" s="8">
        <f t="shared" si="1"/>
        <v>156023.54999999999</v>
      </c>
      <c r="I95" s="10">
        <v>12</v>
      </c>
    </row>
    <row r="96" spans="1:9" ht="15.75" thickBot="1" x14ac:dyDescent="0.3">
      <c r="A96" s="1">
        <v>43466</v>
      </c>
      <c r="B96" s="8" t="s">
        <v>6</v>
      </c>
      <c r="C96" t="s">
        <v>7</v>
      </c>
      <c r="D96" t="s">
        <v>38</v>
      </c>
      <c r="E96" t="s">
        <v>9</v>
      </c>
      <c r="F96" s="9">
        <v>2427.12</v>
      </c>
      <c r="G96" s="4">
        <v>79</v>
      </c>
      <c r="H96" s="8">
        <f t="shared" si="1"/>
        <v>79</v>
      </c>
      <c r="I96" s="10">
        <v>3</v>
      </c>
    </row>
    <row r="97" spans="1:9" ht="15.75" thickBot="1" x14ac:dyDescent="0.3">
      <c r="A97" s="1">
        <v>43466</v>
      </c>
      <c r="B97" s="8" t="s">
        <v>6</v>
      </c>
      <c r="C97" t="s">
        <v>7</v>
      </c>
      <c r="D97" t="s">
        <v>38</v>
      </c>
      <c r="E97" t="s">
        <v>15</v>
      </c>
      <c r="F97" s="9">
        <v>448330.43</v>
      </c>
      <c r="G97" s="7">
        <v>4929336.5769999996</v>
      </c>
      <c r="H97" s="8">
        <f t="shared" si="1"/>
        <v>4929336.5769999996</v>
      </c>
      <c r="I97" s="10">
        <v>23</v>
      </c>
    </row>
    <row r="98" spans="1:9" ht="15.75" thickBot="1" x14ac:dyDescent="0.3">
      <c r="A98" s="1">
        <v>43466</v>
      </c>
      <c r="B98" s="8" t="s">
        <v>6</v>
      </c>
      <c r="C98" t="s">
        <v>7</v>
      </c>
      <c r="D98" t="s">
        <v>38</v>
      </c>
      <c r="E98" t="s">
        <v>10</v>
      </c>
      <c r="F98" s="9">
        <v>122650.64</v>
      </c>
      <c r="G98" s="6">
        <v>3921983.5389999999</v>
      </c>
      <c r="H98" s="8">
        <f t="shared" si="1"/>
        <v>3921.9835389999998</v>
      </c>
      <c r="I98" s="10">
        <v>396</v>
      </c>
    </row>
    <row r="99" spans="1:9" ht="15.75" thickBot="1" x14ac:dyDescent="0.3">
      <c r="A99" s="1">
        <v>43800</v>
      </c>
      <c r="B99" s="8" t="s">
        <v>6</v>
      </c>
      <c r="C99" t="s">
        <v>7</v>
      </c>
      <c r="D99" t="s">
        <v>38</v>
      </c>
      <c r="E99" t="s">
        <v>11</v>
      </c>
      <c r="F99" s="9">
        <v>25192.7</v>
      </c>
      <c r="G99" s="7">
        <v>2299.7979999999998</v>
      </c>
      <c r="H99" s="8">
        <f t="shared" si="1"/>
        <v>2299.7979999999998</v>
      </c>
      <c r="I99" s="10">
        <v>9</v>
      </c>
    </row>
    <row r="100" spans="1:9" ht="15.75" thickBot="1" x14ac:dyDescent="0.3">
      <c r="A100" s="1">
        <v>43800</v>
      </c>
      <c r="B100" s="8" t="s">
        <v>6</v>
      </c>
      <c r="C100" t="s">
        <v>7</v>
      </c>
      <c r="D100" t="s">
        <v>38</v>
      </c>
      <c r="E100" t="s">
        <v>13</v>
      </c>
      <c r="F100" s="9">
        <v>380.98</v>
      </c>
      <c r="G100" s="6">
        <v>13943.75</v>
      </c>
      <c r="H100" s="8">
        <f t="shared" si="1"/>
        <v>13943.75</v>
      </c>
      <c r="I100" s="10">
        <v>2</v>
      </c>
    </row>
    <row r="101" spans="1:9" ht="15.75" thickBot="1" x14ac:dyDescent="0.3">
      <c r="A101" s="1">
        <v>43800</v>
      </c>
      <c r="B101" s="8" t="s">
        <v>6</v>
      </c>
      <c r="C101" t="s">
        <v>7</v>
      </c>
      <c r="D101" t="s">
        <v>39</v>
      </c>
      <c r="E101" t="s">
        <v>10</v>
      </c>
      <c r="F101" s="9">
        <v>1862</v>
      </c>
      <c r="G101" s="6">
        <v>80500</v>
      </c>
      <c r="H101" s="8">
        <f t="shared" si="1"/>
        <v>80.5</v>
      </c>
      <c r="I101" s="10">
        <v>8</v>
      </c>
    </row>
    <row r="102" spans="1:9" ht="15.75" thickBot="1" x14ac:dyDescent="0.3">
      <c r="A102" s="1">
        <v>43800</v>
      </c>
      <c r="B102" s="8" t="s">
        <v>6</v>
      </c>
      <c r="C102" t="s">
        <v>7</v>
      </c>
      <c r="D102" t="s">
        <v>40</v>
      </c>
      <c r="E102" t="s">
        <v>9</v>
      </c>
      <c r="F102" s="9">
        <v>8911.5</v>
      </c>
      <c r="G102" s="4">
        <v>286</v>
      </c>
      <c r="H102" s="8">
        <f t="shared" si="1"/>
        <v>286</v>
      </c>
      <c r="I102" s="10">
        <v>15</v>
      </c>
    </row>
    <row r="103" spans="1:9" ht="15.75" thickBot="1" x14ac:dyDescent="0.3">
      <c r="A103" s="1">
        <v>43466</v>
      </c>
      <c r="B103" s="8" t="s">
        <v>6</v>
      </c>
      <c r="C103" t="s">
        <v>7</v>
      </c>
      <c r="D103" t="s">
        <v>40</v>
      </c>
      <c r="E103" t="s">
        <v>15</v>
      </c>
      <c r="F103" s="9">
        <v>88033.18</v>
      </c>
      <c r="G103" s="7">
        <v>1432725.1950000001</v>
      </c>
      <c r="H103" s="8">
        <f t="shared" si="1"/>
        <v>1432725.1950000001</v>
      </c>
      <c r="I103" s="10">
        <v>56</v>
      </c>
    </row>
    <row r="104" spans="1:9" ht="15.75" thickBot="1" x14ac:dyDescent="0.3">
      <c r="A104" s="1">
        <v>43466</v>
      </c>
      <c r="B104" s="8" t="s">
        <v>6</v>
      </c>
      <c r="C104" t="s">
        <v>7</v>
      </c>
      <c r="D104" t="s">
        <v>40</v>
      </c>
      <c r="E104" t="s">
        <v>10</v>
      </c>
      <c r="F104" s="9">
        <v>171253.38</v>
      </c>
      <c r="G104" s="6">
        <v>6526747.0020000003</v>
      </c>
      <c r="H104" s="8">
        <f t="shared" si="1"/>
        <v>6526.7470020000001</v>
      </c>
      <c r="I104" s="10">
        <v>649</v>
      </c>
    </row>
    <row r="105" spans="1:9" ht="15.75" thickBot="1" x14ac:dyDescent="0.3">
      <c r="A105" s="1">
        <v>43466</v>
      </c>
      <c r="B105" s="8" t="s">
        <v>6</v>
      </c>
      <c r="C105" t="s">
        <v>7</v>
      </c>
      <c r="D105" t="s">
        <v>40</v>
      </c>
      <c r="E105" t="s">
        <v>11</v>
      </c>
      <c r="F105" s="9">
        <v>12210.14</v>
      </c>
      <c r="G105" s="7">
        <v>17310.64</v>
      </c>
      <c r="H105" s="8">
        <f t="shared" si="1"/>
        <v>17310.64</v>
      </c>
      <c r="I105" s="10">
        <v>12</v>
      </c>
    </row>
    <row r="106" spans="1:9" ht="15.75" thickBot="1" x14ac:dyDescent="0.3">
      <c r="A106" s="1">
        <v>43800</v>
      </c>
      <c r="B106" s="8" t="s">
        <v>6</v>
      </c>
      <c r="C106" t="s">
        <v>7</v>
      </c>
      <c r="D106" t="s">
        <v>40</v>
      </c>
      <c r="E106" t="s">
        <v>13</v>
      </c>
      <c r="F106" s="9">
        <v>536.04</v>
      </c>
      <c r="G106" s="6">
        <v>20750</v>
      </c>
      <c r="H106" s="8">
        <f t="shared" si="1"/>
        <v>20750</v>
      </c>
      <c r="I106" s="10">
        <v>2</v>
      </c>
    </row>
    <row r="107" spans="1:9" ht="15.75" thickBot="1" x14ac:dyDescent="0.3">
      <c r="A107" s="1">
        <v>43800</v>
      </c>
      <c r="B107" s="8" t="s">
        <v>6</v>
      </c>
      <c r="C107" t="s">
        <v>7</v>
      </c>
      <c r="D107" t="s">
        <v>41</v>
      </c>
      <c r="E107" t="s">
        <v>9</v>
      </c>
      <c r="F107" s="9">
        <v>265402</v>
      </c>
      <c r="G107" s="7">
        <v>43828.951000000001</v>
      </c>
      <c r="H107" s="8">
        <f t="shared" si="1"/>
        <v>43828.951000000001</v>
      </c>
      <c r="I107" s="10">
        <v>22</v>
      </c>
    </row>
    <row r="108" spans="1:9" ht="15.75" thickBot="1" x14ac:dyDescent="0.3">
      <c r="A108" s="1">
        <v>43800</v>
      </c>
      <c r="B108" s="8" t="s">
        <v>6</v>
      </c>
      <c r="C108" t="s">
        <v>7</v>
      </c>
      <c r="D108" t="s">
        <v>41</v>
      </c>
      <c r="E108" t="s">
        <v>15</v>
      </c>
      <c r="F108" s="9">
        <v>777.4</v>
      </c>
      <c r="G108" s="6">
        <v>24192</v>
      </c>
      <c r="H108" s="8">
        <f t="shared" si="1"/>
        <v>24192</v>
      </c>
      <c r="I108" s="10">
        <v>1</v>
      </c>
    </row>
    <row r="109" spans="1:9" ht="15.75" thickBot="1" x14ac:dyDescent="0.3">
      <c r="A109" s="1">
        <v>43800</v>
      </c>
      <c r="B109" s="8" t="s">
        <v>6</v>
      </c>
      <c r="C109" t="s">
        <v>7</v>
      </c>
      <c r="D109" t="s">
        <v>41</v>
      </c>
      <c r="E109" t="s">
        <v>10</v>
      </c>
      <c r="F109" s="9">
        <v>1451690.16</v>
      </c>
      <c r="G109" s="7">
        <v>134208711.61399999</v>
      </c>
      <c r="H109" s="8">
        <f t="shared" si="1"/>
        <v>134208.711614</v>
      </c>
      <c r="I109" s="10">
        <v>1104</v>
      </c>
    </row>
    <row r="110" spans="1:9" ht="15.75" thickBot="1" x14ac:dyDescent="0.3">
      <c r="A110" s="1">
        <v>43466</v>
      </c>
      <c r="B110" s="8" t="s">
        <v>6</v>
      </c>
      <c r="C110" t="s">
        <v>7</v>
      </c>
      <c r="D110" t="s">
        <v>41</v>
      </c>
      <c r="E110" t="s">
        <v>17</v>
      </c>
      <c r="F110" s="9">
        <v>909.34</v>
      </c>
      <c r="G110" s="4">
        <v>31</v>
      </c>
      <c r="H110" s="8">
        <f t="shared" si="1"/>
        <v>31</v>
      </c>
      <c r="I110" s="10">
        <v>1</v>
      </c>
    </row>
    <row r="111" spans="1:9" ht="15.75" thickBot="1" x14ac:dyDescent="0.3">
      <c r="A111" s="1">
        <v>43466</v>
      </c>
      <c r="B111" s="8" t="s">
        <v>6</v>
      </c>
      <c r="C111" t="s">
        <v>7</v>
      </c>
      <c r="D111" t="s">
        <v>41</v>
      </c>
      <c r="E111" t="s">
        <v>11</v>
      </c>
      <c r="F111" s="9">
        <v>-27548.15</v>
      </c>
      <c r="G111" s="7">
        <v>86175.182000000001</v>
      </c>
      <c r="H111" s="8">
        <f t="shared" si="1"/>
        <v>86175.182000000001</v>
      </c>
      <c r="I111" s="10">
        <v>37</v>
      </c>
    </row>
    <row r="112" spans="1:9" ht="15.75" thickBot="1" x14ac:dyDescent="0.3">
      <c r="A112" s="1">
        <v>43466</v>
      </c>
      <c r="B112" s="8" t="s">
        <v>6</v>
      </c>
      <c r="C112" t="s">
        <v>7</v>
      </c>
      <c r="D112" t="s">
        <v>41</v>
      </c>
      <c r="E112" t="s">
        <v>13</v>
      </c>
      <c r="F112" s="9">
        <v>7113.93</v>
      </c>
      <c r="G112" s="6">
        <v>214750</v>
      </c>
      <c r="H112" s="8">
        <f t="shared" si="1"/>
        <v>214750</v>
      </c>
      <c r="I112" s="10">
        <v>5</v>
      </c>
    </row>
    <row r="113" spans="1:9" ht="15.75" thickBot="1" x14ac:dyDescent="0.3">
      <c r="A113" s="1">
        <v>43800</v>
      </c>
      <c r="B113" s="8" t="s">
        <v>6</v>
      </c>
      <c r="C113" t="s">
        <v>7</v>
      </c>
      <c r="D113" t="s">
        <v>42</v>
      </c>
      <c r="E113" t="s">
        <v>11</v>
      </c>
      <c r="F113" s="9">
        <v>23408.799999999999</v>
      </c>
      <c r="G113" s="4">
        <v>839</v>
      </c>
      <c r="H113" s="8">
        <f t="shared" si="1"/>
        <v>839</v>
      </c>
      <c r="I113" s="10">
        <v>2</v>
      </c>
    </row>
    <row r="114" spans="1:9" ht="15.75" thickBot="1" x14ac:dyDescent="0.3">
      <c r="A114" s="1">
        <v>43800</v>
      </c>
      <c r="B114" s="8" t="s">
        <v>6</v>
      </c>
      <c r="C114" t="s">
        <v>7</v>
      </c>
      <c r="D114" t="s">
        <v>43</v>
      </c>
      <c r="E114" t="s">
        <v>9</v>
      </c>
      <c r="F114" s="9">
        <v>40259.56</v>
      </c>
      <c r="G114" s="4">
        <v>1244</v>
      </c>
      <c r="H114" s="8">
        <f t="shared" si="1"/>
        <v>1244</v>
      </c>
      <c r="I114" s="10">
        <v>17</v>
      </c>
    </row>
    <row r="115" spans="1:9" ht="15.75" thickBot="1" x14ac:dyDescent="0.3">
      <c r="A115" s="1">
        <v>43800</v>
      </c>
      <c r="B115" s="8" t="s">
        <v>6</v>
      </c>
      <c r="C115" t="s">
        <v>7</v>
      </c>
      <c r="D115" t="s">
        <v>43</v>
      </c>
      <c r="E115" t="s">
        <v>10</v>
      </c>
      <c r="F115" s="9">
        <v>233706.55</v>
      </c>
      <c r="G115" s="6">
        <v>7345108.8140000002</v>
      </c>
      <c r="H115" s="8">
        <f t="shared" si="1"/>
        <v>7345.1088140000002</v>
      </c>
      <c r="I115" s="10">
        <v>299</v>
      </c>
    </row>
    <row r="116" spans="1:9" ht="15.75" thickBot="1" x14ac:dyDescent="0.3">
      <c r="A116" s="1">
        <v>43800</v>
      </c>
      <c r="B116" s="8" t="s">
        <v>6</v>
      </c>
      <c r="C116" t="s">
        <v>7</v>
      </c>
      <c r="D116" t="s">
        <v>43</v>
      </c>
      <c r="E116" t="s">
        <v>11</v>
      </c>
      <c r="F116" s="9">
        <v>15345.67</v>
      </c>
      <c r="G116" s="7">
        <v>266591.39299999998</v>
      </c>
      <c r="H116" s="8">
        <f t="shared" si="1"/>
        <v>266591.39299999998</v>
      </c>
      <c r="I116" s="10">
        <v>67</v>
      </c>
    </row>
    <row r="117" spans="1:9" ht="15.75" thickBot="1" x14ac:dyDescent="0.3">
      <c r="A117" s="1">
        <v>43466</v>
      </c>
      <c r="B117" s="8" t="s">
        <v>6</v>
      </c>
      <c r="C117" t="s">
        <v>7</v>
      </c>
      <c r="D117" t="s">
        <v>43</v>
      </c>
      <c r="E117" t="s">
        <v>13</v>
      </c>
      <c r="F117" s="9">
        <v>7195.06</v>
      </c>
      <c r="G117" s="6">
        <v>268000</v>
      </c>
      <c r="H117" s="8">
        <f t="shared" si="1"/>
        <v>268000</v>
      </c>
      <c r="I117" s="10">
        <v>2</v>
      </c>
    </row>
    <row r="118" spans="1:9" ht="15.75" thickBot="1" x14ac:dyDescent="0.3">
      <c r="A118" s="1">
        <v>43466</v>
      </c>
      <c r="B118" s="8" t="s">
        <v>6</v>
      </c>
      <c r="C118" t="s">
        <v>7</v>
      </c>
      <c r="D118" t="s">
        <v>44</v>
      </c>
      <c r="E118" t="s">
        <v>9</v>
      </c>
      <c r="F118" s="9">
        <v>5017.6000000000004</v>
      </c>
      <c r="G118" s="4">
        <v>180</v>
      </c>
      <c r="H118" s="8">
        <f t="shared" si="1"/>
        <v>180</v>
      </c>
      <c r="I118" s="10">
        <v>2</v>
      </c>
    </row>
    <row r="119" spans="1:9" ht="15.75" thickBot="1" x14ac:dyDescent="0.3">
      <c r="A119" s="1">
        <v>43466</v>
      </c>
      <c r="B119" s="8" t="s">
        <v>6</v>
      </c>
      <c r="C119" t="s">
        <v>7</v>
      </c>
      <c r="D119" t="s">
        <v>44</v>
      </c>
      <c r="E119" t="s">
        <v>15</v>
      </c>
      <c r="F119" s="9">
        <v>903.57</v>
      </c>
      <c r="G119" s="4">
        <v>3</v>
      </c>
      <c r="H119" s="8">
        <f t="shared" si="1"/>
        <v>3</v>
      </c>
      <c r="I119" s="10">
        <v>3</v>
      </c>
    </row>
    <row r="120" spans="1:9" ht="15.75" thickBot="1" x14ac:dyDescent="0.3">
      <c r="A120" s="1">
        <v>43800</v>
      </c>
      <c r="B120" s="8" t="s">
        <v>6</v>
      </c>
      <c r="C120" t="s">
        <v>7</v>
      </c>
      <c r="D120" t="s">
        <v>44</v>
      </c>
      <c r="E120" t="s">
        <v>10</v>
      </c>
      <c r="F120" s="9">
        <v>90097.7</v>
      </c>
      <c r="G120" s="6">
        <v>5281280.9960000003</v>
      </c>
      <c r="H120" s="8">
        <f t="shared" si="1"/>
        <v>5281.2809960000004</v>
      </c>
      <c r="I120" s="10">
        <v>564</v>
      </c>
    </row>
    <row r="121" spans="1:9" ht="15.75" thickBot="1" x14ac:dyDescent="0.3">
      <c r="A121" s="1">
        <v>43800</v>
      </c>
      <c r="B121" s="8" t="s">
        <v>6</v>
      </c>
      <c r="C121" t="s">
        <v>7</v>
      </c>
      <c r="D121" t="s">
        <v>44</v>
      </c>
      <c r="E121" t="s">
        <v>11</v>
      </c>
      <c r="F121" s="9">
        <v>19970.900000000001</v>
      </c>
      <c r="G121" s="7">
        <v>37516</v>
      </c>
      <c r="H121" s="8">
        <f t="shared" si="1"/>
        <v>37516</v>
      </c>
      <c r="I121" s="10">
        <v>44</v>
      </c>
    </row>
    <row r="122" spans="1:9" ht="15.75" thickBot="1" x14ac:dyDescent="0.3">
      <c r="A122" s="1">
        <v>43800</v>
      </c>
      <c r="B122" s="8" t="s">
        <v>6</v>
      </c>
      <c r="C122" t="s">
        <v>7</v>
      </c>
      <c r="D122" t="s">
        <v>44</v>
      </c>
      <c r="E122" t="s">
        <v>13</v>
      </c>
      <c r="F122" s="9">
        <v>685.79</v>
      </c>
      <c r="G122" s="6">
        <v>41000</v>
      </c>
      <c r="H122" s="8">
        <f t="shared" si="1"/>
        <v>41000</v>
      </c>
      <c r="I122" s="10">
        <v>5</v>
      </c>
    </row>
    <row r="123" spans="1:9" ht="15.75" thickBot="1" x14ac:dyDescent="0.3">
      <c r="A123" s="1">
        <v>43800</v>
      </c>
      <c r="B123" s="8" t="s">
        <v>6</v>
      </c>
      <c r="C123" t="s">
        <v>7</v>
      </c>
      <c r="D123" t="s">
        <v>45</v>
      </c>
      <c r="E123" t="s">
        <v>9</v>
      </c>
      <c r="F123" s="9">
        <v>23840.880000000001</v>
      </c>
      <c r="G123" s="4">
        <v>659</v>
      </c>
      <c r="H123" s="8">
        <f t="shared" si="1"/>
        <v>659</v>
      </c>
      <c r="I123" s="10">
        <v>4</v>
      </c>
    </row>
    <row r="124" spans="1:9" ht="15.75" thickBot="1" x14ac:dyDescent="0.3">
      <c r="A124" s="1">
        <v>43466</v>
      </c>
      <c r="B124" s="8" t="s">
        <v>6</v>
      </c>
      <c r="C124" t="s">
        <v>7</v>
      </c>
      <c r="D124" t="s">
        <v>45</v>
      </c>
      <c r="E124" t="s">
        <v>15</v>
      </c>
      <c r="F124" s="9">
        <v>7982.97</v>
      </c>
      <c r="G124" s="7">
        <v>4149.549</v>
      </c>
      <c r="H124" s="8">
        <f t="shared" si="1"/>
        <v>4149.549</v>
      </c>
      <c r="I124" s="10">
        <v>23</v>
      </c>
    </row>
    <row r="125" spans="1:9" ht="15.75" thickBot="1" x14ac:dyDescent="0.3">
      <c r="A125" s="1">
        <v>43466</v>
      </c>
      <c r="B125" s="8" t="s">
        <v>6</v>
      </c>
      <c r="C125" t="s">
        <v>7</v>
      </c>
      <c r="D125" t="s">
        <v>45</v>
      </c>
      <c r="E125" t="s">
        <v>10</v>
      </c>
      <c r="F125" s="9">
        <v>814824.77</v>
      </c>
      <c r="G125" s="6">
        <v>50137876.906999998</v>
      </c>
      <c r="H125" s="8">
        <f t="shared" si="1"/>
        <v>50137.876906999998</v>
      </c>
      <c r="I125" s="10">
        <v>4500</v>
      </c>
    </row>
    <row r="126" spans="1:9" ht="15.75" thickBot="1" x14ac:dyDescent="0.3">
      <c r="A126" s="1">
        <v>43466</v>
      </c>
      <c r="B126" s="8" t="s">
        <v>6</v>
      </c>
      <c r="C126" t="s">
        <v>7</v>
      </c>
      <c r="D126" t="s">
        <v>45</v>
      </c>
      <c r="E126" t="s">
        <v>11</v>
      </c>
      <c r="F126" s="9">
        <v>99241.98</v>
      </c>
      <c r="G126" s="7">
        <v>1226828.7050000001</v>
      </c>
      <c r="H126" s="8">
        <f t="shared" si="1"/>
        <v>1226828.7050000001</v>
      </c>
      <c r="I126" s="10">
        <v>33</v>
      </c>
    </row>
    <row r="127" spans="1:9" ht="15.75" thickBot="1" x14ac:dyDescent="0.3">
      <c r="A127" s="1">
        <v>43800</v>
      </c>
      <c r="B127" s="8" t="s">
        <v>6</v>
      </c>
      <c r="C127" t="s">
        <v>7</v>
      </c>
      <c r="D127" t="s">
        <v>45</v>
      </c>
      <c r="E127" t="s">
        <v>13</v>
      </c>
      <c r="F127" s="9">
        <v>3891.72</v>
      </c>
      <c r="G127" s="6">
        <v>119899.408</v>
      </c>
      <c r="H127" s="8">
        <f t="shared" si="1"/>
        <v>119899.408</v>
      </c>
      <c r="I127" s="10">
        <v>11</v>
      </c>
    </row>
    <row r="128" spans="1:9" ht="15.75" thickBot="1" x14ac:dyDescent="0.3">
      <c r="A128" s="1">
        <v>43800</v>
      </c>
      <c r="B128" s="8" t="s">
        <v>6</v>
      </c>
      <c r="C128" t="s">
        <v>7</v>
      </c>
      <c r="D128" t="s">
        <v>46</v>
      </c>
      <c r="E128" t="s">
        <v>9</v>
      </c>
      <c r="F128" s="9">
        <v>71929.48</v>
      </c>
      <c r="G128" s="7">
        <v>34059.012000000002</v>
      </c>
      <c r="H128" s="8">
        <f t="shared" si="1"/>
        <v>34059.012000000002</v>
      </c>
      <c r="I128" s="10">
        <v>181</v>
      </c>
    </row>
    <row r="129" spans="1:9" ht="15.75" thickBot="1" x14ac:dyDescent="0.3">
      <c r="A129" s="1">
        <v>43800</v>
      </c>
      <c r="B129" s="8" t="s">
        <v>6</v>
      </c>
      <c r="C129" t="s">
        <v>7</v>
      </c>
      <c r="D129" t="s">
        <v>46</v>
      </c>
      <c r="E129" t="s">
        <v>15</v>
      </c>
      <c r="F129" s="9">
        <v>84358.15</v>
      </c>
      <c r="G129" s="4">
        <v>2929</v>
      </c>
      <c r="H129" s="8">
        <f t="shared" si="1"/>
        <v>2929</v>
      </c>
      <c r="I129" s="10">
        <v>5</v>
      </c>
    </row>
    <row r="130" spans="1:9" ht="15.75" thickBot="1" x14ac:dyDescent="0.3">
      <c r="A130" s="1">
        <v>43800</v>
      </c>
      <c r="B130" s="8" t="s">
        <v>6</v>
      </c>
      <c r="C130" t="s">
        <v>7</v>
      </c>
      <c r="D130" t="s">
        <v>46</v>
      </c>
      <c r="E130" t="s">
        <v>10</v>
      </c>
      <c r="F130" s="9">
        <v>5412.99</v>
      </c>
      <c r="G130" s="7">
        <v>159003</v>
      </c>
      <c r="H130" s="8">
        <f t="shared" ref="H130:H193" si="2">IF(ISNUMBER(SEARCH("Domestic customer", E130)),G130/1000,G130)</f>
        <v>159.00299999999999</v>
      </c>
      <c r="I130" s="10">
        <v>12</v>
      </c>
    </row>
    <row r="131" spans="1:9" ht="15.75" thickBot="1" x14ac:dyDescent="0.3">
      <c r="A131" s="1">
        <v>43466</v>
      </c>
      <c r="B131" s="8" t="s">
        <v>6</v>
      </c>
      <c r="C131" t="s">
        <v>7</v>
      </c>
      <c r="D131" t="s">
        <v>46</v>
      </c>
      <c r="E131" t="s">
        <v>17</v>
      </c>
      <c r="F131" s="9">
        <v>16997.87</v>
      </c>
      <c r="G131" s="7">
        <v>4008.761</v>
      </c>
      <c r="H131" s="8">
        <f t="shared" si="2"/>
        <v>4008.761</v>
      </c>
      <c r="I131" s="10">
        <v>7</v>
      </c>
    </row>
    <row r="132" spans="1:9" ht="15.75" thickBot="1" x14ac:dyDescent="0.3">
      <c r="A132" s="1">
        <v>43466</v>
      </c>
      <c r="B132" s="8" t="s">
        <v>6</v>
      </c>
      <c r="C132" t="s">
        <v>7</v>
      </c>
      <c r="D132" t="s">
        <v>46</v>
      </c>
      <c r="E132" t="s">
        <v>11</v>
      </c>
      <c r="F132" s="9">
        <v>15511.77</v>
      </c>
      <c r="G132" s="4">
        <v>427</v>
      </c>
      <c r="H132" s="8">
        <f t="shared" si="2"/>
        <v>427</v>
      </c>
      <c r="I132" s="10">
        <v>12</v>
      </c>
    </row>
    <row r="133" spans="1:9" ht="15.75" thickBot="1" x14ac:dyDescent="0.3">
      <c r="A133" s="1">
        <v>43466</v>
      </c>
      <c r="B133" s="8" t="s">
        <v>6</v>
      </c>
      <c r="C133" t="s">
        <v>7</v>
      </c>
      <c r="D133" t="s">
        <v>46</v>
      </c>
      <c r="E133" t="s">
        <v>13</v>
      </c>
      <c r="F133" s="9">
        <v>1531.28</v>
      </c>
      <c r="G133" s="4">
        <v>54</v>
      </c>
      <c r="H133" s="8">
        <f t="shared" si="2"/>
        <v>54</v>
      </c>
      <c r="I133" s="10">
        <v>1</v>
      </c>
    </row>
    <row r="134" spans="1:9" ht="15.75" thickBot="1" x14ac:dyDescent="0.3">
      <c r="A134" s="1">
        <v>43800</v>
      </c>
      <c r="B134" s="8" t="s">
        <v>6</v>
      </c>
      <c r="C134" t="s">
        <v>7</v>
      </c>
      <c r="D134" t="s">
        <v>47</v>
      </c>
      <c r="E134" t="s">
        <v>10</v>
      </c>
      <c r="F134" s="9">
        <v>111414.01</v>
      </c>
      <c r="G134" s="6">
        <v>3373220.5</v>
      </c>
      <c r="H134" s="8">
        <f t="shared" si="2"/>
        <v>3373.2204999999999</v>
      </c>
      <c r="I134" s="10">
        <v>226</v>
      </c>
    </row>
    <row r="135" spans="1:9" ht="15.75" thickBot="1" x14ac:dyDescent="0.3">
      <c r="A135" s="1">
        <v>43800</v>
      </c>
      <c r="B135" s="8" t="s">
        <v>6</v>
      </c>
      <c r="C135" t="s">
        <v>7</v>
      </c>
      <c r="D135" t="s">
        <v>47</v>
      </c>
      <c r="E135" t="s">
        <v>11</v>
      </c>
      <c r="F135" s="9">
        <v>1129.2</v>
      </c>
      <c r="G135" s="4">
        <v>10</v>
      </c>
      <c r="H135" s="8">
        <f t="shared" si="2"/>
        <v>10</v>
      </c>
      <c r="I135" s="10">
        <v>7</v>
      </c>
    </row>
    <row r="136" spans="1:9" ht="15.75" thickBot="1" x14ac:dyDescent="0.3">
      <c r="A136" s="1">
        <v>43800</v>
      </c>
      <c r="B136" s="8" t="s">
        <v>6</v>
      </c>
      <c r="C136" t="s">
        <v>7</v>
      </c>
      <c r="D136" t="s">
        <v>47</v>
      </c>
      <c r="E136" t="s">
        <v>13</v>
      </c>
      <c r="F136" s="9">
        <v>2888.91</v>
      </c>
      <c r="G136" s="6">
        <v>58000</v>
      </c>
      <c r="H136" s="8">
        <f t="shared" si="2"/>
        <v>58000</v>
      </c>
      <c r="I136" s="10">
        <v>2</v>
      </c>
    </row>
    <row r="137" spans="1:9" ht="15.75" thickBot="1" x14ac:dyDescent="0.3">
      <c r="A137" s="1">
        <v>43800</v>
      </c>
      <c r="B137" s="8" t="s">
        <v>6</v>
      </c>
      <c r="C137" t="s">
        <v>7</v>
      </c>
      <c r="D137" t="s">
        <v>48</v>
      </c>
      <c r="E137" t="s">
        <v>9</v>
      </c>
      <c r="F137" s="9">
        <v>90692.76</v>
      </c>
      <c r="G137" s="7">
        <v>14742.521000000001</v>
      </c>
      <c r="H137" s="8">
        <f t="shared" si="2"/>
        <v>14742.521000000001</v>
      </c>
      <c r="I137" s="10">
        <v>44</v>
      </c>
    </row>
    <row r="138" spans="1:9" ht="15.75" thickBot="1" x14ac:dyDescent="0.3">
      <c r="A138" s="1">
        <v>43466</v>
      </c>
      <c r="B138" s="8" t="s">
        <v>6</v>
      </c>
      <c r="C138" t="s">
        <v>7</v>
      </c>
      <c r="D138" t="s">
        <v>48</v>
      </c>
      <c r="E138" t="s">
        <v>15</v>
      </c>
      <c r="F138" s="9">
        <v>2078.52</v>
      </c>
      <c r="G138" s="4">
        <v>181</v>
      </c>
      <c r="H138" s="8">
        <f t="shared" si="2"/>
        <v>181</v>
      </c>
      <c r="I138" s="10">
        <v>5</v>
      </c>
    </row>
    <row r="139" spans="1:9" ht="15.75" thickBot="1" x14ac:dyDescent="0.3">
      <c r="A139" s="1">
        <v>43466</v>
      </c>
      <c r="B139" s="8" t="s">
        <v>6</v>
      </c>
      <c r="C139" t="s">
        <v>7</v>
      </c>
      <c r="D139" t="s">
        <v>48</v>
      </c>
      <c r="E139" t="s">
        <v>10</v>
      </c>
      <c r="F139" s="9">
        <v>511436.08</v>
      </c>
      <c r="G139" s="7">
        <v>19649167.925999999</v>
      </c>
      <c r="H139" s="8">
        <f t="shared" si="2"/>
        <v>19649.167925999998</v>
      </c>
      <c r="I139" s="10">
        <v>1467</v>
      </c>
    </row>
    <row r="140" spans="1:9" ht="15.75" thickBot="1" x14ac:dyDescent="0.3">
      <c r="A140" s="1">
        <v>43466</v>
      </c>
      <c r="B140" s="8" t="s">
        <v>6</v>
      </c>
      <c r="C140" t="s">
        <v>7</v>
      </c>
      <c r="D140" t="s">
        <v>48</v>
      </c>
      <c r="E140" t="s">
        <v>17</v>
      </c>
      <c r="F140" s="9">
        <v>14676.99</v>
      </c>
      <c r="G140" s="4">
        <v>431</v>
      </c>
      <c r="H140" s="8">
        <f t="shared" si="2"/>
        <v>431</v>
      </c>
      <c r="I140" s="10">
        <v>8</v>
      </c>
    </row>
    <row r="141" spans="1:9" ht="15.75" thickBot="1" x14ac:dyDescent="0.3">
      <c r="A141" s="1">
        <v>43800</v>
      </c>
      <c r="B141" s="8" t="s">
        <v>6</v>
      </c>
      <c r="C141" t="s">
        <v>7</v>
      </c>
      <c r="D141" t="s">
        <v>48</v>
      </c>
      <c r="E141" t="s">
        <v>11</v>
      </c>
      <c r="F141" s="9">
        <v>100518.74</v>
      </c>
      <c r="G141" s="7">
        <v>13521.237999999999</v>
      </c>
      <c r="H141" s="8">
        <f t="shared" si="2"/>
        <v>13521.237999999999</v>
      </c>
      <c r="I141" s="10">
        <v>56</v>
      </c>
    </row>
    <row r="142" spans="1:9" ht="15.75" thickBot="1" x14ac:dyDescent="0.3">
      <c r="A142" s="1">
        <v>43800</v>
      </c>
      <c r="B142" s="8" t="s">
        <v>6</v>
      </c>
      <c r="C142" t="s">
        <v>7</v>
      </c>
      <c r="D142" t="s">
        <v>48</v>
      </c>
      <c r="E142" t="s">
        <v>13</v>
      </c>
      <c r="F142" s="9">
        <v>2620.67</v>
      </c>
      <c r="G142" s="6">
        <v>102000</v>
      </c>
      <c r="H142" s="8">
        <f t="shared" si="2"/>
        <v>102000</v>
      </c>
      <c r="I142" s="10">
        <v>9</v>
      </c>
    </row>
    <row r="143" spans="1:9" ht="15.75" thickBot="1" x14ac:dyDescent="0.3">
      <c r="A143" s="1">
        <v>43800</v>
      </c>
      <c r="B143" s="8" t="s">
        <v>6</v>
      </c>
      <c r="C143" t="s">
        <v>7</v>
      </c>
      <c r="D143" t="s">
        <v>49</v>
      </c>
      <c r="E143" t="s">
        <v>9</v>
      </c>
      <c r="F143" s="9">
        <v>54490.92</v>
      </c>
      <c r="G143" s="4">
        <v>1073</v>
      </c>
      <c r="H143" s="8">
        <f t="shared" si="2"/>
        <v>1073</v>
      </c>
      <c r="I143" s="10">
        <v>22</v>
      </c>
    </row>
    <row r="144" spans="1:9" ht="15.75" thickBot="1" x14ac:dyDescent="0.3">
      <c r="A144" s="1">
        <v>43800</v>
      </c>
      <c r="B144" s="8" t="s">
        <v>6</v>
      </c>
      <c r="C144" t="s">
        <v>7</v>
      </c>
      <c r="D144" t="s">
        <v>49</v>
      </c>
      <c r="E144" t="s">
        <v>15</v>
      </c>
      <c r="F144" s="9">
        <v>2178.2399999999998</v>
      </c>
      <c r="G144" s="4">
        <v>55</v>
      </c>
      <c r="H144" s="8">
        <f t="shared" si="2"/>
        <v>55</v>
      </c>
      <c r="I144" s="10">
        <v>2</v>
      </c>
    </row>
    <row r="145" spans="1:9" ht="15.75" thickBot="1" x14ac:dyDescent="0.3">
      <c r="A145" s="1">
        <v>43466</v>
      </c>
      <c r="B145" s="8" t="s">
        <v>6</v>
      </c>
      <c r="C145" t="s">
        <v>7</v>
      </c>
      <c r="D145" t="s">
        <v>49</v>
      </c>
      <c r="E145" t="s">
        <v>10</v>
      </c>
      <c r="F145" s="9">
        <v>51912.12</v>
      </c>
      <c r="G145" s="6">
        <v>1738918.784</v>
      </c>
      <c r="H145" s="8">
        <f t="shared" si="2"/>
        <v>1738.918784</v>
      </c>
      <c r="I145" s="10">
        <v>108</v>
      </c>
    </row>
    <row r="146" spans="1:9" ht="15.75" thickBot="1" x14ac:dyDescent="0.3">
      <c r="A146" s="1">
        <v>43466</v>
      </c>
      <c r="B146" s="8" t="s">
        <v>6</v>
      </c>
      <c r="C146" t="s">
        <v>7</v>
      </c>
      <c r="D146" t="s">
        <v>49</v>
      </c>
      <c r="E146" t="s">
        <v>11</v>
      </c>
      <c r="F146" s="9">
        <v>14188.56</v>
      </c>
      <c r="G146" s="7">
        <v>67456.800000000003</v>
      </c>
      <c r="H146" s="8">
        <f t="shared" si="2"/>
        <v>67456.800000000003</v>
      </c>
      <c r="I146" s="10">
        <v>7</v>
      </c>
    </row>
    <row r="147" spans="1:9" ht="15.75" thickBot="1" x14ac:dyDescent="0.3">
      <c r="A147" s="1">
        <v>43466</v>
      </c>
      <c r="B147" s="8" t="s">
        <v>6</v>
      </c>
      <c r="C147" t="s">
        <v>7</v>
      </c>
      <c r="D147" t="s">
        <v>49</v>
      </c>
      <c r="E147" t="s">
        <v>13</v>
      </c>
      <c r="F147" s="9">
        <v>2255.5300000000002</v>
      </c>
      <c r="G147" s="6">
        <v>108597.064</v>
      </c>
      <c r="H147" s="8">
        <f t="shared" si="2"/>
        <v>108597.064</v>
      </c>
      <c r="I147" s="10">
        <v>2</v>
      </c>
    </row>
    <row r="148" spans="1:9" ht="15.75" thickBot="1" x14ac:dyDescent="0.3">
      <c r="A148" s="1">
        <v>43800</v>
      </c>
      <c r="B148" s="8" t="s">
        <v>6</v>
      </c>
      <c r="C148" t="s">
        <v>7</v>
      </c>
      <c r="D148" t="s">
        <v>50</v>
      </c>
      <c r="E148" t="s">
        <v>15</v>
      </c>
      <c r="F148" s="9">
        <v>625</v>
      </c>
      <c r="G148" s="4">
        <v>0</v>
      </c>
      <c r="H148" s="8">
        <f t="shared" si="2"/>
        <v>0</v>
      </c>
      <c r="I148" s="10">
        <v>1</v>
      </c>
    </row>
    <row r="149" spans="1:9" ht="15.75" thickBot="1" x14ac:dyDescent="0.3">
      <c r="A149" s="1">
        <v>43800</v>
      </c>
      <c r="B149" s="8" t="s">
        <v>6</v>
      </c>
      <c r="C149" t="s">
        <v>7</v>
      </c>
      <c r="D149" t="s">
        <v>50</v>
      </c>
      <c r="E149" t="s">
        <v>10</v>
      </c>
      <c r="F149" s="9">
        <v>73930.070000000007</v>
      </c>
      <c r="G149" s="6">
        <v>2783539.69</v>
      </c>
      <c r="H149" s="8">
        <f t="shared" si="2"/>
        <v>2783.5396900000001</v>
      </c>
      <c r="I149" s="10">
        <v>316</v>
      </c>
    </row>
    <row r="150" spans="1:9" ht="15.75" thickBot="1" x14ac:dyDescent="0.3">
      <c r="A150" s="1">
        <v>43800</v>
      </c>
      <c r="B150" s="8" t="s">
        <v>6</v>
      </c>
      <c r="C150" t="s">
        <v>7</v>
      </c>
      <c r="D150" t="s">
        <v>50</v>
      </c>
      <c r="E150" t="s">
        <v>11</v>
      </c>
      <c r="F150" s="9">
        <v>3833.45</v>
      </c>
      <c r="G150" s="4">
        <v>12</v>
      </c>
      <c r="H150" s="8">
        <f t="shared" si="2"/>
        <v>12</v>
      </c>
      <c r="I150" s="10">
        <v>4</v>
      </c>
    </row>
    <row r="151" spans="1:9" ht="15.75" thickBot="1" x14ac:dyDescent="0.3">
      <c r="A151" s="1">
        <v>43800</v>
      </c>
      <c r="B151" s="8" t="s">
        <v>6</v>
      </c>
      <c r="C151" t="s">
        <v>7</v>
      </c>
      <c r="D151" t="s">
        <v>51</v>
      </c>
      <c r="E151" t="s">
        <v>9</v>
      </c>
      <c r="F151" s="9">
        <v>1319.69</v>
      </c>
      <c r="G151" s="4">
        <v>46</v>
      </c>
      <c r="H151" s="8">
        <f t="shared" si="2"/>
        <v>46</v>
      </c>
      <c r="I151" s="10">
        <v>1</v>
      </c>
    </row>
    <row r="152" spans="1:9" ht="15.75" thickBot="1" x14ac:dyDescent="0.3">
      <c r="A152" s="1">
        <v>43466</v>
      </c>
      <c r="B152" s="8" t="s">
        <v>6</v>
      </c>
      <c r="C152" t="s">
        <v>7</v>
      </c>
      <c r="D152" t="s">
        <v>51</v>
      </c>
      <c r="E152" t="s">
        <v>15</v>
      </c>
      <c r="F152" s="9">
        <v>409.39</v>
      </c>
      <c r="G152" s="4">
        <v>4</v>
      </c>
      <c r="H152" s="8">
        <f t="shared" si="2"/>
        <v>4</v>
      </c>
      <c r="I152" s="10">
        <v>2</v>
      </c>
    </row>
    <row r="153" spans="1:9" ht="15.75" thickBot="1" x14ac:dyDescent="0.3">
      <c r="A153" s="1">
        <v>43466</v>
      </c>
      <c r="B153" s="8" t="s">
        <v>6</v>
      </c>
      <c r="C153" t="s">
        <v>7</v>
      </c>
      <c r="D153" t="s">
        <v>51</v>
      </c>
      <c r="E153" t="s">
        <v>10</v>
      </c>
      <c r="F153" s="9">
        <v>5895.19</v>
      </c>
      <c r="G153" s="6">
        <v>3111549.8650000002</v>
      </c>
      <c r="H153" s="8">
        <f t="shared" si="2"/>
        <v>3111.5498650000004</v>
      </c>
      <c r="I153" s="10">
        <v>293</v>
      </c>
    </row>
    <row r="154" spans="1:9" ht="15.75" thickBot="1" x14ac:dyDescent="0.3">
      <c r="A154" s="1">
        <v>43466</v>
      </c>
      <c r="B154" s="8" t="s">
        <v>6</v>
      </c>
      <c r="C154" t="s">
        <v>7</v>
      </c>
      <c r="D154" t="s">
        <v>51</v>
      </c>
      <c r="E154" t="s">
        <v>11</v>
      </c>
      <c r="F154" s="9">
        <v>81.569999999999993</v>
      </c>
      <c r="G154" s="5">
        <v>0</v>
      </c>
      <c r="H154" s="8">
        <f t="shared" si="2"/>
        <v>0</v>
      </c>
      <c r="I154" s="10">
        <v>1</v>
      </c>
    </row>
    <row r="155" spans="1:9" ht="15.75" thickBot="1" x14ac:dyDescent="0.3">
      <c r="A155" s="1">
        <v>43800</v>
      </c>
      <c r="B155" s="8" t="s">
        <v>6</v>
      </c>
      <c r="C155" t="s">
        <v>7</v>
      </c>
      <c r="D155" t="s">
        <v>52</v>
      </c>
      <c r="E155" t="s">
        <v>15</v>
      </c>
      <c r="F155" s="9">
        <v>266.64</v>
      </c>
      <c r="G155" s="4">
        <v>2</v>
      </c>
      <c r="H155" s="8">
        <f t="shared" si="2"/>
        <v>2</v>
      </c>
      <c r="I155" s="10">
        <v>2</v>
      </c>
    </row>
    <row r="156" spans="1:9" ht="15.75" thickBot="1" x14ac:dyDescent="0.3">
      <c r="A156" s="1">
        <v>43800</v>
      </c>
      <c r="B156" s="8" t="s">
        <v>6</v>
      </c>
      <c r="C156" t="s">
        <v>7</v>
      </c>
      <c r="D156" t="s">
        <v>52</v>
      </c>
      <c r="E156" t="s">
        <v>10</v>
      </c>
      <c r="F156" s="9">
        <v>4137.7299999999996</v>
      </c>
      <c r="G156" s="6">
        <v>3753358.753</v>
      </c>
      <c r="H156" s="8">
        <f t="shared" si="2"/>
        <v>3753.358753</v>
      </c>
      <c r="I156" s="10">
        <v>299</v>
      </c>
    </row>
    <row r="157" spans="1:9" ht="15.75" thickBot="1" x14ac:dyDescent="0.3">
      <c r="A157" s="1">
        <v>43800</v>
      </c>
      <c r="B157" s="8" t="s">
        <v>6</v>
      </c>
      <c r="C157" t="s">
        <v>7</v>
      </c>
      <c r="D157" t="s">
        <v>52</v>
      </c>
      <c r="E157" t="s">
        <v>11</v>
      </c>
      <c r="F157" s="9">
        <v>326.27999999999997</v>
      </c>
      <c r="G157" s="5">
        <v>0</v>
      </c>
      <c r="H157" s="8">
        <f t="shared" si="2"/>
        <v>0</v>
      </c>
      <c r="I157" s="10">
        <v>4</v>
      </c>
    </row>
    <row r="158" spans="1:9" ht="15.75" thickBot="1" x14ac:dyDescent="0.3">
      <c r="A158" s="1">
        <v>43800</v>
      </c>
      <c r="B158" s="8" t="s">
        <v>6</v>
      </c>
      <c r="C158" t="s">
        <v>7</v>
      </c>
      <c r="D158" t="s">
        <v>53</v>
      </c>
      <c r="E158" t="s">
        <v>15</v>
      </c>
      <c r="F158" s="9">
        <v>1029.1500000000001</v>
      </c>
      <c r="G158" s="4">
        <v>36</v>
      </c>
      <c r="H158" s="8">
        <f t="shared" si="2"/>
        <v>36</v>
      </c>
      <c r="I158" s="10">
        <v>1</v>
      </c>
    </row>
    <row r="159" spans="1:9" ht="15.75" thickBot="1" x14ac:dyDescent="0.3">
      <c r="A159" s="1">
        <v>43466</v>
      </c>
      <c r="B159" s="8" t="s">
        <v>6</v>
      </c>
      <c r="C159" t="s">
        <v>7</v>
      </c>
      <c r="D159" t="s">
        <v>53</v>
      </c>
      <c r="E159" t="s">
        <v>10</v>
      </c>
      <c r="F159" s="9">
        <v>7751.17</v>
      </c>
      <c r="G159" s="6">
        <v>6011054.4369999999</v>
      </c>
      <c r="H159" s="8">
        <f t="shared" si="2"/>
        <v>6011.0544369999998</v>
      </c>
      <c r="I159" s="10">
        <v>482</v>
      </c>
    </row>
    <row r="160" spans="1:9" ht="15.75" thickBot="1" x14ac:dyDescent="0.3">
      <c r="A160" s="1">
        <v>43466</v>
      </c>
      <c r="B160" s="8" t="s">
        <v>6</v>
      </c>
      <c r="C160" t="s">
        <v>7</v>
      </c>
      <c r="D160" t="s">
        <v>53</v>
      </c>
      <c r="E160" t="s">
        <v>11</v>
      </c>
      <c r="F160" s="9">
        <v>10261.02</v>
      </c>
      <c r="G160" s="4">
        <v>309</v>
      </c>
      <c r="H160" s="8">
        <f t="shared" si="2"/>
        <v>309</v>
      </c>
      <c r="I160" s="10">
        <v>4</v>
      </c>
    </row>
    <row r="161" spans="1:9" ht="15.75" thickBot="1" x14ac:dyDescent="0.3">
      <c r="A161" s="1">
        <v>43466</v>
      </c>
      <c r="B161" s="8" t="s">
        <v>6</v>
      </c>
      <c r="C161" t="s">
        <v>7</v>
      </c>
      <c r="D161" t="s">
        <v>53</v>
      </c>
      <c r="E161" t="s">
        <v>13</v>
      </c>
      <c r="F161" s="9">
        <v>0</v>
      </c>
      <c r="G161" s="6">
        <v>11061.9</v>
      </c>
      <c r="H161" s="8">
        <f t="shared" si="2"/>
        <v>11061.9</v>
      </c>
      <c r="I161" s="10">
        <v>1</v>
      </c>
    </row>
    <row r="162" spans="1:9" ht="15.75" thickBot="1" x14ac:dyDescent="0.3">
      <c r="A162" s="1">
        <v>43800</v>
      </c>
      <c r="B162" s="8" t="s">
        <v>6</v>
      </c>
      <c r="C162" t="s">
        <v>7</v>
      </c>
      <c r="D162" t="s">
        <v>54</v>
      </c>
      <c r="E162" t="s">
        <v>15</v>
      </c>
      <c r="F162" s="9">
        <v>15363.84</v>
      </c>
      <c r="G162" s="4">
        <v>481</v>
      </c>
      <c r="H162" s="8">
        <f t="shared" si="2"/>
        <v>481</v>
      </c>
      <c r="I162" s="10">
        <v>7</v>
      </c>
    </row>
    <row r="163" spans="1:9" ht="15.75" thickBot="1" x14ac:dyDescent="0.3">
      <c r="A163" s="1">
        <v>43800</v>
      </c>
      <c r="B163" s="8" t="s">
        <v>6</v>
      </c>
      <c r="C163" t="s">
        <v>7</v>
      </c>
      <c r="D163" t="s">
        <v>54</v>
      </c>
      <c r="E163" t="s">
        <v>10</v>
      </c>
      <c r="F163" s="9">
        <v>9081.8799999999992</v>
      </c>
      <c r="G163" s="6">
        <v>6214240.3629999999</v>
      </c>
      <c r="H163" s="8">
        <f t="shared" si="2"/>
        <v>6214.2403629999999</v>
      </c>
      <c r="I163" s="10">
        <v>538</v>
      </c>
    </row>
    <row r="164" spans="1:9" ht="15.75" thickBot="1" x14ac:dyDescent="0.3">
      <c r="A164" s="1">
        <v>43800</v>
      </c>
      <c r="B164" s="8" t="s">
        <v>6</v>
      </c>
      <c r="C164" t="s">
        <v>7</v>
      </c>
      <c r="D164" t="s">
        <v>54</v>
      </c>
      <c r="E164" t="s">
        <v>11</v>
      </c>
      <c r="F164" s="9">
        <v>10096.4</v>
      </c>
      <c r="G164" s="4">
        <v>281</v>
      </c>
      <c r="H164" s="8">
        <f t="shared" si="2"/>
        <v>281</v>
      </c>
      <c r="I164" s="10">
        <v>8</v>
      </c>
    </row>
    <row r="165" spans="1:9" ht="15.75" thickBot="1" x14ac:dyDescent="0.3">
      <c r="A165" s="1">
        <v>43800</v>
      </c>
      <c r="B165" s="8" t="s">
        <v>6</v>
      </c>
      <c r="C165" t="s">
        <v>7</v>
      </c>
      <c r="D165" t="s">
        <v>54</v>
      </c>
      <c r="E165" t="s">
        <v>13</v>
      </c>
      <c r="F165" s="9">
        <v>0</v>
      </c>
      <c r="G165" s="6">
        <v>8260.85</v>
      </c>
      <c r="H165" s="8">
        <f t="shared" si="2"/>
        <v>8260.85</v>
      </c>
      <c r="I165" s="10">
        <v>2</v>
      </c>
    </row>
    <row r="166" spans="1:9" ht="15.75" thickBot="1" x14ac:dyDescent="0.3">
      <c r="A166" s="1">
        <v>43466</v>
      </c>
      <c r="B166" s="8" t="s">
        <v>6</v>
      </c>
      <c r="C166" t="s">
        <v>7</v>
      </c>
      <c r="D166" t="s">
        <v>55</v>
      </c>
      <c r="E166" t="s">
        <v>9</v>
      </c>
      <c r="F166" s="9">
        <v>892.28</v>
      </c>
      <c r="G166" s="4">
        <v>29</v>
      </c>
      <c r="H166" s="8">
        <f t="shared" si="2"/>
        <v>29</v>
      </c>
      <c r="I166" s="10">
        <v>1</v>
      </c>
    </row>
    <row r="167" spans="1:9" ht="15.75" thickBot="1" x14ac:dyDescent="0.3">
      <c r="A167" s="1">
        <v>43466</v>
      </c>
      <c r="B167" s="8" t="s">
        <v>6</v>
      </c>
      <c r="C167" t="s">
        <v>7</v>
      </c>
      <c r="D167" t="s">
        <v>55</v>
      </c>
      <c r="E167" t="s">
        <v>15</v>
      </c>
      <c r="F167" s="9">
        <v>882.41</v>
      </c>
      <c r="G167" s="4">
        <v>4</v>
      </c>
      <c r="H167" s="8">
        <f t="shared" si="2"/>
        <v>4</v>
      </c>
      <c r="I167" s="10">
        <v>2</v>
      </c>
    </row>
    <row r="168" spans="1:9" ht="15.75" thickBot="1" x14ac:dyDescent="0.3">
      <c r="A168" s="1">
        <v>43466</v>
      </c>
      <c r="B168" s="8" t="s">
        <v>6</v>
      </c>
      <c r="C168" t="s">
        <v>7</v>
      </c>
      <c r="D168" t="s">
        <v>55</v>
      </c>
      <c r="E168" t="s">
        <v>10</v>
      </c>
      <c r="F168" s="9">
        <v>48091.11</v>
      </c>
      <c r="G168" s="6">
        <v>2819740.7220000001</v>
      </c>
      <c r="H168" s="8">
        <f t="shared" si="2"/>
        <v>2819.740722</v>
      </c>
      <c r="I168" s="10">
        <v>270</v>
      </c>
    </row>
    <row r="169" spans="1:9" ht="15.75" thickBot="1" x14ac:dyDescent="0.3">
      <c r="A169" s="1">
        <v>43800</v>
      </c>
      <c r="B169" s="8" t="s">
        <v>6</v>
      </c>
      <c r="C169" t="s">
        <v>7</v>
      </c>
      <c r="D169" t="s">
        <v>55</v>
      </c>
      <c r="E169" t="s">
        <v>11</v>
      </c>
      <c r="F169" s="9">
        <v>809.02</v>
      </c>
      <c r="G169" s="4">
        <v>9</v>
      </c>
      <c r="H169" s="8">
        <f t="shared" si="2"/>
        <v>9</v>
      </c>
      <c r="I169" s="10">
        <v>3</v>
      </c>
    </row>
    <row r="170" spans="1:9" ht="15.75" thickBot="1" x14ac:dyDescent="0.3">
      <c r="A170" s="1">
        <v>43800</v>
      </c>
      <c r="B170" s="8" t="s">
        <v>6</v>
      </c>
      <c r="C170" t="s">
        <v>7</v>
      </c>
      <c r="D170" t="s">
        <v>56</v>
      </c>
      <c r="E170" t="s">
        <v>10</v>
      </c>
      <c r="F170" s="9">
        <v>913.63</v>
      </c>
      <c r="G170" s="6">
        <v>446369.6</v>
      </c>
      <c r="H170" s="8">
        <f t="shared" si="2"/>
        <v>446.36959999999999</v>
      </c>
      <c r="I170" s="10">
        <v>46</v>
      </c>
    </row>
    <row r="171" spans="1:9" ht="15.75" thickBot="1" x14ac:dyDescent="0.3">
      <c r="A171" s="1">
        <v>43800</v>
      </c>
      <c r="B171" s="8" t="s">
        <v>6</v>
      </c>
      <c r="C171" t="s">
        <v>7</v>
      </c>
      <c r="D171" t="s">
        <v>56</v>
      </c>
      <c r="E171" t="s">
        <v>11</v>
      </c>
      <c r="F171" s="9">
        <v>2543.56</v>
      </c>
      <c r="G171" s="4">
        <v>8</v>
      </c>
      <c r="H171" s="8">
        <f t="shared" si="2"/>
        <v>8</v>
      </c>
      <c r="I171" s="10">
        <v>2</v>
      </c>
    </row>
    <row r="172" spans="1:9" ht="15.75" thickBot="1" x14ac:dyDescent="0.3">
      <c r="A172" s="1">
        <v>43800</v>
      </c>
      <c r="B172" s="8" t="s">
        <v>6</v>
      </c>
      <c r="C172" t="s">
        <v>7</v>
      </c>
      <c r="D172" t="s">
        <v>57</v>
      </c>
      <c r="E172" t="s">
        <v>9</v>
      </c>
      <c r="F172" s="9">
        <v>7020.24</v>
      </c>
      <c r="G172" s="4">
        <v>101</v>
      </c>
      <c r="H172" s="8">
        <f t="shared" si="2"/>
        <v>101</v>
      </c>
      <c r="I172" s="10">
        <v>5</v>
      </c>
    </row>
    <row r="173" spans="1:9" ht="15.75" thickBot="1" x14ac:dyDescent="0.3">
      <c r="A173" s="1">
        <v>43466</v>
      </c>
      <c r="B173" s="8" t="s">
        <v>6</v>
      </c>
      <c r="C173" t="s">
        <v>7</v>
      </c>
      <c r="D173" t="s">
        <v>57</v>
      </c>
      <c r="E173" t="s">
        <v>15</v>
      </c>
      <c r="F173" s="9">
        <v>7766.78</v>
      </c>
      <c r="G173" s="4">
        <v>282</v>
      </c>
      <c r="H173" s="8">
        <f t="shared" si="2"/>
        <v>282</v>
      </c>
      <c r="I173" s="10">
        <v>1</v>
      </c>
    </row>
    <row r="174" spans="1:9" ht="15.75" thickBot="1" x14ac:dyDescent="0.3">
      <c r="A174" s="1">
        <v>43466</v>
      </c>
      <c r="B174" s="8" t="s">
        <v>6</v>
      </c>
      <c r="C174" t="s">
        <v>7</v>
      </c>
      <c r="D174" t="s">
        <v>57</v>
      </c>
      <c r="E174" t="s">
        <v>10</v>
      </c>
      <c r="F174" s="9">
        <v>9328.7800000000007</v>
      </c>
      <c r="G174" s="6">
        <v>4308253.165</v>
      </c>
      <c r="H174" s="8">
        <f t="shared" si="2"/>
        <v>4308.2531650000001</v>
      </c>
      <c r="I174" s="10">
        <v>411</v>
      </c>
    </row>
    <row r="175" spans="1:9" ht="15.75" thickBot="1" x14ac:dyDescent="0.3">
      <c r="A175" s="1">
        <v>43466</v>
      </c>
      <c r="B175" s="8" t="s">
        <v>6</v>
      </c>
      <c r="C175" t="s">
        <v>7</v>
      </c>
      <c r="D175" t="s">
        <v>57</v>
      </c>
      <c r="E175" t="s">
        <v>11</v>
      </c>
      <c r="F175" s="9">
        <v>9590.74</v>
      </c>
      <c r="G175" s="4">
        <v>236</v>
      </c>
      <c r="H175" s="8">
        <f t="shared" si="2"/>
        <v>236</v>
      </c>
      <c r="I175" s="10">
        <v>8</v>
      </c>
    </row>
    <row r="176" spans="1:9" ht="15.75" thickBot="1" x14ac:dyDescent="0.3">
      <c r="A176" s="1">
        <v>43800</v>
      </c>
      <c r="B176" s="8" t="s">
        <v>6</v>
      </c>
      <c r="C176" t="s">
        <v>7</v>
      </c>
      <c r="D176" t="s">
        <v>57</v>
      </c>
      <c r="E176" t="s">
        <v>13</v>
      </c>
      <c r="F176" s="9">
        <v>8156.11</v>
      </c>
      <c r="G176" s="7">
        <v>45088.985999999997</v>
      </c>
      <c r="H176" s="8">
        <f t="shared" si="2"/>
        <v>45088.985999999997</v>
      </c>
      <c r="I176" s="10">
        <v>4</v>
      </c>
    </row>
    <row r="177" spans="1:9" ht="15.75" thickBot="1" x14ac:dyDescent="0.3">
      <c r="A177" s="1">
        <v>43800</v>
      </c>
      <c r="B177" s="8" t="s">
        <v>6</v>
      </c>
      <c r="C177" t="s">
        <v>7</v>
      </c>
      <c r="D177" t="s">
        <v>58</v>
      </c>
      <c r="E177" t="s">
        <v>9</v>
      </c>
      <c r="F177" s="9">
        <v>1371.44</v>
      </c>
      <c r="G177" s="4">
        <v>42</v>
      </c>
      <c r="H177" s="8">
        <f t="shared" si="2"/>
        <v>42</v>
      </c>
      <c r="I177" s="10">
        <v>1</v>
      </c>
    </row>
    <row r="178" spans="1:9" ht="15.75" thickBot="1" x14ac:dyDescent="0.3">
      <c r="A178" s="1">
        <v>43800</v>
      </c>
      <c r="B178" s="8" t="s">
        <v>6</v>
      </c>
      <c r="C178" t="s">
        <v>7</v>
      </c>
      <c r="D178" t="s">
        <v>58</v>
      </c>
      <c r="E178" t="s">
        <v>15</v>
      </c>
      <c r="F178" s="9">
        <v>15909.9</v>
      </c>
      <c r="G178" s="4">
        <v>413</v>
      </c>
      <c r="H178" s="8">
        <f t="shared" si="2"/>
        <v>413</v>
      </c>
      <c r="I178" s="10">
        <v>9</v>
      </c>
    </row>
    <row r="179" spans="1:9" ht="15.75" thickBot="1" x14ac:dyDescent="0.3">
      <c r="A179" s="1">
        <v>43800</v>
      </c>
      <c r="B179" s="8" t="s">
        <v>6</v>
      </c>
      <c r="C179" t="s">
        <v>7</v>
      </c>
      <c r="D179" t="s">
        <v>58</v>
      </c>
      <c r="E179" t="s">
        <v>10</v>
      </c>
      <c r="F179" s="9">
        <v>235985.49</v>
      </c>
      <c r="G179" s="6">
        <v>8521212.3660000004</v>
      </c>
      <c r="H179" s="8">
        <f t="shared" si="2"/>
        <v>8521.2123659999997</v>
      </c>
      <c r="I179" s="10">
        <v>731</v>
      </c>
    </row>
    <row r="180" spans="1:9" ht="15.75" thickBot="1" x14ac:dyDescent="0.3">
      <c r="A180" s="1">
        <v>43466</v>
      </c>
      <c r="B180" s="8" t="s">
        <v>6</v>
      </c>
      <c r="C180" t="s">
        <v>7</v>
      </c>
      <c r="D180" t="s">
        <v>58</v>
      </c>
      <c r="E180" t="s">
        <v>11</v>
      </c>
      <c r="F180" s="9">
        <v>6321.2</v>
      </c>
      <c r="G180" s="4">
        <v>162</v>
      </c>
      <c r="H180" s="8">
        <f t="shared" si="2"/>
        <v>162</v>
      </c>
      <c r="I180" s="10">
        <v>11</v>
      </c>
    </row>
    <row r="181" spans="1:9" ht="15.75" thickBot="1" x14ac:dyDescent="0.3">
      <c r="A181" s="1">
        <v>43466</v>
      </c>
      <c r="B181" s="8" t="s">
        <v>6</v>
      </c>
      <c r="C181" t="s">
        <v>7</v>
      </c>
      <c r="D181" t="s">
        <v>58</v>
      </c>
      <c r="E181" t="s">
        <v>13</v>
      </c>
      <c r="F181" s="9">
        <v>327.71</v>
      </c>
      <c r="G181" s="6">
        <v>10969</v>
      </c>
      <c r="H181" s="8">
        <f t="shared" si="2"/>
        <v>10969</v>
      </c>
      <c r="I181" s="10">
        <v>2</v>
      </c>
    </row>
    <row r="182" spans="1:9" ht="15.75" thickBot="1" x14ac:dyDescent="0.3">
      <c r="A182" s="1">
        <v>43466</v>
      </c>
      <c r="B182" s="8" t="s">
        <v>6</v>
      </c>
      <c r="C182" t="s">
        <v>7</v>
      </c>
      <c r="D182" t="s">
        <v>59</v>
      </c>
      <c r="E182" t="s">
        <v>9</v>
      </c>
      <c r="F182" s="9">
        <v>3538.96</v>
      </c>
      <c r="G182" s="4">
        <v>103</v>
      </c>
      <c r="H182" s="8">
        <f t="shared" si="2"/>
        <v>103</v>
      </c>
      <c r="I182" s="10">
        <v>2</v>
      </c>
    </row>
    <row r="183" spans="1:9" ht="15.75" thickBot="1" x14ac:dyDescent="0.3">
      <c r="A183" s="1">
        <v>43800</v>
      </c>
      <c r="B183" s="8" t="s">
        <v>6</v>
      </c>
      <c r="C183" t="s">
        <v>7</v>
      </c>
      <c r="D183" t="s">
        <v>59</v>
      </c>
      <c r="E183" t="s">
        <v>15</v>
      </c>
      <c r="F183" s="9">
        <v>29037.73</v>
      </c>
      <c r="G183" s="7">
        <v>1038.953</v>
      </c>
      <c r="H183" s="8">
        <f t="shared" si="2"/>
        <v>1038.953</v>
      </c>
      <c r="I183" s="10">
        <v>4</v>
      </c>
    </row>
    <row r="184" spans="1:9" ht="15.75" thickBot="1" x14ac:dyDescent="0.3">
      <c r="A184" s="1">
        <v>43800</v>
      </c>
      <c r="B184" s="8" t="s">
        <v>6</v>
      </c>
      <c r="C184" t="s">
        <v>7</v>
      </c>
      <c r="D184" t="s">
        <v>59</v>
      </c>
      <c r="E184" t="s">
        <v>10</v>
      </c>
      <c r="F184" s="9">
        <v>103164.51</v>
      </c>
      <c r="G184" s="6">
        <v>3973482.801</v>
      </c>
      <c r="H184" s="8">
        <f t="shared" si="2"/>
        <v>3973.4828010000001</v>
      </c>
      <c r="I184" s="10">
        <v>378</v>
      </c>
    </row>
    <row r="185" spans="1:9" ht="15.75" thickBot="1" x14ac:dyDescent="0.3">
      <c r="A185" s="1">
        <v>43800</v>
      </c>
      <c r="B185" s="8" t="s">
        <v>6</v>
      </c>
      <c r="C185" t="s">
        <v>7</v>
      </c>
      <c r="D185" t="s">
        <v>59</v>
      </c>
      <c r="E185" t="s">
        <v>11</v>
      </c>
      <c r="F185" s="9">
        <v>878.99</v>
      </c>
      <c r="G185" s="7">
        <v>20006</v>
      </c>
      <c r="H185" s="8">
        <f t="shared" si="2"/>
        <v>20006</v>
      </c>
      <c r="I185" s="10">
        <v>3</v>
      </c>
    </row>
    <row r="186" spans="1:9" ht="15.75" thickBot="1" x14ac:dyDescent="0.3">
      <c r="A186" s="1">
        <v>43800</v>
      </c>
      <c r="B186" s="8" t="s">
        <v>6</v>
      </c>
      <c r="C186" t="s">
        <v>7</v>
      </c>
      <c r="D186" t="s">
        <v>59</v>
      </c>
      <c r="E186" t="s">
        <v>13</v>
      </c>
      <c r="F186" s="9">
        <v>232.3</v>
      </c>
      <c r="G186" s="6">
        <v>10000</v>
      </c>
      <c r="H186" s="8">
        <f t="shared" si="2"/>
        <v>10000</v>
      </c>
      <c r="I186" s="10">
        <v>1</v>
      </c>
    </row>
    <row r="187" spans="1:9" ht="15.75" thickBot="1" x14ac:dyDescent="0.3">
      <c r="A187" s="1">
        <v>43466</v>
      </c>
      <c r="B187" s="8" t="s">
        <v>6</v>
      </c>
      <c r="C187" t="s">
        <v>7</v>
      </c>
      <c r="D187" t="s">
        <v>60</v>
      </c>
      <c r="E187" t="s">
        <v>9</v>
      </c>
      <c r="F187" s="9">
        <v>1055.97</v>
      </c>
      <c r="G187" s="4">
        <v>24</v>
      </c>
      <c r="H187" s="8">
        <f t="shared" si="2"/>
        <v>24</v>
      </c>
      <c r="I187" s="10">
        <v>2</v>
      </c>
    </row>
    <row r="188" spans="1:9" ht="15.75" thickBot="1" x14ac:dyDescent="0.3">
      <c r="A188" s="1">
        <v>43466</v>
      </c>
      <c r="B188" s="8" t="s">
        <v>6</v>
      </c>
      <c r="C188" t="s">
        <v>7</v>
      </c>
      <c r="D188" t="s">
        <v>60</v>
      </c>
      <c r="E188" t="s">
        <v>15</v>
      </c>
      <c r="F188" s="9">
        <v>4192.7700000000004</v>
      </c>
      <c r="G188" s="4">
        <v>72</v>
      </c>
      <c r="H188" s="8">
        <f t="shared" si="2"/>
        <v>72</v>
      </c>
      <c r="I188" s="10">
        <v>2</v>
      </c>
    </row>
    <row r="189" spans="1:9" ht="15.75" thickBot="1" x14ac:dyDescent="0.3">
      <c r="A189" s="1">
        <v>43466</v>
      </c>
      <c r="B189" s="8" t="s">
        <v>6</v>
      </c>
      <c r="C189" t="s">
        <v>7</v>
      </c>
      <c r="D189" t="s">
        <v>60</v>
      </c>
      <c r="E189" t="s">
        <v>10</v>
      </c>
      <c r="F189" s="9">
        <v>148088.14000000001</v>
      </c>
      <c r="G189" s="6">
        <v>5822810.9479999999</v>
      </c>
      <c r="H189" s="8">
        <f t="shared" si="2"/>
        <v>5822.8109480000003</v>
      </c>
      <c r="I189" s="10">
        <v>587</v>
      </c>
    </row>
    <row r="190" spans="1:9" ht="15.75" thickBot="1" x14ac:dyDescent="0.3">
      <c r="A190" s="1">
        <v>43800</v>
      </c>
      <c r="B190" s="8" t="s">
        <v>6</v>
      </c>
      <c r="C190" t="s">
        <v>7</v>
      </c>
      <c r="D190" t="s">
        <v>60</v>
      </c>
      <c r="E190" t="s">
        <v>11</v>
      </c>
      <c r="F190" s="9">
        <v>2555.0700000000002</v>
      </c>
      <c r="G190" s="7">
        <v>6716.94</v>
      </c>
      <c r="H190" s="8">
        <f t="shared" si="2"/>
        <v>6716.94</v>
      </c>
      <c r="I190" s="10">
        <v>8</v>
      </c>
    </row>
    <row r="191" spans="1:9" ht="15.75" thickBot="1" x14ac:dyDescent="0.3">
      <c r="A191" s="1">
        <v>43800</v>
      </c>
      <c r="B191" s="8" t="s">
        <v>6</v>
      </c>
      <c r="C191" t="s">
        <v>7</v>
      </c>
      <c r="D191" t="s">
        <v>60</v>
      </c>
      <c r="E191" t="s">
        <v>13</v>
      </c>
      <c r="F191" s="9">
        <v>1067</v>
      </c>
      <c r="G191" s="6">
        <v>40000</v>
      </c>
      <c r="H191" s="8">
        <f t="shared" si="2"/>
        <v>40000</v>
      </c>
      <c r="I191" s="10">
        <v>2</v>
      </c>
    </row>
    <row r="192" spans="1:9" ht="15.75" thickBot="1" x14ac:dyDescent="0.3">
      <c r="A192" s="1">
        <v>43800</v>
      </c>
      <c r="B192" s="8" t="s">
        <v>6</v>
      </c>
      <c r="C192" t="s">
        <v>7</v>
      </c>
      <c r="D192" t="s">
        <v>61</v>
      </c>
      <c r="E192" t="s">
        <v>9</v>
      </c>
      <c r="F192" s="9">
        <v>673.72</v>
      </c>
      <c r="G192" s="4">
        <v>21</v>
      </c>
      <c r="H192" s="8">
        <f t="shared" si="2"/>
        <v>21</v>
      </c>
      <c r="I192" s="10">
        <v>1</v>
      </c>
    </row>
    <row r="193" spans="1:9" ht="15.75" thickBot="1" x14ac:dyDescent="0.3">
      <c r="A193" s="1">
        <v>43800</v>
      </c>
      <c r="B193" s="8" t="s">
        <v>6</v>
      </c>
      <c r="C193" t="s">
        <v>7</v>
      </c>
      <c r="D193" t="s">
        <v>61</v>
      </c>
      <c r="E193" t="s">
        <v>15</v>
      </c>
      <c r="F193" s="9">
        <v>714.75</v>
      </c>
      <c r="G193" s="4">
        <v>15</v>
      </c>
      <c r="H193" s="8">
        <f t="shared" si="2"/>
        <v>15</v>
      </c>
      <c r="I193" s="10">
        <v>3</v>
      </c>
    </row>
    <row r="194" spans="1:9" ht="15.75" thickBot="1" x14ac:dyDescent="0.3">
      <c r="A194" s="1">
        <v>43466</v>
      </c>
      <c r="B194" s="8" t="s">
        <v>6</v>
      </c>
      <c r="C194" t="s">
        <v>7</v>
      </c>
      <c r="D194" t="s">
        <v>61</v>
      </c>
      <c r="E194" t="s">
        <v>10</v>
      </c>
      <c r="F194" s="9">
        <v>83987.09</v>
      </c>
      <c r="G194" s="6">
        <v>3028682.3489999999</v>
      </c>
      <c r="H194" s="8">
        <f t="shared" ref="H194:H257" si="3">IF(ISNUMBER(SEARCH("Domestic customer", E194)),G194/1000,G194)</f>
        <v>3028.6823489999997</v>
      </c>
      <c r="I194" s="10">
        <v>275</v>
      </c>
    </row>
    <row r="195" spans="1:9" ht="15.75" thickBot="1" x14ac:dyDescent="0.3">
      <c r="A195" s="1">
        <v>43466</v>
      </c>
      <c r="B195" s="8" t="s">
        <v>6</v>
      </c>
      <c r="C195" t="s">
        <v>7</v>
      </c>
      <c r="D195" t="s">
        <v>61</v>
      </c>
      <c r="E195" t="s">
        <v>11</v>
      </c>
      <c r="F195" s="9">
        <v>12441.27</v>
      </c>
      <c r="G195" s="4">
        <v>378</v>
      </c>
      <c r="H195" s="8">
        <f t="shared" si="3"/>
        <v>378</v>
      </c>
      <c r="I195" s="10">
        <v>5</v>
      </c>
    </row>
    <row r="196" spans="1:9" ht="15.75" thickBot="1" x14ac:dyDescent="0.3">
      <c r="A196" s="1">
        <v>43466</v>
      </c>
      <c r="B196" s="8" t="s">
        <v>6</v>
      </c>
      <c r="C196" t="s">
        <v>7</v>
      </c>
      <c r="D196" t="s">
        <v>61</v>
      </c>
      <c r="E196" t="s">
        <v>13</v>
      </c>
      <c r="F196" s="9">
        <v>508.44</v>
      </c>
      <c r="G196" s="6">
        <v>19000</v>
      </c>
      <c r="H196" s="8">
        <f t="shared" si="3"/>
        <v>19000</v>
      </c>
      <c r="I196" s="10">
        <v>2</v>
      </c>
    </row>
    <row r="197" spans="1:9" ht="15.75" thickBot="1" x14ac:dyDescent="0.3">
      <c r="A197" s="1">
        <v>43800</v>
      </c>
      <c r="B197" s="8" t="s">
        <v>6</v>
      </c>
      <c r="C197" t="s">
        <v>7</v>
      </c>
      <c r="D197" t="s">
        <v>62</v>
      </c>
      <c r="E197" t="s">
        <v>9</v>
      </c>
      <c r="F197" s="9">
        <v>1468.67</v>
      </c>
      <c r="G197" s="4">
        <v>50</v>
      </c>
      <c r="H197" s="8">
        <f t="shared" si="3"/>
        <v>50</v>
      </c>
      <c r="I197" s="10">
        <v>1</v>
      </c>
    </row>
    <row r="198" spans="1:9" ht="15.75" thickBot="1" x14ac:dyDescent="0.3">
      <c r="A198" s="1">
        <v>43800</v>
      </c>
      <c r="B198" s="8" t="s">
        <v>6</v>
      </c>
      <c r="C198" t="s">
        <v>7</v>
      </c>
      <c r="D198" t="s">
        <v>62</v>
      </c>
      <c r="E198" t="s">
        <v>15</v>
      </c>
      <c r="F198" s="9">
        <v>25606.5</v>
      </c>
      <c r="G198" s="7">
        <v>25819.511999999999</v>
      </c>
      <c r="H198" s="8">
        <f t="shared" si="3"/>
        <v>25819.511999999999</v>
      </c>
      <c r="I198" s="10">
        <v>16</v>
      </c>
    </row>
    <row r="199" spans="1:9" ht="15.75" thickBot="1" x14ac:dyDescent="0.3">
      <c r="A199" s="1">
        <v>43800</v>
      </c>
      <c r="B199" s="8" t="s">
        <v>6</v>
      </c>
      <c r="C199" t="s">
        <v>7</v>
      </c>
      <c r="D199" t="s">
        <v>62</v>
      </c>
      <c r="E199" t="s">
        <v>10</v>
      </c>
      <c r="F199" s="9">
        <v>88737.16</v>
      </c>
      <c r="G199" s="6">
        <v>3601335.7540000002</v>
      </c>
      <c r="H199" s="8">
        <f t="shared" si="3"/>
        <v>3601.3357540000002</v>
      </c>
      <c r="I199" s="10">
        <v>362</v>
      </c>
    </row>
    <row r="200" spans="1:9" ht="15.75" thickBot="1" x14ac:dyDescent="0.3">
      <c r="A200" s="1">
        <v>43800</v>
      </c>
      <c r="B200" s="8" t="s">
        <v>6</v>
      </c>
      <c r="C200" t="s">
        <v>7</v>
      </c>
      <c r="D200" t="s">
        <v>62</v>
      </c>
      <c r="E200" t="s">
        <v>11</v>
      </c>
      <c r="F200" s="9">
        <v>1370.56</v>
      </c>
      <c r="G200" s="7">
        <v>10034</v>
      </c>
      <c r="H200" s="8">
        <f t="shared" si="3"/>
        <v>10034</v>
      </c>
      <c r="I200" s="10">
        <v>3</v>
      </c>
    </row>
    <row r="201" spans="1:9" ht="15.75" thickBot="1" x14ac:dyDescent="0.3">
      <c r="A201" s="1">
        <v>43466</v>
      </c>
      <c r="B201" s="8" t="s">
        <v>6</v>
      </c>
      <c r="C201" t="s">
        <v>7</v>
      </c>
      <c r="D201" t="s">
        <v>62</v>
      </c>
      <c r="E201" t="s">
        <v>13</v>
      </c>
      <c r="F201" s="9">
        <v>145.46</v>
      </c>
      <c r="G201" s="6">
        <v>15000</v>
      </c>
      <c r="H201" s="8">
        <f t="shared" si="3"/>
        <v>15000</v>
      </c>
      <c r="I201" s="10">
        <v>2</v>
      </c>
    </row>
    <row r="202" spans="1:9" ht="15.75" thickBot="1" x14ac:dyDescent="0.3">
      <c r="A202" s="1">
        <v>43466</v>
      </c>
      <c r="B202" s="8" t="s">
        <v>6</v>
      </c>
      <c r="C202" t="s">
        <v>7</v>
      </c>
      <c r="D202" t="s">
        <v>63</v>
      </c>
      <c r="E202" t="s">
        <v>15</v>
      </c>
      <c r="F202" s="9">
        <v>1294.46</v>
      </c>
      <c r="G202" s="4">
        <v>19</v>
      </c>
      <c r="H202" s="8">
        <f t="shared" si="3"/>
        <v>19</v>
      </c>
      <c r="I202" s="10">
        <v>2</v>
      </c>
    </row>
    <row r="203" spans="1:9" ht="15.75" thickBot="1" x14ac:dyDescent="0.3">
      <c r="A203" s="1">
        <v>43466</v>
      </c>
      <c r="B203" s="8" t="s">
        <v>6</v>
      </c>
      <c r="C203" t="s">
        <v>7</v>
      </c>
      <c r="D203" t="s">
        <v>63</v>
      </c>
      <c r="E203" t="s">
        <v>10</v>
      </c>
      <c r="F203" s="9">
        <v>145492.81</v>
      </c>
      <c r="G203" s="6">
        <v>5751564.4419999998</v>
      </c>
      <c r="H203" s="8">
        <f t="shared" si="3"/>
        <v>5751.5644419999999</v>
      </c>
      <c r="I203" s="10">
        <v>540</v>
      </c>
    </row>
    <row r="204" spans="1:9" ht="15.75" thickBot="1" x14ac:dyDescent="0.3">
      <c r="A204" s="1">
        <v>43800</v>
      </c>
      <c r="B204" s="8" t="s">
        <v>6</v>
      </c>
      <c r="C204" t="s">
        <v>7</v>
      </c>
      <c r="D204" t="s">
        <v>63</v>
      </c>
      <c r="E204" t="s">
        <v>11</v>
      </c>
      <c r="F204" s="9">
        <v>956.78</v>
      </c>
      <c r="G204" s="4">
        <v>27</v>
      </c>
      <c r="H204" s="8">
        <f t="shared" si="3"/>
        <v>27</v>
      </c>
      <c r="I204" s="10">
        <v>3</v>
      </c>
    </row>
    <row r="205" spans="1:9" ht="15.75" thickBot="1" x14ac:dyDescent="0.3">
      <c r="A205" s="1">
        <v>43800</v>
      </c>
      <c r="B205" s="8" t="s">
        <v>6</v>
      </c>
      <c r="C205" t="s">
        <v>7</v>
      </c>
      <c r="D205" t="s">
        <v>63</v>
      </c>
      <c r="E205" t="s">
        <v>13</v>
      </c>
      <c r="F205" s="9">
        <v>228.44</v>
      </c>
      <c r="G205" s="6">
        <v>10000</v>
      </c>
      <c r="H205" s="8">
        <f t="shared" si="3"/>
        <v>10000</v>
      </c>
      <c r="I205" s="10">
        <v>1</v>
      </c>
    </row>
    <row r="206" spans="1:9" ht="15.75" thickBot="1" x14ac:dyDescent="0.3">
      <c r="A206" s="1">
        <v>43800</v>
      </c>
      <c r="B206" s="8" t="s">
        <v>6</v>
      </c>
      <c r="C206" t="s">
        <v>7</v>
      </c>
      <c r="D206" t="s">
        <v>64</v>
      </c>
      <c r="E206" t="s">
        <v>15</v>
      </c>
      <c r="F206" s="9">
        <v>1452.84</v>
      </c>
      <c r="G206" s="4">
        <v>28</v>
      </c>
      <c r="H206" s="8">
        <f t="shared" si="3"/>
        <v>28</v>
      </c>
      <c r="I206" s="10">
        <v>2</v>
      </c>
    </row>
    <row r="207" spans="1:9" ht="15.75" thickBot="1" x14ac:dyDescent="0.3">
      <c r="A207" s="1">
        <v>43800</v>
      </c>
      <c r="B207" s="8" t="s">
        <v>6</v>
      </c>
      <c r="C207" t="s">
        <v>7</v>
      </c>
      <c r="D207" t="s">
        <v>64</v>
      </c>
      <c r="E207" t="s">
        <v>10</v>
      </c>
      <c r="F207" s="9">
        <v>118219.36</v>
      </c>
      <c r="G207" s="6">
        <v>4586176.3559999997</v>
      </c>
      <c r="H207" s="8">
        <f t="shared" si="3"/>
        <v>4586.1763559999999</v>
      </c>
      <c r="I207" s="10">
        <v>429</v>
      </c>
    </row>
    <row r="208" spans="1:9" ht="15.75" thickBot="1" x14ac:dyDescent="0.3">
      <c r="A208" s="1">
        <v>43466</v>
      </c>
      <c r="B208" s="8" t="s">
        <v>6</v>
      </c>
      <c r="C208" t="s">
        <v>7</v>
      </c>
      <c r="D208" t="s">
        <v>64</v>
      </c>
      <c r="E208" t="s">
        <v>11</v>
      </c>
      <c r="F208" s="9">
        <v>1072.96</v>
      </c>
      <c r="G208" s="7">
        <v>18002.066999999999</v>
      </c>
      <c r="H208" s="8">
        <f t="shared" si="3"/>
        <v>18002.066999999999</v>
      </c>
      <c r="I208" s="10">
        <v>7</v>
      </c>
    </row>
    <row r="209" spans="1:9" ht="15.75" thickBot="1" x14ac:dyDescent="0.3">
      <c r="A209" s="1">
        <v>43466</v>
      </c>
      <c r="B209" s="8" t="s">
        <v>6</v>
      </c>
      <c r="C209" t="s">
        <v>7</v>
      </c>
      <c r="D209" t="s">
        <v>64</v>
      </c>
      <c r="E209" t="s">
        <v>13</v>
      </c>
      <c r="F209" s="9">
        <v>229.68</v>
      </c>
      <c r="G209" s="6">
        <v>10000</v>
      </c>
      <c r="H209" s="8">
        <f t="shared" si="3"/>
        <v>10000</v>
      </c>
      <c r="I209" s="10">
        <v>1</v>
      </c>
    </row>
    <row r="210" spans="1:9" ht="15.75" thickBot="1" x14ac:dyDescent="0.3">
      <c r="A210" s="1">
        <v>43466</v>
      </c>
      <c r="B210" s="8" t="s">
        <v>6</v>
      </c>
      <c r="C210" t="s">
        <v>7</v>
      </c>
      <c r="D210" t="s">
        <v>65</v>
      </c>
      <c r="E210" t="s">
        <v>9</v>
      </c>
      <c r="F210" s="9">
        <v>706.96</v>
      </c>
      <c r="G210" s="4">
        <v>3</v>
      </c>
      <c r="H210" s="8">
        <f t="shared" si="3"/>
        <v>3</v>
      </c>
      <c r="I210" s="10">
        <v>1</v>
      </c>
    </row>
    <row r="211" spans="1:9" ht="15.75" thickBot="1" x14ac:dyDescent="0.3">
      <c r="A211" s="1">
        <v>43800</v>
      </c>
      <c r="B211" s="8" t="s">
        <v>6</v>
      </c>
      <c r="C211" t="s">
        <v>7</v>
      </c>
      <c r="D211" t="s">
        <v>65</v>
      </c>
      <c r="E211" t="s">
        <v>15</v>
      </c>
      <c r="F211" s="9">
        <v>30412.85</v>
      </c>
      <c r="G211" s="7">
        <v>168553.35699999999</v>
      </c>
      <c r="H211" s="8">
        <f t="shared" si="3"/>
        <v>168553.35699999999</v>
      </c>
      <c r="I211" s="10">
        <v>164</v>
      </c>
    </row>
    <row r="212" spans="1:9" ht="15.75" thickBot="1" x14ac:dyDescent="0.3">
      <c r="A212" s="1">
        <v>43800</v>
      </c>
      <c r="B212" s="8" t="s">
        <v>6</v>
      </c>
      <c r="C212" t="s">
        <v>7</v>
      </c>
      <c r="D212" t="s">
        <v>65</v>
      </c>
      <c r="E212" t="s">
        <v>10</v>
      </c>
      <c r="F212" s="9">
        <v>203393.75</v>
      </c>
      <c r="G212" s="7">
        <v>7988088.5350000001</v>
      </c>
      <c r="H212" s="8">
        <f t="shared" si="3"/>
        <v>7988.0885349999999</v>
      </c>
      <c r="I212" s="10">
        <v>737</v>
      </c>
    </row>
    <row r="213" spans="1:9" ht="15.75" thickBot="1" x14ac:dyDescent="0.3">
      <c r="A213" s="1">
        <v>43800</v>
      </c>
      <c r="B213" s="8" t="s">
        <v>6</v>
      </c>
      <c r="C213" t="s">
        <v>7</v>
      </c>
      <c r="D213" t="s">
        <v>65</v>
      </c>
      <c r="E213" t="s">
        <v>11</v>
      </c>
      <c r="F213" s="9">
        <v>2917.44</v>
      </c>
      <c r="G213" s="7">
        <v>3990.8739999999998</v>
      </c>
      <c r="H213" s="8">
        <f t="shared" si="3"/>
        <v>3990.8739999999998</v>
      </c>
      <c r="I213" s="10">
        <v>4</v>
      </c>
    </row>
    <row r="214" spans="1:9" ht="15.75" thickBot="1" x14ac:dyDescent="0.3">
      <c r="A214" s="1">
        <v>43800</v>
      </c>
      <c r="B214" s="8" t="s">
        <v>6</v>
      </c>
      <c r="C214" t="s">
        <v>7</v>
      </c>
      <c r="D214" t="s">
        <v>65</v>
      </c>
      <c r="E214" t="s">
        <v>13</v>
      </c>
      <c r="F214" s="9">
        <v>1766.55</v>
      </c>
      <c r="G214" s="6">
        <v>69527.271999999997</v>
      </c>
      <c r="H214" s="8">
        <f t="shared" si="3"/>
        <v>69527.271999999997</v>
      </c>
      <c r="I214" s="10">
        <v>5</v>
      </c>
    </row>
    <row r="215" spans="1:9" ht="15.75" thickBot="1" x14ac:dyDescent="0.3">
      <c r="A215" s="1">
        <v>43466</v>
      </c>
      <c r="B215" s="8" t="s">
        <v>6</v>
      </c>
      <c r="C215" t="s">
        <v>7</v>
      </c>
      <c r="D215" t="s">
        <v>66</v>
      </c>
      <c r="E215" t="s">
        <v>15</v>
      </c>
      <c r="F215" s="9">
        <v>250493.38</v>
      </c>
      <c r="G215" s="7">
        <v>2346269.1239999998</v>
      </c>
      <c r="H215" s="8">
        <f t="shared" si="3"/>
        <v>2346269.1239999998</v>
      </c>
      <c r="I215" s="10">
        <v>8</v>
      </c>
    </row>
    <row r="216" spans="1:9" ht="15.75" thickBot="1" x14ac:dyDescent="0.3">
      <c r="A216" s="1">
        <v>43466</v>
      </c>
      <c r="B216" s="8" t="s">
        <v>6</v>
      </c>
      <c r="C216" t="s">
        <v>7</v>
      </c>
      <c r="D216" t="s">
        <v>66</v>
      </c>
      <c r="E216" t="s">
        <v>10</v>
      </c>
      <c r="F216" s="9">
        <v>48484.7</v>
      </c>
      <c r="G216" s="6">
        <v>2952633.6540000001</v>
      </c>
      <c r="H216" s="8">
        <f t="shared" si="3"/>
        <v>2952.6336540000002</v>
      </c>
      <c r="I216" s="10">
        <v>294</v>
      </c>
    </row>
    <row r="217" spans="1:9" ht="15.75" thickBot="1" x14ac:dyDescent="0.3">
      <c r="A217" s="1">
        <v>43466</v>
      </c>
      <c r="B217" s="8" t="s">
        <v>6</v>
      </c>
      <c r="C217" t="s">
        <v>7</v>
      </c>
      <c r="D217" t="s">
        <v>66</v>
      </c>
      <c r="E217" t="s">
        <v>11</v>
      </c>
      <c r="F217" s="9">
        <v>5658.23</v>
      </c>
      <c r="G217" s="4">
        <v>152</v>
      </c>
      <c r="H217" s="8">
        <f t="shared" si="3"/>
        <v>152</v>
      </c>
      <c r="I217" s="10">
        <v>10</v>
      </c>
    </row>
    <row r="218" spans="1:9" ht="15.75" thickBot="1" x14ac:dyDescent="0.3">
      <c r="A218" s="1">
        <v>43800</v>
      </c>
      <c r="B218" s="8" t="s">
        <v>6</v>
      </c>
      <c r="C218" t="s">
        <v>7</v>
      </c>
      <c r="D218" t="s">
        <v>66</v>
      </c>
      <c r="E218" t="s">
        <v>13</v>
      </c>
      <c r="F218" s="9">
        <v>318.36</v>
      </c>
      <c r="G218" s="6">
        <v>13000</v>
      </c>
      <c r="H218" s="8">
        <f t="shared" si="3"/>
        <v>13000</v>
      </c>
      <c r="I218" s="10">
        <v>1</v>
      </c>
    </row>
    <row r="219" spans="1:9" ht="15.75" thickBot="1" x14ac:dyDescent="0.3">
      <c r="A219" s="1">
        <v>43800</v>
      </c>
      <c r="B219" s="8" t="s">
        <v>6</v>
      </c>
      <c r="C219" t="s">
        <v>7</v>
      </c>
      <c r="D219" t="s">
        <v>67</v>
      </c>
      <c r="E219" t="s">
        <v>9</v>
      </c>
      <c r="F219" s="9">
        <v>2585.6</v>
      </c>
      <c r="G219" s="4">
        <v>80</v>
      </c>
      <c r="H219" s="8">
        <f t="shared" si="3"/>
        <v>80</v>
      </c>
      <c r="I219" s="10">
        <v>1</v>
      </c>
    </row>
    <row r="220" spans="1:9" ht="15.75" thickBot="1" x14ac:dyDescent="0.3">
      <c r="A220" s="1">
        <v>43800</v>
      </c>
      <c r="B220" s="8" t="s">
        <v>6</v>
      </c>
      <c r="C220" t="s">
        <v>7</v>
      </c>
      <c r="D220" t="s">
        <v>67</v>
      </c>
      <c r="E220" t="s">
        <v>15</v>
      </c>
      <c r="F220" s="9">
        <v>991.2</v>
      </c>
      <c r="G220" s="4">
        <v>9</v>
      </c>
      <c r="H220" s="8">
        <f t="shared" si="3"/>
        <v>9</v>
      </c>
      <c r="I220" s="10">
        <v>3</v>
      </c>
    </row>
    <row r="221" spans="1:9" ht="15.75" thickBot="1" x14ac:dyDescent="0.3">
      <c r="A221" s="1">
        <v>43800</v>
      </c>
      <c r="B221" s="8" t="s">
        <v>6</v>
      </c>
      <c r="C221" t="s">
        <v>7</v>
      </c>
      <c r="D221" t="s">
        <v>67</v>
      </c>
      <c r="E221" t="s">
        <v>10</v>
      </c>
      <c r="F221" s="9">
        <v>113030.28</v>
      </c>
      <c r="G221" s="6">
        <v>4252181.9380000001</v>
      </c>
      <c r="H221" s="8">
        <f t="shared" si="3"/>
        <v>4252.1819379999997</v>
      </c>
      <c r="I221" s="10">
        <v>430</v>
      </c>
    </row>
    <row r="222" spans="1:9" ht="15.75" thickBot="1" x14ac:dyDescent="0.3">
      <c r="A222" s="1">
        <v>43466</v>
      </c>
      <c r="B222" s="8" t="s">
        <v>6</v>
      </c>
      <c r="C222" t="s">
        <v>7</v>
      </c>
      <c r="D222" t="s">
        <v>67</v>
      </c>
      <c r="E222" t="s">
        <v>11</v>
      </c>
      <c r="F222" s="9">
        <v>7905.99</v>
      </c>
      <c r="G222" s="7">
        <v>50123</v>
      </c>
      <c r="H222" s="8">
        <f t="shared" si="3"/>
        <v>50123</v>
      </c>
      <c r="I222" s="10">
        <v>5</v>
      </c>
    </row>
    <row r="223" spans="1:9" ht="15.75" thickBot="1" x14ac:dyDescent="0.3">
      <c r="A223" s="1">
        <v>43466</v>
      </c>
      <c r="B223" s="8" t="s">
        <v>6</v>
      </c>
      <c r="C223" t="s">
        <v>7</v>
      </c>
      <c r="D223" t="s">
        <v>67</v>
      </c>
      <c r="E223" t="s">
        <v>13</v>
      </c>
      <c r="F223" s="9">
        <v>499.08</v>
      </c>
      <c r="G223" s="6">
        <v>19000</v>
      </c>
      <c r="H223" s="8">
        <f t="shared" si="3"/>
        <v>19000</v>
      </c>
      <c r="I223" s="10">
        <v>1</v>
      </c>
    </row>
    <row r="224" spans="1:9" ht="15.75" thickBot="1" x14ac:dyDescent="0.3">
      <c r="A224" s="1">
        <v>43466</v>
      </c>
      <c r="B224" s="8" t="s">
        <v>6</v>
      </c>
      <c r="C224" t="s">
        <v>7</v>
      </c>
      <c r="D224" t="s">
        <v>68</v>
      </c>
      <c r="E224" t="s">
        <v>15</v>
      </c>
      <c r="F224" s="9">
        <v>1909.04</v>
      </c>
      <c r="G224" s="4">
        <v>47</v>
      </c>
      <c r="H224" s="8">
        <f t="shared" si="3"/>
        <v>47</v>
      </c>
      <c r="I224" s="10">
        <v>1</v>
      </c>
    </row>
    <row r="225" spans="1:9" ht="15.75" thickBot="1" x14ac:dyDescent="0.3">
      <c r="A225" s="1">
        <v>43800</v>
      </c>
      <c r="B225" s="8" t="s">
        <v>6</v>
      </c>
      <c r="C225" t="s">
        <v>7</v>
      </c>
      <c r="D225" t="s">
        <v>68</v>
      </c>
      <c r="E225" t="s">
        <v>10</v>
      </c>
      <c r="F225" s="9">
        <v>72877.399999999994</v>
      </c>
      <c r="G225" s="6">
        <v>2131109.9029999999</v>
      </c>
      <c r="H225" s="8">
        <f t="shared" si="3"/>
        <v>2131.109903</v>
      </c>
      <c r="I225" s="10">
        <v>149</v>
      </c>
    </row>
    <row r="226" spans="1:9" ht="15.75" thickBot="1" x14ac:dyDescent="0.3">
      <c r="A226" s="1">
        <v>43800</v>
      </c>
      <c r="B226" s="8" t="s">
        <v>6</v>
      </c>
      <c r="C226" t="s">
        <v>7</v>
      </c>
      <c r="D226" t="s">
        <v>68</v>
      </c>
      <c r="E226" t="s">
        <v>11</v>
      </c>
      <c r="F226" s="9">
        <v>81.569999999999993</v>
      </c>
      <c r="G226" s="5">
        <v>0</v>
      </c>
      <c r="H226" s="8">
        <f t="shared" si="3"/>
        <v>0</v>
      </c>
      <c r="I226" s="10">
        <v>1</v>
      </c>
    </row>
    <row r="227" spans="1:9" ht="15.75" thickBot="1" x14ac:dyDescent="0.3">
      <c r="A227" s="1">
        <v>43800</v>
      </c>
      <c r="B227" s="8" t="s">
        <v>6</v>
      </c>
      <c r="C227" t="s">
        <v>7</v>
      </c>
      <c r="D227" t="s">
        <v>68</v>
      </c>
      <c r="E227" t="s">
        <v>13</v>
      </c>
      <c r="F227" s="9">
        <v>426.9</v>
      </c>
      <c r="G227" s="6">
        <v>15000</v>
      </c>
      <c r="H227" s="8">
        <f t="shared" si="3"/>
        <v>15000</v>
      </c>
      <c r="I227" s="10">
        <v>1</v>
      </c>
    </row>
    <row r="228" spans="1:9" ht="15.75" thickBot="1" x14ac:dyDescent="0.3">
      <c r="A228" s="1">
        <v>43800</v>
      </c>
      <c r="B228" s="8" t="s">
        <v>6</v>
      </c>
      <c r="C228" t="s">
        <v>7</v>
      </c>
      <c r="D228" t="s">
        <v>69</v>
      </c>
      <c r="E228" t="s">
        <v>9</v>
      </c>
      <c r="F228" s="9">
        <v>2151.7199999999998</v>
      </c>
      <c r="G228" s="4">
        <v>71</v>
      </c>
      <c r="H228" s="8">
        <f t="shared" si="3"/>
        <v>71</v>
      </c>
      <c r="I228" s="10">
        <v>1</v>
      </c>
    </row>
    <row r="229" spans="1:9" ht="15.75" thickBot="1" x14ac:dyDescent="0.3">
      <c r="A229" s="1">
        <v>43466</v>
      </c>
      <c r="B229" s="8" t="s">
        <v>6</v>
      </c>
      <c r="C229" t="s">
        <v>7</v>
      </c>
      <c r="D229" t="s">
        <v>69</v>
      </c>
      <c r="E229" t="s">
        <v>15</v>
      </c>
      <c r="F229" s="9">
        <v>10381.34</v>
      </c>
      <c r="G229" s="4">
        <v>177</v>
      </c>
      <c r="H229" s="8">
        <f t="shared" si="3"/>
        <v>177</v>
      </c>
      <c r="I229" s="10">
        <v>6</v>
      </c>
    </row>
    <row r="230" spans="1:9" ht="15.75" thickBot="1" x14ac:dyDescent="0.3">
      <c r="A230" s="1">
        <v>43466</v>
      </c>
      <c r="B230" s="8" t="s">
        <v>6</v>
      </c>
      <c r="C230" t="s">
        <v>7</v>
      </c>
      <c r="D230" t="s">
        <v>69</v>
      </c>
      <c r="E230" t="s">
        <v>10</v>
      </c>
      <c r="F230" s="9">
        <v>88311.1</v>
      </c>
      <c r="G230" s="6">
        <v>3471308.9619999998</v>
      </c>
      <c r="H230" s="8">
        <f t="shared" si="3"/>
        <v>3471.3089619999996</v>
      </c>
      <c r="I230" s="10">
        <v>306</v>
      </c>
    </row>
    <row r="231" spans="1:9" ht="15.75" thickBot="1" x14ac:dyDescent="0.3">
      <c r="A231" s="1">
        <v>43466</v>
      </c>
      <c r="B231" s="8" t="s">
        <v>6</v>
      </c>
      <c r="C231" t="s">
        <v>7</v>
      </c>
      <c r="D231" t="s">
        <v>69</v>
      </c>
      <c r="E231" t="s">
        <v>11</v>
      </c>
      <c r="F231" s="9">
        <v>11134.15</v>
      </c>
      <c r="G231" s="4">
        <v>318</v>
      </c>
      <c r="H231" s="8">
        <f t="shared" si="3"/>
        <v>318</v>
      </c>
      <c r="I231" s="10">
        <v>5</v>
      </c>
    </row>
    <row r="232" spans="1:9" ht="15.75" thickBot="1" x14ac:dyDescent="0.3">
      <c r="A232" s="1">
        <v>43800</v>
      </c>
      <c r="B232" s="8" t="s">
        <v>6</v>
      </c>
      <c r="C232" t="s">
        <v>7</v>
      </c>
      <c r="D232" t="s">
        <v>69</v>
      </c>
      <c r="E232" t="s">
        <v>13</v>
      </c>
      <c r="F232" s="9">
        <v>56</v>
      </c>
      <c r="G232" s="6">
        <v>0</v>
      </c>
      <c r="H232" s="8">
        <f t="shared" si="3"/>
        <v>0</v>
      </c>
      <c r="I232" s="10">
        <v>1</v>
      </c>
    </row>
    <row r="233" spans="1:9" ht="15.75" thickBot="1" x14ac:dyDescent="0.3">
      <c r="A233" s="1">
        <v>43800</v>
      </c>
      <c r="B233" s="8" t="s">
        <v>6</v>
      </c>
      <c r="C233" t="s">
        <v>7</v>
      </c>
      <c r="D233" t="s">
        <v>70</v>
      </c>
      <c r="E233" t="s">
        <v>9</v>
      </c>
      <c r="F233" s="9">
        <v>274.56</v>
      </c>
      <c r="G233" s="4">
        <v>8</v>
      </c>
      <c r="H233" s="8">
        <f t="shared" si="3"/>
        <v>8</v>
      </c>
      <c r="I233" s="10">
        <v>1</v>
      </c>
    </row>
    <row r="234" spans="1:9" ht="15.75" thickBot="1" x14ac:dyDescent="0.3">
      <c r="A234" s="1">
        <v>43800</v>
      </c>
      <c r="B234" s="8" t="s">
        <v>6</v>
      </c>
      <c r="C234" t="s">
        <v>7</v>
      </c>
      <c r="D234" t="s">
        <v>70</v>
      </c>
      <c r="E234" t="s">
        <v>15</v>
      </c>
      <c r="F234" s="9">
        <v>3122.41</v>
      </c>
      <c r="G234" s="4">
        <v>19</v>
      </c>
      <c r="H234" s="8">
        <f t="shared" si="3"/>
        <v>19</v>
      </c>
      <c r="I234" s="10">
        <v>6</v>
      </c>
    </row>
    <row r="235" spans="1:9" ht="15.75" thickBot="1" x14ac:dyDescent="0.3">
      <c r="A235" s="1">
        <v>43800</v>
      </c>
      <c r="B235" s="8" t="s">
        <v>6</v>
      </c>
      <c r="C235" t="s">
        <v>7</v>
      </c>
      <c r="D235" t="s">
        <v>70</v>
      </c>
      <c r="E235" t="s">
        <v>10</v>
      </c>
      <c r="F235" s="9">
        <v>159101.22</v>
      </c>
      <c r="G235" s="6">
        <v>5846175.2719999999</v>
      </c>
      <c r="H235" s="8">
        <f t="shared" si="3"/>
        <v>5846.1752719999995</v>
      </c>
      <c r="I235" s="10">
        <v>616</v>
      </c>
    </row>
    <row r="236" spans="1:9" ht="15.75" thickBot="1" x14ac:dyDescent="0.3">
      <c r="A236" s="1">
        <v>43466</v>
      </c>
      <c r="B236" s="8" t="s">
        <v>6</v>
      </c>
      <c r="C236" t="s">
        <v>7</v>
      </c>
      <c r="D236" t="s">
        <v>70</v>
      </c>
      <c r="E236" t="s">
        <v>11</v>
      </c>
      <c r="F236" s="9">
        <v>5156.6000000000004</v>
      </c>
      <c r="G236" s="4">
        <v>152</v>
      </c>
      <c r="H236" s="8">
        <f t="shared" si="3"/>
        <v>152</v>
      </c>
      <c r="I236" s="10">
        <v>5</v>
      </c>
    </row>
    <row r="237" spans="1:9" ht="15.75" thickBot="1" x14ac:dyDescent="0.3">
      <c r="A237" s="1">
        <v>43466</v>
      </c>
      <c r="B237" s="8" t="s">
        <v>6</v>
      </c>
      <c r="C237" t="s">
        <v>7</v>
      </c>
      <c r="D237" t="s">
        <v>70</v>
      </c>
      <c r="E237" t="s">
        <v>13</v>
      </c>
      <c r="F237" s="9">
        <v>571.33000000000004</v>
      </c>
      <c r="G237" s="6">
        <v>19000</v>
      </c>
      <c r="H237" s="8">
        <f t="shared" si="3"/>
        <v>19000</v>
      </c>
      <c r="I237" s="10">
        <v>2</v>
      </c>
    </row>
    <row r="238" spans="1:9" ht="15.75" thickBot="1" x14ac:dyDescent="0.3">
      <c r="A238" s="1">
        <v>43466</v>
      </c>
      <c r="B238" s="8" t="s">
        <v>6</v>
      </c>
      <c r="C238" t="s">
        <v>7</v>
      </c>
      <c r="D238" t="s">
        <v>71</v>
      </c>
      <c r="E238" t="s">
        <v>9</v>
      </c>
      <c r="F238" s="9">
        <v>60490.83</v>
      </c>
      <c r="G238" s="4">
        <v>1637</v>
      </c>
      <c r="H238" s="8">
        <f t="shared" si="3"/>
        <v>1637</v>
      </c>
      <c r="I238" s="10">
        <v>4</v>
      </c>
    </row>
    <row r="239" spans="1:9" ht="15.75" thickBot="1" x14ac:dyDescent="0.3">
      <c r="A239" s="1">
        <v>43800</v>
      </c>
      <c r="B239" s="8" t="s">
        <v>6</v>
      </c>
      <c r="C239" t="s">
        <v>7</v>
      </c>
      <c r="D239" t="s">
        <v>71</v>
      </c>
      <c r="E239" t="s">
        <v>15</v>
      </c>
      <c r="F239" s="9">
        <v>5370.68</v>
      </c>
      <c r="G239" s="4">
        <v>161</v>
      </c>
      <c r="H239" s="8">
        <f t="shared" si="3"/>
        <v>161</v>
      </c>
      <c r="I239" s="10">
        <v>4</v>
      </c>
    </row>
    <row r="240" spans="1:9" ht="15.75" thickBot="1" x14ac:dyDescent="0.3">
      <c r="A240" s="1">
        <v>43800</v>
      </c>
      <c r="B240" s="8" t="s">
        <v>6</v>
      </c>
      <c r="C240" t="s">
        <v>7</v>
      </c>
      <c r="D240" t="s">
        <v>71</v>
      </c>
      <c r="E240" t="s">
        <v>10</v>
      </c>
      <c r="F240" s="9">
        <v>3060.08</v>
      </c>
      <c r="G240" s="6">
        <v>3564796.6660000002</v>
      </c>
      <c r="H240" s="8">
        <f t="shared" si="3"/>
        <v>3564.7966660000002</v>
      </c>
      <c r="I240" s="10">
        <v>27</v>
      </c>
    </row>
    <row r="241" spans="1:9" ht="15.75" thickBot="1" x14ac:dyDescent="0.3">
      <c r="A241" s="1">
        <v>43800</v>
      </c>
      <c r="B241" s="8" t="s">
        <v>6</v>
      </c>
      <c r="C241" t="s">
        <v>7</v>
      </c>
      <c r="D241" t="s">
        <v>71</v>
      </c>
      <c r="E241" t="s">
        <v>11</v>
      </c>
      <c r="F241" s="9">
        <v>66767.009999999995</v>
      </c>
      <c r="G241" s="4">
        <v>2255</v>
      </c>
      <c r="H241" s="8">
        <f t="shared" si="3"/>
        <v>2255</v>
      </c>
      <c r="I241" s="10">
        <v>15</v>
      </c>
    </row>
    <row r="242" spans="1:9" ht="15.75" thickBot="1" x14ac:dyDescent="0.3">
      <c r="A242" s="1">
        <v>43800</v>
      </c>
      <c r="B242" s="8" t="s">
        <v>6</v>
      </c>
      <c r="C242" t="s">
        <v>7</v>
      </c>
      <c r="D242" t="s">
        <v>72</v>
      </c>
      <c r="E242" t="s">
        <v>9</v>
      </c>
      <c r="F242" s="9">
        <v>274.56</v>
      </c>
      <c r="G242" s="4">
        <v>8</v>
      </c>
      <c r="H242" s="8">
        <f t="shared" si="3"/>
        <v>8</v>
      </c>
      <c r="I242" s="10">
        <v>1</v>
      </c>
    </row>
    <row r="243" spans="1:9" ht="15.75" thickBot="1" x14ac:dyDescent="0.3">
      <c r="A243" s="1">
        <v>43466</v>
      </c>
      <c r="B243" s="8" t="s">
        <v>6</v>
      </c>
      <c r="C243" t="s">
        <v>7</v>
      </c>
      <c r="D243" t="s">
        <v>72</v>
      </c>
      <c r="E243" t="s">
        <v>15</v>
      </c>
      <c r="F243" s="9">
        <v>2013</v>
      </c>
      <c r="G243" s="4">
        <v>66</v>
      </c>
      <c r="H243" s="8">
        <f t="shared" si="3"/>
        <v>66</v>
      </c>
      <c r="I243" s="10">
        <v>2</v>
      </c>
    </row>
    <row r="244" spans="1:9" ht="15.75" thickBot="1" x14ac:dyDescent="0.3">
      <c r="A244" s="1">
        <v>43466</v>
      </c>
      <c r="B244" s="8" t="s">
        <v>6</v>
      </c>
      <c r="C244" t="s">
        <v>7</v>
      </c>
      <c r="D244" t="s">
        <v>72</v>
      </c>
      <c r="E244" t="s">
        <v>10</v>
      </c>
      <c r="F244" s="9">
        <v>6516.68</v>
      </c>
      <c r="G244" s="6">
        <v>2776114.7349999999</v>
      </c>
      <c r="H244" s="8">
        <f t="shared" si="3"/>
        <v>2776.1147349999997</v>
      </c>
      <c r="I244" s="10">
        <v>268</v>
      </c>
    </row>
    <row r="245" spans="1:9" ht="15.75" thickBot="1" x14ac:dyDescent="0.3">
      <c r="A245" s="1">
        <v>43466</v>
      </c>
      <c r="B245" s="8" t="s">
        <v>6</v>
      </c>
      <c r="C245" t="s">
        <v>7</v>
      </c>
      <c r="D245" t="s">
        <v>73</v>
      </c>
      <c r="E245" t="s">
        <v>9</v>
      </c>
      <c r="F245" s="9">
        <v>1547.96</v>
      </c>
      <c r="G245" s="4">
        <v>53</v>
      </c>
      <c r="H245" s="8">
        <f t="shared" si="3"/>
        <v>53</v>
      </c>
      <c r="I245" s="10">
        <v>1</v>
      </c>
    </row>
    <row r="246" spans="1:9" ht="15.75" thickBot="1" x14ac:dyDescent="0.3">
      <c r="A246" s="1">
        <v>43800</v>
      </c>
      <c r="B246" s="8" t="s">
        <v>6</v>
      </c>
      <c r="C246" t="s">
        <v>7</v>
      </c>
      <c r="D246" t="s">
        <v>73</v>
      </c>
      <c r="E246" t="s">
        <v>15</v>
      </c>
      <c r="F246" s="9">
        <v>647.76</v>
      </c>
      <c r="G246" s="4">
        <v>18</v>
      </c>
      <c r="H246" s="8">
        <f t="shared" si="3"/>
        <v>18</v>
      </c>
      <c r="I246" s="10">
        <v>2</v>
      </c>
    </row>
    <row r="247" spans="1:9" ht="15.75" thickBot="1" x14ac:dyDescent="0.3">
      <c r="A247" s="1">
        <v>43800</v>
      </c>
      <c r="B247" s="8" t="s">
        <v>6</v>
      </c>
      <c r="C247" t="s">
        <v>7</v>
      </c>
      <c r="D247" t="s">
        <v>73</v>
      </c>
      <c r="E247" t="s">
        <v>10</v>
      </c>
      <c r="F247" s="9">
        <v>79112.66</v>
      </c>
      <c r="G247" s="6">
        <v>5154938.7149999999</v>
      </c>
      <c r="H247" s="8">
        <f t="shared" si="3"/>
        <v>5154.9387150000002</v>
      </c>
      <c r="I247" s="10">
        <v>619</v>
      </c>
    </row>
    <row r="248" spans="1:9" ht="15.75" thickBot="1" x14ac:dyDescent="0.3">
      <c r="A248" s="1">
        <v>43800</v>
      </c>
      <c r="B248" s="8" t="s">
        <v>6</v>
      </c>
      <c r="C248" t="s">
        <v>7</v>
      </c>
      <c r="D248" t="s">
        <v>73</v>
      </c>
      <c r="E248" t="s">
        <v>11</v>
      </c>
      <c r="F248" s="9">
        <v>1171.8900000000001</v>
      </c>
      <c r="G248" s="4">
        <v>26</v>
      </c>
      <c r="H248" s="8">
        <f t="shared" si="3"/>
        <v>26</v>
      </c>
      <c r="I248" s="10">
        <v>7</v>
      </c>
    </row>
    <row r="249" spans="1:9" ht="15.75" thickBot="1" x14ac:dyDescent="0.3">
      <c r="A249" s="1">
        <v>43800</v>
      </c>
      <c r="B249" s="8" t="s">
        <v>6</v>
      </c>
      <c r="C249" t="s">
        <v>7</v>
      </c>
      <c r="D249" t="s">
        <v>74</v>
      </c>
      <c r="E249" t="s">
        <v>9</v>
      </c>
      <c r="F249" s="9">
        <v>10442.15</v>
      </c>
      <c r="G249" s="4">
        <v>356</v>
      </c>
      <c r="H249" s="8">
        <f t="shared" si="3"/>
        <v>356</v>
      </c>
      <c r="I249" s="10">
        <v>3</v>
      </c>
    </row>
    <row r="250" spans="1:9" ht="15.75" thickBot="1" x14ac:dyDescent="0.3">
      <c r="A250" s="1">
        <v>43466</v>
      </c>
      <c r="B250" s="8" t="s">
        <v>6</v>
      </c>
      <c r="C250" t="s">
        <v>7</v>
      </c>
      <c r="D250" t="s">
        <v>74</v>
      </c>
      <c r="E250" t="s">
        <v>15</v>
      </c>
      <c r="F250" s="9">
        <v>2000.41</v>
      </c>
      <c r="G250" s="4">
        <v>1</v>
      </c>
      <c r="H250" s="8">
        <f t="shared" si="3"/>
        <v>1</v>
      </c>
      <c r="I250" s="10">
        <v>4</v>
      </c>
    </row>
    <row r="251" spans="1:9" ht="15.75" thickBot="1" x14ac:dyDescent="0.3">
      <c r="A251" s="1">
        <v>43466</v>
      </c>
      <c r="B251" s="8" t="s">
        <v>6</v>
      </c>
      <c r="C251" t="s">
        <v>7</v>
      </c>
      <c r="D251" t="s">
        <v>74</v>
      </c>
      <c r="E251" t="s">
        <v>10</v>
      </c>
      <c r="F251" s="9">
        <v>104248.13</v>
      </c>
      <c r="G251" s="6">
        <v>3572861.6</v>
      </c>
      <c r="H251" s="8">
        <f t="shared" si="3"/>
        <v>3572.8616000000002</v>
      </c>
      <c r="I251" s="10">
        <v>263</v>
      </c>
    </row>
    <row r="252" spans="1:9" ht="15.75" thickBot="1" x14ac:dyDescent="0.3">
      <c r="A252" s="1">
        <v>43466</v>
      </c>
      <c r="B252" s="8" t="s">
        <v>6</v>
      </c>
      <c r="C252" t="s">
        <v>7</v>
      </c>
      <c r="D252" t="s">
        <v>74</v>
      </c>
      <c r="E252" t="s">
        <v>11</v>
      </c>
      <c r="F252" s="9">
        <v>1371.59</v>
      </c>
      <c r="G252" s="4">
        <v>9</v>
      </c>
      <c r="H252" s="8">
        <f t="shared" si="3"/>
        <v>9</v>
      </c>
      <c r="I252" s="10">
        <v>6</v>
      </c>
    </row>
    <row r="253" spans="1:9" ht="15.75" thickBot="1" x14ac:dyDescent="0.3">
      <c r="A253" s="1">
        <v>43800</v>
      </c>
      <c r="B253" s="8" t="s">
        <v>6</v>
      </c>
      <c r="C253" t="s">
        <v>7</v>
      </c>
      <c r="D253" t="s">
        <v>74</v>
      </c>
      <c r="E253" t="s">
        <v>13</v>
      </c>
      <c r="F253" s="9">
        <v>589.20000000000005</v>
      </c>
      <c r="G253" s="6">
        <v>16000</v>
      </c>
      <c r="H253" s="8">
        <f t="shared" si="3"/>
        <v>16000</v>
      </c>
      <c r="I253" s="10">
        <v>3</v>
      </c>
    </row>
    <row r="254" spans="1:9" ht="15.75" thickBot="1" x14ac:dyDescent="0.3">
      <c r="A254" s="1">
        <v>43800</v>
      </c>
      <c r="B254" s="8" t="s">
        <v>6</v>
      </c>
      <c r="C254" t="s">
        <v>7</v>
      </c>
      <c r="D254" t="s">
        <v>75</v>
      </c>
      <c r="E254" t="s">
        <v>9</v>
      </c>
      <c r="F254" s="9">
        <v>685547.39</v>
      </c>
      <c r="G254" s="7">
        <v>1030088.943</v>
      </c>
      <c r="H254" s="8">
        <f t="shared" si="3"/>
        <v>1030088.943</v>
      </c>
      <c r="I254" s="10">
        <v>147</v>
      </c>
    </row>
    <row r="255" spans="1:9" ht="15.75" thickBot="1" x14ac:dyDescent="0.3">
      <c r="A255" s="1">
        <v>43800</v>
      </c>
      <c r="B255" s="8" t="s">
        <v>6</v>
      </c>
      <c r="C255" t="s">
        <v>7</v>
      </c>
      <c r="D255" t="s">
        <v>75</v>
      </c>
      <c r="E255" t="s">
        <v>15</v>
      </c>
      <c r="F255" s="9">
        <v>78232.87</v>
      </c>
      <c r="G255" s="4">
        <v>1933</v>
      </c>
      <c r="H255" s="8">
        <f t="shared" si="3"/>
        <v>1933</v>
      </c>
      <c r="I255" s="10">
        <v>33</v>
      </c>
    </row>
    <row r="256" spans="1:9" ht="15.75" thickBot="1" x14ac:dyDescent="0.3">
      <c r="A256" s="1">
        <v>43800</v>
      </c>
      <c r="B256" s="8" t="s">
        <v>6</v>
      </c>
      <c r="C256" t="s">
        <v>7</v>
      </c>
      <c r="D256" t="s">
        <v>75</v>
      </c>
      <c r="E256" t="s">
        <v>10</v>
      </c>
      <c r="F256" s="9">
        <v>38849.54</v>
      </c>
      <c r="G256" s="6">
        <v>1795301.41</v>
      </c>
      <c r="H256" s="8">
        <f t="shared" si="3"/>
        <v>1795.3014099999998</v>
      </c>
      <c r="I256" s="10">
        <v>19</v>
      </c>
    </row>
    <row r="257" spans="1:9" ht="15.75" thickBot="1" x14ac:dyDescent="0.3">
      <c r="A257" s="1">
        <v>43466</v>
      </c>
      <c r="B257" s="8" t="s">
        <v>6</v>
      </c>
      <c r="C257" t="s">
        <v>7</v>
      </c>
      <c r="D257" t="s">
        <v>75</v>
      </c>
      <c r="E257" t="s">
        <v>11</v>
      </c>
      <c r="F257" s="9">
        <v>15141.73</v>
      </c>
      <c r="G257" s="4">
        <v>194</v>
      </c>
      <c r="H257" s="8">
        <f t="shared" si="3"/>
        <v>194</v>
      </c>
      <c r="I257" s="10">
        <v>16</v>
      </c>
    </row>
    <row r="258" spans="1:9" ht="15.75" thickBot="1" x14ac:dyDescent="0.3">
      <c r="A258" s="1">
        <v>43466</v>
      </c>
      <c r="B258" s="8" t="s">
        <v>6</v>
      </c>
      <c r="C258" t="s">
        <v>7</v>
      </c>
      <c r="D258" t="s">
        <v>75</v>
      </c>
      <c r="E258" t="s">
        <v>13</v>
      </c>
      <c r="F258" s="9">
        <v>16003.14</v>
      </c>
      <c r="G258" s="6">
        <v>888000</v>
      </c>
      <c r="H258" s="8">
        <f t="shared" ref="H258:H321" si="4">IF(ISNUMBER(SEARCH("Domestic customer", E258)),G258/1000,G258)</f>
        <v>888000</v>
      </c>
      <c r="I258" s="10">
        <v>2</v>
      </c>
    </row>
    <row r="259" spans="1:9" ht="15.75" thickBot="1" x14ac:dyDescent="0.3">
      <c r="A259" s="1">
        <v>43466</v>
      </c>
      <c r="B259" s="8" t="s">
        <v>6</v>
      </c>
      <c r="C259" t="s">
        <v>7</v>
      </c>
      <c r="D259" t="s">
        <v>76</v>
      </c>
      <c r="E259" t="s">
        <v>15</v>
      </c>
      <c r="F259" s="9">
        <v>107357.61</v>
      </c>
      <c r="G259" s="4">
        <v>12602</v>
      </c>
      <c r="H259" s="8">
        <f t="shared" si="4"/>
        <v>12602</v>
      </c>
      <c r="I259" s="10">
        <v>11</v>
      </c>
    </row>
    <row r="260" spans="1:9" ht="15.75" thickBot="1" x14ac:dyDescent="0.3">
      <c r="A260" s="1">
        <v>43800</v>
      </c>
      <c r="B260" s="8" t="s">
        <v>6</v>
      </c>
      <c r="C260" t="s">
        <v>7</v>
      </c>
      <c r="D260" t="s">
        <v>76</v>
      </c>
      <c r="E260" t="s">
        <v>11</v>
      </c>
      <c r="F260" s="9">
        <v>81.569999999999993</v>
      </c>
      <c r="G260" s="5">
        <v>0</v>
      </c>
      <c r="H260" s="8">
        <f t="shared" si="4"/>
        <v>0</v>
      </c>
      <c r="I260" s="10">
        <v>1</v>
      </c>
    </row>
    <row r="261" spans="1:9" ht="15.75" thickBot="1" x14ac:dyDescent="0.3">
      <c r="A261" s="1">
        <v>43800</v>
      </c>
      <c r="B261" s="8" t="s">
        <v>6</v>
      </c>
      <c r="C261" t="s">
        <v>7</v>
      </c>
      <c r="D261" t="s">
        <v>77</v>
      </c>
      <c r="E261" t="s">
        <v>9</v>
      </c>
      <c r="F261" s="9">
        <v>91452.79</v>
      </c>
      <c r="G261" s="7">
        <v>27464.942999999999</v>
      </c>
      <c r="H261" s="8">
        <f t="shared" si="4"/>
        <v>27464.942999999999</v>
      </c>
      <c r="I261" s="10">
        <v>35</v>
      </c>
    </row>
    <row r="262" spans="1:9" ht="15.75" thickBot="1" x14ac:dyDescent="0.3">
      <c r="A262" s="1">
        <v>43800</v>
      </c>
      <c r="B262" s="8" t="s">
        <v>6</v>
      </c>
      <c r="C262" t="s">
        <v>7</v>
      </c>
      <c r="D262" t="s">
        <v>77</v>
      </c>
      <c r="E262" t="s">
        <v>15</v>
      </c>
      <c r="F262" s="9">
        <v>38472.879999999997</v>
      </c>
      <c r="G262" s="4">
        <v>1229</v>
      </c>
      <c r="H262" s="8">
        <f t="shared" si="4"/>
        <v>1229</v>
      </c>
      <c r="I262" s="10">
        <v>12</v>
      </c>
    </row>
    <row r="263" spans="1:9" ht="15.75" thickBot="1" x14ac:dyDescent="0.3">
      <c r="A263" s="1">
        <v>43800</v>
      </c>
      <c r="B263" s="8" t="s">
        <v>6</v>
      </c>
      <c r="C263" t="s">
        <v>7</v>
      </c>
      <c r="D263" t="s">
        <v>77</v>
      </c>
      <c r="E263" t="s">
        <v>10</v>
      </c>
      <c r="F263" s="9">
        <v>671244.52</v>
      </c>
      <c r="G263" s="7">
        <v>26521384.653000001</v>
      </c>
      <c r="H263" s="8">
        <f t="shared" si="4"/>
        <v>26521.384653000001</v>
      </c>
      <c r="I263" s="10">
        <v>2435</v>
      </c>
    </row>
    <row r="264" spans="1:9" ht="15.75" thickBot="1" x14ac:dyDescent="0.3">
      <c r="A264" s="1">
        <v>43466</v>
      </c>
      <c r="B264" s="8" t="s">
        <v>6</v>
      </c>
      <c r="C264" t="s">
        <v>7</v>
      </c>
      <c r="D264" t="s">
        <v>77</v>
      </c>
      <c r="E264" t="s">
        <v>11</v>
      </c>
      <c r="F264" s="9">
        <v>165758.35999999999</v>
      </c>
      <c r="G264" s="7">
        <v>122804.995</v>
      </c>
      <c r="H264" s="8">
        <f t="shared" si="4"/>
        <v>122804.995</v>
      </c>
      <c r="I264" s="10">
        <v>45</v>
      </c>
    </row>
    <row r="265" spans="1:9" ht="15.75" thickBot="1" x14ac:dyDescent="0.3">
      <c r="A265" s="1">
        <v>43466</v>
      </c>
      <c r="B265" s="8" t="s">
        <v>6</v>
      </c>
      <c r="C265" t="s">
        <v>7</v>
      </c>
      <c r="D265" t="s">
        <v>77</v>
      </c>
      <c r="E265" t="s">
        <v>13</v>
      </c>
      <c r="F265" s="9">
        <v>4437</v>
      </c>
      <c r="G265" s="6">
        <v>147598.299</v>
      </c>
      <c r="H265" s="8">
        <f t="shared" si="4"/>
        <v>147598.299</v>
      </c>
      <c r="I265" s="10">
        <v>16</v>
      </c>
    </row>
    <row r="266" spans="1:9" ht="15.75" thickBot="1" x14ac:dyDescent="0.3">
      <c r="A266" s="1">
        <v>43466</v>
      </c>
      <c r="B266" s="8" t="s">
        <v>6</v>
      </c>
      <c r="C266" t="s">
        <v>7</v>
      </c>
      <c r="D266" t="s">
        <v>78</v>
      </c>
      <c r="E266" t="s">
        <v>9</v>
      </c>
      <c r="F266" s="9">
        <v>228496.76</v>
      </c>
      <c r="G266" s="4">
        <v>6368</v>
      </c>
      <c r="H266" s="8">
        <f t="shared" si="4"/>
        <v>6368</v>
      </c>
      <c r="I266" s="10">
        <v>15</v>
      </c>
    </row>
    <row r="267" spans="1:9" ht="15.75" thickBot="1" x14ac:dyDescent="0.3">
      <c r="A267" s="1">
        <v>43800</v>
      </c>
      <c r="B267" s="8" t="s">
        <v>6</v>
      </c>
      <c r="C267" t="s">
        <v>7</v>
      </c>
      <c r="D267" t="s">
        <v>78</v>
      </c>
      <c r="E267" t="s">
        <v>15</v>
      </c>
      <c r="F267" s="9">
        <v>4181.6099999999997</v>
      </c>
      <c r="G267" s="4">
        <v>119</v>
      </c>
      <c r="H267" s="8">
        <f t="shared" si="4"/>
        <v>119</v>
      </c>
      <c r="I267" s="10">
        <v>3</v>
      </c>
    </row>
    <row r="268" spans="1:9" ht="15.75" thickBot="1" x14ac:dyDescent="0.3">
      <c r="A268" s="1">
        <v>43800</v>
      </c>
      <c r="B268" s="8" t="s">
        <v>6</v>
      </c>
      <c r="C268" t="s">
        <v>7</v>
      </c>
      <c r="D268" t="s">
        <v>78</v>
      </c>
      <c r="E268" t="s">
        <v>11</v>
      </c>
      <c r="F268" s="9">
        <v>733339.91</v>
      </c>
      <c r="G268" s="4">
        <v>27861</v>
      </c>
      <c r="H268" s="8">
        <f t="shared" si="4"/>
        <v>27861</v>
      </c>
      <c r="I268" s="10">
        <v>8</v>
      </c>
    </row>
    <row r="269" spans="1:9" ht="15.75" thickBot="1" x14ac:dyDescent="0.3">
      <c r="A269" s="1">
        <v>43800</v>
      </c>
      <c r="B269" s="8" t="s">
        <v>6</v>
      </c>
      <c r="C269" t="s">
        <v>7</v>
      </c>
      <c r="D269" t="s">
        <v>79</v>
      </c>
      <c r="E269" t="s">
        <v>11</v>
      </c>
      <c r="F269" s="9">
        <v>22867.72</v>
      </c>
      <c r="G269" s="4">
        <v>471</v>
      </c>
      <c r="H269" s="8">
        <f t="shared" si="4"/>
        <v>471</v>
      </c>
      <c r="I269" s="10">
        <v>1</v>
      </c>
    </row>
    <row r="270" spans="1:9" ht="15.75" thickBot="1" x14ac:dyDescent="0.3">
      <c r="A270" s="1">
        <v>43800</v>
      </c>
      <c r="B270" s="8" t="s">
        <v>6</v>
      </c>
      <c r="C270" t="s">
        <v>7</v>
      </c>
      <c r="D270" t="s">
        <v>80</v>
      </c>
      <c r="E270" t="s">
        <v>9</v>
      </c>
      <c r="F270" s="9">
        <v>62453.11</v>
      </c>
      <c r="G270" s="4">
        <v>1998</v>
      </c>
      <c r="H270" s="8">
        <f t="shared" si="4"/>
        <v>1998</v>
      </c>
      <c r="I270" s="10">
        <v>39</v>
      </c>
    </row>
    <row r="271" spans="1:9" ht="15.75" thickBot="1" x14ac:dyDescent="0.3">
      <c r="A271" s="1">
        <v>43466</v>
      </c>
      <c r="B271" s="8" t="s">
        <v>6</v>
      </c>
      <c r="C271" t="s">
        <v>7</v>
      </c>
      <c r="D271" t="s">
        <v>80</v>
      </c>
      <c r="E271" t="s">
        <v>15</v>
      </c>
      <c r="F271" s="9">
        <v>16465.43</v>
      </c>
      <c r="G271" s="4">
        <v>533</v>
      </c>
      <c r="H271" s="8">
        <f t="shared" si="4"/>
        <v>533</v>
      </c>
      <c r="I271" s="10">
        <v>7</v>
      </c>
    </row>
    <row r="272" spans="1:9" ht="15.75" thickBot="1" x14ac:dyDescent="0.3">
      <c r="A272" s="1">
        <v>43466</v>
      </c>
      <c r="B272" s="8" t="s">
        <v>6</v>
      </c>
      <c r="C272" t="s">
        <v>7</v>
      </c>
      <c r="D272" t="s">
        <v>80</v>
      </c>
      <c r="E272" t="s">
        <v>10</v>
      </c>
      <c r="F272" s="9">
        <v>487608.46</v>
      </c>
      <c r="G272" s="6">
        <v>15404901.149</v>
      </c>
      <c r="H272" s="8">
        <f t="shared" si="4"/>
        <v>15404.901148999999</v>
      </c>
      <c r="I272" s="10">
        <v>1317</v>
      </c>
    </row>
    <row r="273" spans="1:9" ht="15.75" thickBot="1" x14ac:dyDescent="0.3">
      <c r="A273" s="1">
        <v>43466</v>
      </c>
      <c r="B273" s="8" t="s">
        <v>6</v>
      </c>
      <c r="C273" t="s">
        <v>7</v>
      </c>
      <c r="D273" t="s">
        <v>80</v>
      </c>
      <c r="E273" t="s">
        <v>17</v>
      </c>
      <c r="F273" s="9">
        <v>365.28</v>
      </c>
      <c r="G273" s="4">
        <v>4</v>
      </c>
      <c r="H273" s="8">
        <f t="shared" si="4"/>
        <v>4</v>
      </c>
      <c r="I273" s="10">
        <v>1</v>
      </c>
    </row>
    <row r="274" spans="1:9" ht="15.75" thickBot="1" x14ac:dyDescent="0.3">
      <c r="A274" s="1">
        <v>43800</v>
      </c>
      <c r="B274" s="8" t="s">
        <v>6</v>
      </c>
      <c r="C274" t="s">
        <v>7</v>
      </c>
      <c r="D274" t="s">
        <v>80</v>
      </c>
      <c r="E274" t="s">
        <v>11</v>
      </c>
      <c r="F274" s="9">
        <v>25840.78</v>
      </c>
      <c r="G274" s="7">
        <v>36711.732000000004</v>
      </c>
      <c r="H274" s="8">
        <f t="shared" si="4"/>
        <v>36711.732000000004</v>
      </c>
      <c r="I274" s="10">
        <v>41</v>
      </c>
    </row>
    <row r="275" spans="1:9" ht="15.75" thickBot="1" x14ac:dyDescent="0.3">
      <c r="A275" s="1">
        <v>43800</v>
      </c>
      <c r="B275" s="8" t="s">
        <v>6</v>
      </c>
      <c r="C275" t="s">
        <v>7</v>
      </c>
      <c r="D275" t="s">
        <v>80</v>
      </c>
      <c r="E275" t="s">
        <v>13</v>
      </c>
      <c r="F275" s="9">
        <v>2732.24</v>
      </c>
      <c r="G275" s="6">
        <v>97000</v>
      </c>
      <c r="H275" s="8">
        <f t="shared" si="4"/>
        <v>97000</v>
      </c>
      <c r="I275" s="10">
        <v>11</v>
      </c>
    </row>
    <row r="276" spans="1:9" ht="15.75" thickBot="1" x14ac:dyDescent="0.3">
      <c r="A276" s="1">
        <v>43800</v>
      </c>
      <c r="B276" s="8" t="s">
        <v>6</v>
      </c>
      <c r="C276" t="s">
        <v>7</v>
      </c>
      <c r="D276" t="s">
        <v>81</v>
      </c>
      <c r="E276" t="s">
        <v>10</v>
      </c>
      <c r="F276" s="9">
        <v>32064.98</v>
      </c>
      <c r="G276" s="6">
        <v>1235150.6270000001</v>
      </c>
      <c r="H276" s="8">
        <f t="shared" si="4"/>
        <v>1235.150627</v>
      </c>
      <c r="I276" s="10">
        <v>120</v>
      </c>
    </row>
    <row r="277" spans="1:9" ht="15.75" thickBot="1" x14ac:dyDescent="0.3">
      <c r="A277" s="1">
        <v>43800</v>
      </c>
      <c r="B277" s="8" t="s">
        <v>6</v>
      </c>
      <c r="C277" t="s">
        <v>7</v>
      </c>
      <c r="D277" t="s">
        <v>82</v>
      </c>
      <c r="E277" t="s">
        <v>9</v>
      </c>
      <c r="F277" s="9">
        <v>8702.2999999999993</v>
      </c>
      <c r="G277" s="4">
        <v>279</v>
      </c>
      <c r="H277" s="8">
        <f t="shared" si="4"/>
        <v>279</v>
      </c>
      <c r="I277" s="10">
        <v>9</v>
      </c>
    </row>
    <row r="278" spans="1:9" ht="15.75" thickBot="1" x14ac:dyDescent="0.3">
      <c r="A278" s="1">
        <v>43466</v>
      </c>
      <c r="B278" s="8" t="s">
        <v>6</v>
      </c>
      <c r="C278" t="s">
        <v>7</v>
      </c>
      <c r="D278" t="s">
        <v>82</v>
      </c>
      <c r="E278" t="s">
        <v>15</v>
      </c>
      <c r="F278" s="9">
        <v>7675.42</v>
      </c>
      <c r="G278" s="4">
        <v>225</v>
      </c>
      <c r="H278" s="8">
        <f t="shared" si="4"/>
        <v>225</v>
      </c>
      <c r="I278" s="10">
        <v>5</v>
      </c>
    </row>
    <row r="279" spans="1:9" ht="15.75" thickBot="1" x14ac:dyDescent="0.3">
      <c r="A279" s="1">
        <v>43466</v>
      </c>
      <c r="B279" s="8" t="s">
        <v>6</v>
      </c>
      <c r="C279" t="s">
        <v>7</v>
      </c>
      <c r="D279" t="s">
        <v>82</v>
      </c>
      <c r="E279" t="s">
        <v>10</v>
      </c>
      <c r="F279" s="9">
        <v>272141.99</v>
      </c>
      <c r="G279" s="6">
        <v>9535524.2339999992</v>
      </c>
      <c r="H279" s="8">
        <f t="shared" si="4"/>
        <v>9535.5242339999986</v>
      </c>
      <c r="I279" s="10">
        <v>863</v>
      </c>
    </row>
    <row r="280" spans="1:9" ht="15.75" thickBot="1" x14ac:dyDescent="0.3">
      <c r="A280" s="1">
        <v>43466</v>
      </c>
      <c r="B280" s="8" t="s">
        <v>6</v>
      </c>
      <c r="C280" t="s">
        <v>7</v>
      </c>
      <c r="D280" t="s">
        <v>82</v>
      </c>
      <c r="E280" t="s">
        <v>11</v>
      </c>
      <c r="F280" s="9">
        <v>17281.03</v>
      </c>
      <c r="G280" s="7">
        <v>27526</v>
      </c>
      <c r="H280" s="8">
        <f t="shared" si="4"/>
        <v>27526</v>
      </c>
      <c r="I280" s="10">
        <v>11</v>
      </c>
    </row>
    <row r="281" spans="1:9" ht="15.75" thickBot="1" x14ac:dyDescent="0.3">
      <c r="A281" s="1">
        <v>43800</v>
      </c>
      <c r="B281" s="8" t="s">
        <v>6</v>
      </c>
      <c r="C281" t="s">
        <v>7</v>
      </c>
      <c r="D281" t="s">
        <v>82</v>
      </c>
      <c r="E281" t="s">
        <v>13</v>
      </c>
      <c r="F281" s="9">
        <v>1407.09</v>
      </c>
      <c r="G281" s="6">
        <v>53000</v>
      </c>
      <c r="H281" s="8">
        <f t="shared" si="4"/>
        <v>53000</v>
      </c>
      <c r="I281" s="10">
        <v>5</v>
      </c>
    </row>
    <row r="282" spans="1:9" ht="15.75" thickBot="1" x14ac:dyDescent="0.3">
      <c r="A282" s="1">
        <v>43800</v>
      </c>
      <c r="B282" s="8" t="s">
        <v>6</v>
      </c>
      <c r="C282" t="s">
        <v>7</v>
      </c>
      <c r="D282" t="s">
        <v>83</v>
      </c>
      <c r="E282" t="s">
        <v>15</v>
      </c>
      <c r="F282" s="9">
        <v>625</v>
      </c>
      <c r="G282" s="4">
        <v>0</v>
      </c>
      <c r="H282" s="8">
        <f t="shared" si="4"/>
        <v>0</v>
      </c>
      <c r="I282" s="10">
        <v>1</v>
      </c>
    </row>
    <row r="283" spans="1:9" ht="15.75" thickBot="1" x14ac:dyDescent="0.3">
      <c r="A283" s="1">
        <v>43800</v>
      </c>
      <c r="B283" s="8" t="s">
        <v>6</v>
      </c>
      <c r="C283" t="s">
        <v>7</v>
      </c>
      <c r="D283" t="s">
        <v>83</v>
      </c>
      <c r="E283" t="s">
        <v>10</v>
      </c>
      <c r="F283" s="9">
        <v>7142.99</v>
      </c>
      <c r="G283" s="6">
        <v>260158.72200000001</v>
      </c>
      <c r="H283" s="8">
        <f t="shared" si="4"/>
        <v>260.15872200000001</v>
      </c>
      <c r="I283" s="10">
        <v>27</v>
      </c>
    </row>
    <row r="284" spans="1:9" ht="15.75" thickBot="1" x14ac:dyDescent="0.3">
      <c r="A284" s="1">
        <v>43800</v>
      </c>
      <c r="B284" s="8" t="s">
        <v>6</v>
      </c>
      <c r="C284" t="s">
        <v>7</v>
      </c>
      <c r="D284" t="s">
        <v>83</v>
      </c>
      <c r="E284" t="s">
        <v>13</v>
      </c>
      <c r="F284" s="9">
        <v>169.77</v>
      </c>
      <c r="G284" s="6">
        <v>7000</v>
      </c>
      <c r="H284" s="8">
        <f t="shared" si="4"/>
        <v>7000</v>
      </c>
      <c r="I284" s="10">
        <v>1</v>
      </c>
    </row>
    <row r="285" spans="1:9" ht="15.75" thickBot="1" x14ac:dyDescent="0.3">
      <c r="A285" s="1">
        <v>43466</v>
      </c>
      <c r="B285" s="8" t="s">
        <v>6</v>
      </c>
      <c r="C285" t="s">
        <v>7</v>
      </c>
      <c r="D285" t="s">
        <v>84</v>
      </c>
      <c r="E285" t="s">
        <v>10</v>
      </c>
      <c r="F285" s="9">
        <v>22033.3</v>
      </c>
      <c r="G285" s="6">
        <v>703000</v>
      </c>
      <c r="H285" s="8">
        <f t="shared" si="4"/>
        <v>703</v>
      </c>
      <c r="I285" s="10">
        <v>48</v>
      </c>
    </row>
    <row r="286" spans="1:9" ht="15.75" thickBot="1" x14ac:dyDescent="0.3">
      <c r="A286" s="1">
        <v>43466</v>
      </c>
      <c r="B286" s="8" t="s">
        <v>6</v>
      </c>
      <c r="C286" t="s">
        <v>7</v>
      </c>
      <c r="D286" t="s">
        <v>85</v>
      </c>
      <c r="E286" t="s">
        <v>10</v>
      </c>
      <c r="F286" s="9">
        <v>12427.23</v>
      </c>
      <c r="G286" s="6">
        <v>448797.2</v>
      </c>
      <c r="H286" s="8">
        <f t="shared" si="4"/>
        <v>448.79720000000003</v>
      </c>
      <c r="I286" s="10">
        <v>45</v>
      </c>
    </row>
    <row r="287" spans="1:9" ht="15.75" thickBot="1" x14ac:dyDescent="0.3">
      <c r="A287" s="1">
        <v>43466</v>
      </c>
      <c r="B287" s="8" t="s">
        <v>6</v>
      </c>
      <c r="C287" t="s">
        <v>7</v>
      </c>
      <c r="D287" t="s">
        <v>85</v>
      </c>
      <c r="E287" t="s">
        <v>13</v>
      </c>
      <c r="F287" s="9">
        <v>233.74</v>
      </c>
      <c r="G287" s="6">
        <v>8000</v>
      </c>
      <c r="H287" s="8">
        <f t="shared" si="4"/>
        <v>8000</v>
      </c>
      <c r="I287" s="10">
        <v>1</v>
      </c>
    </row>
    <row r="288" spans="1:9" ht="15.75" thickBot="1" x14ac:dyDescent="0.3">
      <c r="A288" s="1">
        <v>43800</v>
      </c>
      <c r="B288" s="8" t="s">
        <v>6</v>
      </c>
      <c r="C288" t="s">
        <v>7</v>
      </c>
      <c r="D288" t="s">
        <v>86</v>
      </c>
      <c r="E288" t="s">
        <v>10</v>
      </c>
      <c r="F288" s="9">
        <v>6787.46</v>
      </c>
      <c r="G288" s="7">
        <v>197036</v>
      </c>
      <c r="H288" s="8">
        <f t="shared" si="4"/>
        <v>197.036</v>
      </c>
      <c r="I288" s="10">
        <v>17</v>
      </c>
    </row>
    <row r="289" spans="1:9" ht="15.75" thickBot="1" x14ac:dyDescent="0.3">
      <c r="A289" s="1">
        <v>43800</v>
      </c>
      <c r="B289" s="8" t="s">
        <v>6</v>
      </c>
      <c r="C289" t="s">
        <v>7</v>
      </c>
      <c r="D289" t="s">
        <v>87</v>
      </c>
      <c r="E289" t="s">
        <v>9</v>
      </c>
      <c r="F289" s="9">
        <v>30842.62</v>
      </c>
      <c r="G289" s="7">
        <v>16960.151000000002</v>
      </c>
      <c r="H289" s="8">
        <f t="shared" si="4"/>
        <v>16960.151000000002</v>
      </c>
      <c r="I289" s="10">
        <v>16</v>
      </c>
    </row>
    <row r="290" spans="1:9" ht="15.75" thickBot="1" x14ac:dyDescent="0.3">
      <c r="A290" s="1">
        <v>43800</v>
      </c>
      <c r="B290" s="8" t="s">
        <v>6</v>
      </c>
      <c r="C290" t="s">
        <v>7</v>
      </c>
      <c r="D290" t="s">
        <v>87</v>
      </c>
      <c r="E290" t="s">
        <v>15</v>
      </c>
      <c r="F290" s="9">
        <v>345.43</v>
      </c>
      <c r="G290" s="4">
        <v>13</v>
      </c>
      <c r="H290" s="8">
        <f t="shared" si="4"/>
        <v>13</v>
      </c>
      <c r="I290" s="10">
        <v>3</v>
      </c>
    </row>
    <row r="291" spans="1:9" ht="15.75" thickBot="1" x14ac:dyDescent="0.3">
      <c r="A291" s="1">
        <v>43800</v>
      </c>
      <c r="B291" s="8" t="s">
        <v>6</v>
      </c>
      <c r="C291" t="s">
        <v>7</v>
      </c>
      <c r="D291" t="s">
        <v>87</v>
      </c>
      <c r="E291" t="s">
        <v>10</v>
      </c>
      <c r="F291" s="9">
        <v>381271.5</v>
      </c>
      <c r="G291" s="6">
        <v>16692029.783</v>
      </c>
      <c r="H291" s="8">
        <f t="shared" si="4"/>
        <v>16692.029782999998</v>
      </c>
      <c r="I291" s="10">
        <v>1495</v>
      </c>
    </row>
    <row r="292" spans="1:9" ht="15.75" thickBot="1" x14ac:dyDescent="0.3">
      <c r="A292" s="1">
        <v>43466</v>
      </c>
      <c r="B292" s="8" t="s">
        <v>6</v>
      </c>
      <c r="C292" t="s">
        <v>7</v>
      </c>
      <c r="D292" t="s">
        <v>87</v>
      </c>
      <c r="E292" t="s">
        <v>11</v>
      </c>
      <c r="F292" s="9">
        <v>74094.759999999995</v>
      </c>
      <c r="G292" s="7">
        <v>1015694.708</v>
      </c>
      <c r="H292" s="8">
        <f t="shared" si="4"/>
        <v>1015694.708</v>
      </c>
      <c r="I292" s="10">
        <v>40</v>
      </c>
    </row>
    <row r="293" spans="1:9" ht="15.75" thickBot="1" x14ac:dyDescent="0.3">
      <c r="A293" s="1">
        <v>43466</v>
      </c>
      <c r="B293" s="8" t="s">
        <v>6</v>
      </c>
      <c r="C293" t="s">
        <v>7</v>
      </c>
      <c r="D293" t="s">
        <v>87</v>
      </c>
      <c r="E293" t="s">
        <v>13</v>
      </c>
      <c r="F293" s="9">
        <v>10178.24</v>
      </c>
      <c r="G293" s="7">
        <v>116276.677</v>
      </c>
      <c r="H293" s="8">
        <f t="shared" si="4"/>
        <v>116276.677</v>
      </c>
      <c r="I293" s="10">
        <v>12</v>
      </c>
    </row>
    <row r="294" spans="1:9" ht="15.75" thickBot="1" x14ac:dyDescent="0.3">
      <c r="A294" s="1">
        <v>43466</v>
      </c>
      <c r="B294" s="8" t="s">
        <v>6</v>
      </c>
      <c r="C294" t="s">
        <v>7</v>
      </c>
      <c r="D294" t="s">
        <v>88</v>
      </c>
      <c r="E294" t="s">
        <v>9</v>
      </c>
      <c r="F294" s="9">
        <v>974.24</v>
      </c>
      <c r="G294" s="4">
        <v>32</v>
      </c>
      <c r="H294" s="8">
        <f t="shared" si="4"/>
        <v>32</v>
      </c>
      <c r="I294" s="10">
        <v>1</v>
      </c>
    </row>
    <row r="295" spans="1:9" ht="15.75" thickBot="1" x14ac:dyDescent="0.3">
      <c r="A295" s="1">
        <v>43800</v>
      </c>
      <c r="B295" s="8" t="s">
        <v>6</v>
      </c>
      <c r="C295" t="s">
        <v>7</v>
      </c>
      <c r="D295" t="s">
        <v>88</v>
      </c>
      <c r="E295" t="s">
        <v>15</v>
      </c>
      <c r="F295" s="9">
        <v>1455.05</v>
      </c>
      <c r="G295" s="4">
        <v>1</v>
      </c>
      <c r="H295" s="8">
        <f t="shared" si="4"/>
        <v>1</v>
      </c>
      <c r="I295" s="10">
        <v>2</v>
      </c>
    </row>
    <row r="296" spans="1:9" ht="15.75" thickBot="1" x14ac:dyDescent="0.3">
      <c r="A296" s="1">
        <v>43800</v>
      </c>
      <c r="B296" s="8" t="s">
        <v>6</v>
      </c>
      <c r="C296" t="s">
        <v>7</v>
      </c>
      <c r="D296" t="s">
        <v>88</v>
      </c>
      <c r="E296" t="s">
        <v>10</v>
      </c>
      <c r="F296" s="9">
        <v>55104.6</v>
      </c>
      <c r="G296" s="6">
        <v>1810396.0190000001</v>
      </c>
      <c r="H296" s="8">
        <f t="shared" si="4"/>
        <v>1810.396019</v>
      </c>
      <c r="I296" s="10">
        <v>156</v>
      </c>
    </row>
    <row r="297" spans="1:9" ht="15.75" thickBot="1" x14ac:dyDescent="0.3">
      <c r="A297" s="1">
        <v>43800</v>
      </c>
      <c r="B297" s="8" t="s">
        <v>6</v>
      </c>
      <c r="C297" t="s">
        <v>7</v>
      </c>
      <c r="D297" t="s">
        <v>88</v>
      </c>
      <c r="E297" t="s">
        <v>11</v>
      </c>
      <c r="F297" s="9">
        <v>156</v>
      </c>
      <c r="G297" s="4">
        <v>0</v>
      </c>
      <c r="H297" s="8">
        <f t="shared" si="4"/>
        <v>0</v>
      </c>
      <c r="I297" s="10">
        <v>1</v>
      </c>
    </row>
    <row r="298" spans="1:9" ht="15.75" thickBot="1" x14ac:dyDescent="0.3">
      <c r="A298" s="1">
        <v>43800</v>
      </c>
      <c r="B298" s="8" t="s">
        <v>6</v>
      </c>
      <c r="C298" t="s">
        <v>7</v>
      </c>
      <c r="D298" t="s">
        <v>88</v>
      </c>
      <c r="E298" t="s">
        <v>13</v>
      </c>
      <c r="F298" s="9">
        <v>191.32</v>
      </c>
      <c r="G298" s="6">
        <v>6000</v>
      </c>
      <c r="H298" s="8">
        <f t="shared" si="4"/>
        <v>6000</v>
      </c>
      <c r="I298" s="10">
        <v>1</v>
      </c>
    </row>
    <row r="299" spans="1:9" ht="15.75" thickBot="1" x14ac:dyDescent="0.3">
      <c r="A299" s="1">
        <v>43466</v>
      </c>
      <c r="B299" s="8" t="s">
        <v>6</v>
      </c>
      <c r="C299" t="s">
        <v>7</v>
      </c>
      <c r="D299" t="s">
        <v>89</v>
      </c>
      <c r="E299" t="s">
        <v>9</v>
      </c>
      <c r="F299" s="9">
        <v>51340.88</v>
      </c>
      <c r="G299" s="4">
        <v>1634</v>
      </c>
      <c r="H299" s="8">
        <f t="shared" si="4"/>
        <v>1634</v>
      </c>
      <c r="I299" s="10">
        <v>4</v>
      </c>
    </row>
    <row r="300" spans="1:9" ht="15.75" thickBot="1" x14ac:dyDescent="0.3">
      <c r="A300" s="1">
        <v>43466</v>
      </c>
      <c r="B300" s="8" t="s">
        <v>6</v>
      </c>
      <c r="C300" t="s">
        <v>7</v>
      </c>
      <c r="D300" t="s">
        <v>89</v>
      </c>
      <c r="E300" t="s">
        <v>15</v>
      </c>
      <c r="F300" s="9">
        <v>1110.8800000000001</v>
      </c>
      <c r="G300" s="4">
        <v>3</v>
      </c>
      <c r="H300" s="8">
        <f t="shared" si="4"/>
        <v>3</v>
      </c>
      <c r="I300" s="10">
        <v>3</v>
      </c>
    </row>
    <row r="301" spans="1:9" ht="15.75" thickBot="1" x14ac:dyDescent="0.3">
      <c r="A301" s="1">
        <v>43466</v>
      </c>
      <c r="B301" s="8" t="s">
        <v>6</v>
      </c>
      <c r="C301" t="s">
        <v>7</v>
      </c>
      <c r="D301" t="s">
        <v>89</v>
      </c>
      <c r="E301" t="s">
        <v>10</v>
      </c>
      <c r="F301" s="9">
        <v>435121.7</v>
      </c>
      <c r="G301" s="6">
        <v>15190337.551000001</v>
      </c>
      <c r="H301" s="8">
        <f t="shared" si="4"/>
        <v>15190.337551000001</v>
      </c>
      <c r="I301" s="10">
        <v>772</v>
      </c>
    </row>
    <row r="302" spans="1:9" ht="15.75" thickBot="1" x14ac:dyDescent="0.3">
      <c r="A302" s="1">
        <v>43800</v>
      </c>
      <c r="B302" s="8" t="s">
        <v>6</v>
      </c>
      <c r="C302" t="s">
        <v>7</v>
      </c>
      <c r="D302" t="s">
        <v>89</v>
      </c>
      <c r="E302" t="s">
        <v>11</v>
      </c>
      <c r="F302" s="9">
        <v>3706.03</v>
      </c>
      <c r="G302" s="7">
        <v>16092</v>
      </c>
      <c r="H302" s="8">
        <f t="shared" si="4"/>
        <v>16092</v>
      </c>
      <c r="I302" s="10">
        <v>7</v>
      </c>
    </row>
    <row r="303" spans="1:9" ht="15.75" thickBot="1" x14ac:dyDescent="0.3">
      <c r="A303" s="1">
        <v>43800</v>
      </c>
      <c r="B303" s="8" t="s">
        <v>6</v>
      </c>
      <c r="C303" t="s">
        <v>7</v>
      </c>
      <c r="D303" t="s">
        <v>89</v>
      </c>
      <c r="E303" t="s">
        <v>13</v>
      </c>
      <c r="F303" s="9">
        <v>25347.16</v>
      </c>
      <c r="G303" s="6">
        <v>1060000</v>
      </c>
      <c r="H303" s="8">
        <f t="shared" si="4"/>
        <v>1060000</v>
      </c>
      <c r="I303" s="10">
        <v>4</v>
      </c>
    </row>
    <row r="304" spans="1:9" ht="15.75" thickBot="1" x14ac:dyDescent="0.3">
      <c r="A304" s="1">
        <v>43800</v>
      </c>
      <c r="B304" s="8" t="s">
        <v>6</v>
      </c>
      <c r="C304" t="s">
        <v>7</v>
      </c>
      <c r="D304" t="s">
        <v>90</v>
      </c>
      <c r="E304" t="s">
        <v>9</v>
      </c>
      <c r="F304" s="9">
        <v>44513.15</v>
      </c>
      <c r="G304" s="4">
        <v>1377</v>
      </c>
      <c r="H304" s="8">
        <f t="shared" si="4"/>
        <v>1377</v>
      </c>
      <c r="I304" s="10">
        <v>13</v>
      </c>
    </row>
    <row r="305" spans="1:9" ht="15.75" thickBot="1" x14ac:dyDescent="0.3">
      <c r="A305" s="1">
        <v>43800</v>
      </c>
      <c r="B305" s="8" t="s">
        <v>6</v>
      </c>
      <c r="C305" t="s">
        <v>7</v>
      </c>
      <c r="D305" t="s">
        <v>90</v>
      </c>
      <c r="E305" t="s">
        <v>15</v>
      </c>
      <c r="F305" s="9">
        <v>4297.8900000000003</v>
      </c>
      <c r="G305" s="4">
        <v>117</v>
      </c>
      <c r="H305" s="8">
        <f t="shared" si="4"/>
        <v>117</v>
      </c>
      <c r="I305" s="10">
        <v>12</v>
      </c>
    </row>
    <row r="306" spans="1:9" ht="15.75" thickBot="1" x14ac:dyDescent="0.3">
      <c r="A306" s="1">
        <v>43466</v>
      </c>
      <c r="B306" s="8" t="s">
        <v>6</v>
      </c>
      <c r="C306" t="s">
        <v>7</v>
      </c>
      <c r="D306" t="s">
        <v>90</v>
      </c>
      <c r="E306" t="s">
        <v>10</v>
      </c>
      <c r="F306" s="9">
        <v>535411.18999999994</v>
      </c>
      <c r="G306" s="6">
        <v>42178740.321000002</v>
      </c>
      <c r="H306" s="8">
        <f t="shared" si="4"/>
        <v>42178.740321000005</v>
      </c>
      <c r="I306" s="10">
        <v>3717</v>
      </c>
    </row>
    <row r="307" spans="1:9" ht="15.75" thickBot="1" x14ac:dyDescent="0.3">
      <c r="A307" s="1">
        <v>43466</v>
      </c>
      <c r="B307" s="8" t="s">
        <v>6</v>
      </c>
      <c r="C307" t="s">
        <v>7</v>
      </c>
      <c r="D307" t="s">
        <v>90</v>
      </c>
      <c r="E307" t="s">
        <v>11</v>
      </c>
      <c r="F307" s="9">
        <v>70083.78</v>
      </c>
      <c r="G307" s="7">
        <v>538221.40700000001</v>
      </c>
      <c r="H307" s="8">
        <f t="shared" si="4"/>
        <v>538221.40700000001</v>
      </c>
      <c r="I307" s="10">
        <v>27</v>
      </c>
    </row>
    <row r="308" spans="1:9" ht="15.75" thickBot="1" x14ac:dyDescent="0.3">
      <c r="A308" s="1">
        <v>43466</v>
      </c>
      <c r="B308" s="8" t="s">
        <v>6</v>
      </c>
      <c r="C308" t="s">
        <v>7</v>
      </c>
      <c r="D308" t="s">
        <v>90</v>
      </c>
      <c r="E308" t="s">
        <v>13</v>
      </c>
      <c r="F308" s="9">
        <v>1234.22</v>
      </c>
      <c r="G308" s="6">
        <v>315380</v>
      </c>
      <c r="H308" s="8">
        <f t="shared" si="4"/>
        <v>315380</v>
      </c>
      <c r="I308" s="10">
        <v>16</v>
      </c>
    </row>
    <row r="309" spans="1:9" ht="15.75" thickBot="1" x14ac:dyDescent="0.3">
      <c r="A309" s="1">
        <v>43800</v>
      </c>
      <c r="B309" s="8" t="s">
        <v>6</v>
      </c>
      <c r="C309" t="s">
        <v>7</v>
      </c>
      <c r="D309" t="s">
        <v>91</v>
      </c>
      <c r="E309" t="s">
        <v>9</v>
      </c>
      <c r="F309" s="9">
        <v>3432.52</v>
      </c>
      <c r="G309" s="4">
        <v>111</v>
      </c>
      <c r="H309" s="8">
        <f t="shared" si="4"/>
        <v>111</v>
      </c>
      <c r="I309" s="10">
        <v>1</v>
      </c>
    </row>
    <row r="310" spans="1:9" ht="15.75" thickBot="1" x14ac:dyDescent="0.3">
      <c r="A310" s="1">
        <v>43800</v>
      </c>
      <c r="B310" s="8" t="s">
        <v>6</v>
      </c>
      <c r="C310" t="s">
        <v>7</v>
      </c>
      <c r="D310" t="s">
        <v>91</v>
      </c>
      <c r="E310" t="s">
        <v>15</v>
      </c>
      <c r="F310" s="9">
        <v>500</v>
      </c>
      <c r="G310" s="4">
        <v>0</v>
      </c>
      <c r="H310" s="8">
        <f t="shared" si="4"/>
        <v>0</v>
      </c>
      <c r="I310" s="10">
        <v>2</v>
      </c>
    </row>
    <row r="311" spans="1:9" ht="15.75" thickBot="1" x14ac:dyDescent="0.3">
      <c r="A311" s="1">
        <v>43800</v>
      </c>
      <c r="B311" s="8" t="s">
        <v>6</v>
      </c>
      <c r="C311" t="s">
        <v>7</v>
      </c>
      <c r="D311" t="s">
        <v>91</v>
      </c>
      <c r="E311" t="s">
        <v>10</v>
      </c>
      <c r="F311" s="9">
        <v>410678.57</v>
      </c>
      <c r="G311" s="6">
        <v>9852655.9399999995</v>
      </c>
      <c r="H311" s="8">
        <f t="shared" si="4"/>
        <v>9852.6559399999987</v>
      </c>
      <c r="I311" s="10">
        <v>542</v>
      </c>
    </row>
    <row r="312" spans="1:9" ht="15.75" thickBot="1" x14ac:dyDescent="0.3">
      <c r="A312" s="1">
        <v>43800</v>
      </c>
      <c r="B312" s="8" t="s">
        <v>6</v>
      </c>
      <c r="C312" t="s">
        <v>7</v>
      </c>
      <c r="D312" t="s">
        <v>91</v>
      </c>
      <c r="E312" t="s">
        <v>11</v>
      </c>
      <c r="F312" s="9">
        <v>10818</v>
      </c>
      <c r="G312" s="7">
        <v>4282</v>
      </c>
      <c r="H312" s="8">
        <f t="shared" si="4"/>
        <v>4282</v>
      </c>
      <c r="I312" s="10">
        <v>23</v>
      </c>
    </row>
    <row r="313" spans="1:9" ht="15.75" thickBot="1" x14ac:dyDescent="0.3">
      <c r="A313" s="1">
        <v>43466</v>
      </c>
      <c r="B313" s="8" t="s">
        <v>6</v>
      </c>
      <c r="C313" t="s">
        <v>7</v>
      </c>
      <c r="D313" t="s">
        <v>91</v>
      </c>
      <c r="E313" t="s">
        <v>13</v>
      </c>
      <c r="F313" s="9">
        <v>1158.55</v>
      </c>
      <c r="G313" s="6">
        <v>35000</v>
      </c>
      <c r="H313" s="8">
        <f t="shared" si="4"/>
        <v>35000</v>
      </c>
      <c r="I313" s="10">
        <v>4</v>
      </c>
    </row>
    <row r="314" spans="1:9" ht="15.75" thickBot="1" x14ac:dyDescent="0.3">
      <c r="A314" s="1">
        <v>43466</v>
      </c>
      <c r="B314" s="8" t="s">
        <v>6</v>
      </c>
      <c r="C314" t="s">
        <v>7</v>
      </c>
      <c r="D314" t="s">
        <v>92</v>
      </c>
      <c r="E314" t="s">
        <v>9</v>
      </c>
      <c r="F314" s="9">
        <v>52283.8</v>
      </c>
      <c r="G314" s="4">
        <v>1790</v>
      </c>
      <c r="H314" s="8">
        <f t="shared" si="4"/>
        <v>1790</v>
      </c>
      <c r="I314" s="10">
        <v>2</v>
      </c>
    </row>
    <row r="315" spans="1:9" ht="15.75" thickBot="1" x14ac:dyDescent="0.3">
      <c r="A315" s="1">
        <v>43466</v>
      </c>
      <c r="B315" s="8" t="s">
        <v>6</v>
      </c>
      <c r="C315" t="s">
        <v>7</v>
      </c>
      <c r="D315" t="s">
        <v>92</v>
      </c>
      <c r="E315" t="s">
        <v>15</v>
      </c>
      <c r="F315" s="9">
        <v>12310.48</v>
      </c>
      <c r="G315" s="4">
        <v>414</v>
      </c>
      <c r="H315" s="8">
        <f t="shared" si="4"/>
        <v>414</v>
      </c>
      <c r="I315" s="10">
        <v>4</v>
      </c>
    </row>
    <row r="316" spans="1:9" ht="15.75" thickBot="1" x14ac:dyDescent="0.3">
      <c r="A316" s="1">
        <v>43800</v>
      </c>
      <c r="B316" s="8" t="s">
        <v>6</v>
      </c>
      <c r="C316" t="s">
        <v>7</v>
      </c>
      <c r="D316" t="s">
        <v>92</v>
      </c>
      <c r="E316" t="s">
        <v>10</v>
      </c>
      <c r="F316" s="9">
        <v>126136.5</v>
      </c>
      <c r="G316" s="7">
        <v>3488454.247</v>
      </c>
      <c r="H316" s="8">
        <f t="shared" si="4"/>
        <v>3488.4542470000001</v>
      </c>
      <c r="I316" s="10">
        <v>458</v>
      </c>
    </row>
    <row r="317" spans="1:9" ht="15.75" thickBot="1" x14ac:dyDescent="0.3">
      <c r="A317" s="1">
        <v>43800</v>
      </c>
      <c r="B317" s="8" t="s">
        <v>6</v>
      </c>
      <c r="C317" t="s">
        <v>7</v>
      </c>
      <c r="D317" t="s">
        <v>92</v>
      </c>
      <c r="E317" t="s">
        <v>11</v>
      </c>
      <c r="F317" s="9">
        <v>19763.27</v>
      </c>
      <c r="G317" s="4">
        <v>553</v>
      </c>
      <c r="H317" s="8">
        <f t="shared" si="4"/>
        <v>553</v>
      </c>
      <c r="I317" s="10">
        <v>6</v>
      </c>
    </row>
    <row r="318" spans="1:9" ht="15.75" thickBot="1" x14ac:dyDescent="0.3">
      <c r="A318" s="1">
        <v>43800</v>
      </c>
      <c r="B318" s="8" t="s">
        <v>6</v>
      </c>
      <c r="C318" t="s">
        <v>7</v>
      </c>
      <c r="D318" t="s">
        <v>92</v>
      </c>
      <c r="E318" t="s">
        <v>13</v>
      </c>
      <c r="F318" s="9">
        <v>1349.22</v>
      </c>
      <c r="G318" s="6">
        <v>42000</v>
      </c>
      <c r="H318" s="8">
        <f t="shared" si="4"/>
        <v>42000</v>
      </c>
      <c r="I318" s="10">
        <v>6</v>
      </c>
    </row>
    <row r="319" spans="1:9" ht="15.75" thickBot="1" x14ac:dyDescent="0.3">
      <c r="A319" s="1">
        <v>43800</v>
      </c>
      <c r="B319" s="8" t="s">
        <v>6</v>
      </c>
      <c r="C319" t="s">
        <v>7</v>
      </c>
      <c r="D319" t="s">
        <v>93</v>
      </c>
      <c r="E319" t="s">
        <v>9</v>
      </c>
      <c r="F319" s="9">
        <v>34915.39</v>
      </c>
      <c r="G319" s="7">
        <v>46095</v>
      </c>
      <c r="H319" s="8">
        <f t="shared" si="4"/>
        <v>46095</v>
      </c>
      <c r="I319" s="10">
        <v>11</v>
      </c>
    </row>
    <row r="320" spans="1:9" ht="15.75" thickBot="1" x14ac:dyDescent="0.3">
      <c r="A320" s="1">
        <v>43466</v>
      </c>
      <c r="B320" s="8" t="s">
        <v>6</v>
      </c>
      <c r="C320" t="s">
        <v>7</v>
      </c>
      <c r="D320" t="s">
        <v>93</v>
      </c>
      <c r="E320" t="s">
        <v>15</v>
      </c>
      <c r="F320" s="9">
        <v>10147.73</v>
      </c>
      <c r="G320" s="4">
        <v>214</v>
      </c>
      <c r="H320" s="8">
        <f t="shared" si="4"/>
        <v>214</v>
      </c>
      <c r="I320" s="10">
        <v>18</v>
      </c>
    </row>
    <row r="321" spans="1:9" ht="15.75" thickBot="1" x14ac:dyDescent="0.3">
      <c r="A321" s="1">
        <v>43466</v>
      </c>
      <c r="B321" s="8" t="s">
        <v>6</v>
      </c>
      <c r="C321" t="s">
        <v>7</v>
      </c>
      <c r="D321" t="s">
        <v>93</v>
      </c>
      <c r="E321" t="s">
        <v>10</v>
      </c>
      <c r="F321" s="9">
        <v>318634.52</v>
      </c>
      <c r="G321" s="6">
        <v>10855286.863</v>
      </c>
      <c r="H321" s="8">
        <f t="shared" si="4"/>
        <v>10855.286862999999</v>
      </c>
      <c r="I321" s="10">
        <v>721</v>
      </c>
    </row>
    <row r="322" spans="1:9" ht="15.75" thickBot="1" x14ac:dyDescent="0.3">
      <c r="A322" s="1">
        <v>43466</v>
      </c>
      <c r="B322" s="8" t="s">
        <v>6</v>
      </c>
      <c r="C322" t="s">
        <v>7</v>
      </c>
      <c r="D322" t="s">
        <v>93</v>
      </c>
      <c r="E322" t="s">
        <v>11</v>
      </c>
      <c r="F322" s="9">
        <v>1230.79</v>
      </c>
      <c r="G322" s="7">
        <v>2016</v>
      </c>
      <c r="H322" s="8">
        <f t="shared" ref="H322:H385" si="5">IF(ISNUMBER(SEARCH("Domestic customer", E322)),G322/1000,G322)</f>
        <v>2016</v>
      </c>
      <c r="I322" s="10">
        <v>9</v>
      </c>
    </row>
    <row r="323" spans="1:9" ht="15.75" thickBot="1" x14ac:dyDescent="0.3">
      <c r="A323" s="1">
        <v>43800</v>
      </c>
      <c r="B323" s="8" t="s">
        <v>6</v>
      </c>
      <c r="C323" t="s">
        <v>7</v>
      </c>
      <c r="D323" t="s">
        <v>93</v>
      </c>
      <c r="E323" t="s">
        <v>13</v>
      </c>
      <c r="F323" s="9">
        <v>1879.63</v>
      </c>
      <c r="G323" s="6">
        <v>66000</v>
      </c>
      <c r="H323" s="8">
        <f t="shared" si="5"/>
        <v>66000</v>
      </c>
      <c r="I323" s="10">
        <v>6</v>
      </c>
    </row>
    <row r="324" spans="1:9" ht="15.75" thickBot="1" x14ac:dyDescent="0.3">
      <c r="A324" s="1">
        <v>43800</v>
      </c>
      <c r="B324" s="8" t="s">
        <v>6</v>
      </c>
      <c r="C324" t="s">
        <v>7</v>
      </c>
      <c r="D324" t="s">
        <v>94</v>
      </c>
      <c r="E324" t="s">
        <v>9</v>
      </c>
      <c r="F324" s="9">
        <v>12886.84</v>
      </c>
      <c r="G324" s="4">
        <v>-13</v>
      </c>
      <c r="H324" s="8">
        <f t="shared" si="5"/>
        <v>-13</v>
      </c>
      <c r="I324" s="10">
        <v>13</v>
      </c>
    </row>
    <row r="325" spans="1:9" ht="15.75" thickBot="1" x14ac:dyDescent="0.3">
      <c r="A325" s="1">
        <v>43800</v>
      </c>
      <c r="B325" s="8" t="s">
        <v>6</v>
      </c>
      <c r="C325" t="s">
        <v>7</v>
      </c>
      <c r="D325" t="s">
        <v>94</v>
      </c>
      <c r="E325" t="s">
        <v>15</v>
      </c>
      <c r="F325" s="9">
        <v>800</v>
      </c>
      <c r="G325" s="4">
        <v>0</v>
      </c>
      <c r="H325" s="8">
        <f t="shared" si="5"/>
        <v>0</v>
      </c>
      <c r="I325" s="10">
        <v>1</v>
      </c>
    </row>
    <row r="326" spans="1:9" ht="15.75" thickBot="1" x14ac:dyDescent="0.3">
      <c r="A326" s="1">
        <v>43800</v>
      </c>
      <c r="B326" s="8" t="s">
        <v>6</v>
      </c>
      <c r="C326" t="s">
        <v>7</v>
      </c>
      <c r="D326" t="s">
        <v>94</v>
      </c>
      <c r="E326" t="s">
        <v>10</v>
      </c>
      <c r="F326" s="9">
        <v>17617.349999999999</v>
      </c>
      <c r="G326" s="7">
        <v>80669.36</v>
      </c>
      <c r="H326" s="8">
        <f t="shared" si="5"/>
        <v>80.669359999999998</v>
      </c>
      <c r="I326" s="10">
        <v>29</v>
      </c>
    </row>
    <row r="327" spans="1:9" ht="15.75" thickBot="1" x14ac:dyDescent="0.3">
      <c r="A327" s="1">
        <v>43466</v>
      </c>
      <c r="B327" s="8" t="s">
        <v>6</v>
      </c>
      <c r="C327" t="s">
        <v>7</v>
      </c>
      <c r="D327" t="s">
        <v>94</v>
      </c>
      <c r="E327" t="s">
        <v>17</v>
      </c>
      <c r="F327" s="9">
        <v>475130.13</v>
      </c>
      <c r="G327" s="7">
        <v>49780.642999999996</v>
      </c>
      <c r="H327" s="8">
        <f t="shared" si="5"/>
        <v>49780.642999999996</v>
      </c>
      <c r="I327" s="10">
        <v>221</v>
      </c>
    </row>
    <row r="328" spans="1:9" ht="15.75" thickBot="1" x14ac:dyDescent="0.3">
      <c r="A328" s="1">
        <v>43466</v>
      </c>
      <c r="B328" s="8" t="s">
        <v>6</v>
      </c>
      <c r="C328" t="s">
        <v>7</v>
      </c>
      <c r="D328" t="s">
        <v>94</v>
      </c>
      <c r="E328" t="s">
        <v>11</v>
      </c>
      <c r="F328" s="9">
        <v>73815.399999999994</v>
      </c>
      <c r="G328" s="7">
        <v>52222.696000000004</v>
      </c>
      <c r="H328" s="8">
        <f t="shared" si="5"/>
        <v>52222.696000000004</v>
      </c>
      <c r="I328" s="10">
        <v>121</v>
      </c>
    </row>
    <row r="329" spans="1:9" ht="15.75" thickBot="1" x14ac:dyDescent="0.3">
      <c r="A329" s="1">
        <v>43466</v>
      </c>
      <c r="B329" s="8" t="s">
        <v>6</v>
      </c>
      <c r="C329" t="s">
        <v>7</v>
      </c>
      <c r="D329" t="s">
        <v>95</v>
      </c>
      <c r="E329" t="s">
        <v>15</v>
      </c>
      <c r="F329" s="9">
        <v>62822.83</v>
      </c>
      <c r="G329" s="7">
        <v>5082.47</v>
      </c>
      <c r="H329" s="8">
        <f t="shared" si="5"/>
        <v>5082.47</v>
      </c>
      <c r="I329" s="10">
        <v>65</v>
      </c>
    </row>
    <row r="330" spans="1:9" ht="15.75" thickBot="1" x14ac:dyDescent="0.3">
      <c r="A330" s="1">
        <v>43800</v>
      </c>
      <c r="B330" s="8" t="s">
        <v>6</v>
      </c>
      <c r="C330" t="s">
        <v>7</v>
      </c>
      <c r="D330" t="s">
        <v>95</v>
      </c>
      <c r="E330" t="s">
        <v>10</v>
      </c>
      <c r="F330" s="9">
        <v>109948.76</v>
      </c>
      <c r="G330" s="7">
        <v>59374096.908</v>
      </c>
      <c r="H330" s="8">
        <f t="shared" si="5"/>
        <v>59374.096908</v>
      </c>
      <c r="I330" s="10">
        <v>4362</v>
      </c>
    </row>
    <row r="331" spans="1:9" ht="15.75" thickBot="1" x14ac:dyDescent="0.3">
      <c r="A331" s="1">
        <v>43800</v>
      </c>
      <c r="B331" s="8" t="s">
        <v>6</v>
      </c>
      <c r="C331" t="s">
        <v>7</v>
      </c>
      <c r="D331" t="s">
        <v>95</v>
      </c>
      <c r="E331" t="s">
        <v>17</v>
      </c>
      <c r="F331" s="9">
        <v>329.2</v>
      </c>
      <c r="G331" s="4">
        <v>10</v>
      </c>
      <c r="H331" s="8">
        <f t="shared" si="5"/>
        <v>10</v>
      </c>
      <c r="I331" s="10">
        <v>1</v>
      </c>
    </row>
    <row r="332" spans="1:9" ht="15.75" thickBot="1" x14ac:dyDescent="0.3">
      <c r="A332" s="1">
        <v>43800</v>
      </c>
      <c r="B332" s="8" t="s">
        <v>6</v>
      </c>
      <c r="C332" t="s">
        <v>7</v>
      </c>
      <c r="D332" t="s">
        <v>95</v>
      </c>
      <c r="E332" t="s">
        <v>11</v>
      </c>
      <c r="F332" s="9">
        <v>165873.85999999999</v>
      </c>
      <c r="G332" s="4">
        <v>15377</v>
      </c>
      <c r="H332" s="8">
        <f t="shared" si="5"/>
        <v>15377</v>
      </c>
      <c r="I332" s="10">
        <v>9</v>
      </c>
    </row>
    <row r="333" spans="1:9" ht="15.75" thickBot="1" x14ac:dyDescent="0.3">
      <c r="A333" s="1">
        <v>43800</v>
      </c>
      <c r="B333" s="8" t="s">
        <v>6</v>
      </c>
      <c r="C333" t="s">
        <v>7</v>
      </c>
      <c r="D333" t="s">
        <v>95</v>
      </c>
      <c r="E333" t="s">
        <v>13</v>
      </c>
      <c r="F333" s="9">
        <v>342.83</v>
      </c>
      <c r="G333" s="7">
        <v>13010.499</v>
      </c>
      <c r="H333" s="8">
        <f t="shared" si="5"/>
        <v>13010.499</v>
      </c>
      <c r="I333" s="10">
        <v>3</v>
      </c>
    </row>
    <row r="334" spans="1:9" ht="15.75" thickBot="1" x14ac:dyDescent="0.3">
      <c r="A334" s="1">
        <v>43466</v>
      </c>
      <c r="B334" s="8" t="s">
        <v>6</v>
      </c>
      <c r="C334" t="s">
        <v>7</v>
      </c>
      <c r="D334" t="s">
        <v>96</v>
      </c>
      <c r="E334" t="s">
        <v>9</v>
      </c>
      <c r="F334" s="9">
        <v>10790.95</v>
      </c>
      <c r="G334" s="4">
        <v>387</v>
      </c>
      <c r="H334" s="8">
        <f t="shared" si="5"/>
        <v>387</v>
      </c>
      <c r="I334" s="10">
        <v>11</v>
      </c>
    </row>
    <row r="335" spans="1:9" ht="15.75" thickBot="1" x14ac:dyDescent="0.3">
      <c r="A335" s="1">
        <v>43466</v>
      </c>
      <c r="B335" s="8" t="s">
        <v>6</v>
      </c>
      <c r="C335" t="s">
        <v>7</v>
      </c>
      <c r="D335" t="s">
        <v>96</v>
      </c>
      <c r="E335" t="s">
        <v>15</v>
      </c>
      <c r="F335" s="9">
        <v>10311.07</v>
      </c>
      <c r="G335" s="4">
        <v>137</v>
      </c>
      <c r="H335" s="8">
        <f t="shared" si="5"/>
        <v>137</v>
      </c>
      <c r="I335" s="10">
        <v>6</v>
      </c>
    </row>
    <row r="336" spans="1:9" ht="15.75" thickBot="1" x14ac:dyDescent="0.3">
      <c r="A336" s="1">
        <v>43466</v>
      </c>
      <c r="B336" s="8" t="s">
        <v>6</v>
      </c>
      <c r="C336" t="s">
        <v>7</v>
      </c>
      <c r="D336" t="s">
        <v>96</v>
      </c>
      <c r="E336" t="s">
        <v>10</v>
      </c>
      <c r="F336" s="9">
        <v>41518.300000000003</v>
      </c>
      <c r="G336" s="6">
        <v>2107215.1260000002</v>
      </c>
      <c r="H336" s="8">
        <f t="shared" si="5"/>
        <v>2107.2151260000001</v>
      </c>
      <c r="I336" s="10">
        <v>101</v>
      </c>
    </row>
    <row r="337" spans="1:9" ht="15.75" thickBot="1" x14ac:dyDescent="0.3">
      <c r="A337" s="1">
        <v>43800</v>
      </c>
      <c r="B337" s="8" t="s">
        <v>6</v>
      </c>
      <c r="C337" t="s">
        <v>7</v>
      </c>
      <c r="D337" t="s">
        <v>96</v>
      </c>
      <c r="E337" t="s">
        <v>11</v>
      </c>
      <c r="F337" s="9">
        <v>8482.11</v>
      </c>
      <c r="G337" s="4">
        <v>310</v>
      </c>
      <c r="H337" s="8">
        <f t="shared" si="5"/>
        <v>310</v>
      </c>
      <c r="I337" s="10">
        <v>1</v>
      </c>
    </row>
    <row r="338" spans="1:9" ht="15.75" thickBot="1" x14ac:dyDescent="0.3">
      <c r="A338" s="1">
        <v>43800</v>
      </c>
      <c r="B338" s="8" t="s">
        <v>6</v>
      </c>
      <c r="C338" t="s">
        <v>7</v>
      </c>
      <c r="D338" t="s">
        <v>97</v>
      </c>
      <c r="E338" t="s">
        <v>15</v>
      </c>
      <c r="F338" s="9">
        <v>3129.01</v>
      </c>
      <c r="G338" s="4">
        <v>0</v>
      </c>
      <c r="H338" s="8">
        <f t="shared" si="5"/>
        <v>0</v>
      </c>
      <c r="I338" s="10">
        <v>5</v>
      </c>
    </row>
    <row r="339" spans="1:9" ht="15.75" thickBot="1" x14ac:dyDescent="0.3">
      <c r="A339" s="1">
        <v>43800</v>
      </c>
      <c r="B339" s="8" t="s">
        <v>6</v>
      </c>
      <c r="C339" t="s">
        <v>7</v>
      </c>
      <c r="D339" t="s">
        <v>97</v>
      </c>
      <c r="E339" t="s">
        <v>10</v>
      </c>
      <c r="F339" s="9">
        <v>94237.97</v>
      </c>
      <c r="G339" s="6">
        <v>2981579.8169999998</v>
      </c>
      <c r="H339" s="8">
        <f t="shared" si="5"/>
        <v>2981.5798169999998</v>
      </c>
      <c r="I339" s="10">
        <v>310</v>
      </c>
    </row>
    <row r="340" spans="1:9" ht="15.75" thickBot="1" x14ac:dyDescent="0.3">
      <c r="A340" s="1">
        <v>43800</v>
      </c>
      <c r="B340" s="8" t="s">
        <v>6</v>
      </c>
      <c r="C340" t="s">
        <v>7</v>
      </c>
      <c r="D340" t="s">
        <v>97</v>
      </c>
      <c r="E340" t="s">
        <v>11</v>
      </c>
      <c r="F340" s="9">
        <v>491.45</v>
      </c>
      <c r="G340" s="6">
        <v>17000</v>
      </c>
      <c r="H340" s="8">
        <f t="shared" si="5"/>
        <v>17000</v>
      </c>
      <c r="I340" s="10">
        <v>1</v>
      </c>
    </row>
    <row r="341" spans="1:9" ht="15.75" thickBot="1" x14ac:dyDescent="0.3">
      <c r="A341" s="1">
        <v>43466</v>
      </c>
      <c r="B341" s="8" t="s">
        <v>6</v>
      </c>
      <c r="C341" t="s">
        <v>7</v>
      </c>
      <c r="D341" t="s">
        <v>97</v>
      </c>
      <c r="E341" t="s">
        <v>13</v>
      </c>
      <c r="F341" s="9">
        <v>619.86</v>
      </c>
      <c r="G341" s="6">
        <v>20815.95</v>
      </c>
      <c r="H341" s="8">
        <f t="shared" si="5"/>
        <v>20815.95</v>
      </c>
      <c r="I341" s="10">
        <v>2</v>
      </c>
    </row>
    <row r="342" spans="1:9" ht="15.75" thickBot="1" x14ac:dyDescent="0.3">
      <c r="A342" s="1">
        <v>43466</v>
      </c>
      <c r="B342" s="8" t="s">
        <v>6</v>
      </c>
      <c r="C342" t="s">
        <v>7</v>
      </c>
      <c r="D342" t="s">
        <v>98</v>
      </c>
      <c r="E342" t="s">
        <v>9</v>
      </c>
      <c r="F342" s="9">
        <v>5863.56</v>
      </c>
      <c r="G342" s="4">
        <v>184</v>
      </c>
      <c r="H342" s="8">
        <f t="shared" si="5"/>
        <v>184</v>
      </c>
      <c r="I342" s="10">
        <v>8</v>
      </c>
    </row>
    <row r="343" spans="1:9" ht="15.75" thickBot="1" x14ac:dyDescent="0.3">
      <c r="A343" s="1">
        <v>43466</v>
      </c>
      <c r="B343" s="8" t="s">
        <v>6</v>
      </c>
      <c r="C343" t="s">
        <v>7</v>
      </c>
      <c r="D343" t="s">
        <v>98</v>
      </c>
      <c r="E343" t="s">
        <v>15</v>
      </c>
      <c r="F343" s="9">
        <v>1973.04</v>
      </c>
      <c r="G343" s="4">
        <v>243</v>
      </c>
      <c r="H343" s="8">
        <f t="shared" si="5"/>
        <v>243</v>
      </c>
      <c r="I343" s="10">
        <v>5</v>
      </c>
    </row>
    <row r="344" spans="1:9" ht="15.75" thickBot="1" x14ac:dyDescent="0.3">
      <c r="A344" s="1">
        <v>43800</v>
      </c>
      <c r="B344" s="8" t="s">
        <v>6</v>
      </c>
      <c r="C344" t="s">
        <v>7</v>
      </c>
      <c r="D344" t="s">
        <v>98</v>
      </c>
      <c r="E344" t="s">
        <v>10</v>
      </c>
      <c r="F344" s="9">
        <v>62355.64</v>
      </c>
      <c r="G344" s="6">
        <v>2843344.5320000001</v>
      </c>
      <c r="H344" s="8">
        <f t="shared" si="5"/>
        <v>2843.3445320000001</v>
      </c>
      <c r="I344" s="10">
        <v>206</v>
      </c>
    </row>
    <row r="345" spans="1:9" ht="15.75" thickBot="1" x14ac:dyDescent="0.3">
      <c r="A345" s="1">
        <v>43800</v>
      </c>
      <c r="B345" s="8" t="s">
        <v>6</v>
      </c>
      <c r="C345" t="s">
        <v>7</v>
      </c>
      <c r="D345" t="s">
        <v>98</v>
      </c>
      <c r="E345" t="s">
        <v>11</v>
      </c>
      <c r="F345" s="9">
        <v>81.569999999999993</v>
      </c>
      <c r="G345" s="4">
        <v>0</v>
      </c>
      <c r="H345" s="8">
        <f t="shared" si="5"/>
        <v>0</v>
      </c>
      <c r="I345" s="10">
        <v>2</v>
      </c>
    </row>
    <row r="346" spans="1:9" ht="15.75" thickBot="1" x14ac:dyDescent="0.3">
      <c r="A346" s="1">
        <v>43800</v>
      </c>
      <c r="B346" s="8" t="s">
        <v>6</v>
      </c>
      <c r="C346" t="s">
        <v>7</v>
      </c>
      <c r="D346" t="s">
        <v>99</v>
      </c>
      <c r="E346" t="s">
        <v>15</v>
      </c>
      <c r="F346" s="9">
        <v>156</v>
      </c>
      <c r="G346" s="4">
        <v>0</v>
      </c>
      <c r="H346" s="8">
        <f t="shared" si="5"/>
        <v>0</v>
      </c>
      <c r="I346" s="10">
        <v>1</v>
      </c>
    </row>
    <row r="347" spans="1:9" ht="15.75" thickBot="1" x14ac:dyDescent="0.3">
      <c r="A347" s="1">
        <v>43800</v>
      </c>
      <c r="B347" s="8" t="s">
        <v>6</v>
      </c>
      <c r="C347" t="s">
        <v>7</v>
      </c>
      <c r="D347" t="s">
        <v>99</v>
      </c>
      <c r="E347" t="s">
        <v>10</v>
      </c>
      <c r="F347" s="9">
        <v>21344.68</v>
      </c>
      <c r="G347" s="6">
        <v>640966.6</v>
      </c>
      <c r="H347" s="8">
        <f t="shared" si="5"/>
        <v>640.96659999999997</v>
      </c>
      <c r="I347" s="10">
        <v>43</v>
      </c>
    </row>
    <row r="348" spans="1:9" ht="15.75" thickBot="1" x14ac:dyDescent="0.3">
      <c r="A348" s="1">
        <v>43466</v>
      </c>
      <c r="B348" s="8" t="s">
        <v>6</v>
      </c>
      <c r="C348" t="s">
        <v>7</v>
      </c>
      <c r="D348" t="s">
        <v>99</v>
      </c>
      <c r="E348" t="s">
        <v>11</v>
      </c>
      <c r="F348" s="9">
        <v>822.77</v>
      </c>
      <c r="G348" s="6">
        <v>28000</v>
      </c>
      <c r="H348" s="8">
        <f t="shared" si="5"/>
        <v>28000</v>
      </c>
      <c r="I348" s="10">
        <v>1</v>
      </c>
    </row>
    <row r="349" spans="1:9" ht="15.75" thickBot="1" x14ac:dyDescent="0.3">
      <c r="A349" s="1">
        <v>43466</v>
      </c>
      <c r="B349" s="8" t="s">
        <v>6</v>
      </c>
      <c r="C349" t="s">
        <v>7</v>
      </c>
      <c r="D349" t="s">
        <v>100</v>
      </c>
      <c r="E349" t="s">
        <v>9</v>
      </c>
      <c r="F349" s="9">
        <v>438.48</v>
      </c>
      <c r="G349" s="4">
        <v>14</v>
      </c>
      <c r="H349" s="8">
        <f t="shared" si="5"/>
        <v>14</v>
      </c>
      <c r="I349" s="10">
        <v>1</v>
      </c>
    </row>
    <row r="350" spans="1:9" ht="15.75" thickBot="1" x14ac:dyDescent="0.3">
      <c r="A350" s="1">
        <v>43466</v>
      </c>
      <c r="B350" s="8" t="s">
        <v>6</v>
      </c>
      <c r="C350" t="s">
        <v>7</v>
      </c>
      <c r="D350" t="s">
        <v>100</v>
      </c>
      <c r="E350" t="s">
        <v>15</v>
      </c>
      <c r="F350" s="9">
        <v>1350</v>
      </c>
      <c r="G350" s="4">
        <v>0</v>
      </c>
      <c r="H350" s="8">
        <f t="shared" si="5"/>
        <v>0</v>
      </c>
      <c r="I350" s="10">
        <v>3</v>
      </c>
    </row>
    <row r="351" spans="1:9" ht="15.75" thickBot="1" x14ac:dyDescent="0.3">
      <c r="A351" s="1">
        <v>43800</v>
      </c>
      <c r="B351" s="8" t="s">
        <v>6</v>
      </c>
      <c r="C351" t="s">
        <v>7</v>
      </c>
      <c r="D351" t="s">
        <v>100</v>
      </c>
      <c r="E351" t="s">
        <v>10</v>
      </c>
      <c r="F351" s="9">
        <v>133971.34</v>
      </c>
      <c r="G351" s="6">
        <v>4624813.5480000004</v>
      </c>
      <c r="H351" s="8">
        <f t="shared" si="5"/>
        <v>4624.8135480000001</v>
      </c>
      <c r="I351" s="10">
        <v>340</v>
      </c>
    </row>
    <row r="352" spans="1:9" ht="15.75" thickBot="1" x14ac:dyDescent="0.3">
      <c r="A352" s="1">
        <v>43800</v>
      </c>
      <c r="B352" s="8" t="s">
        <v>6</v>
      </c>
      <c r="C352" t="s">
        <v>7</v>
      </c>
      <c r="D352" t="s">
        <v>100</v>
      </c>
      <c r="E352" t="s">
        <v>11</v>
      </c>
      <c r="F352" s="9">
        <v>14829.5</v>
      </c>
      <c r="G352" s="4">
        <v>363</v>
      </c>
      <c r="H352" s="8">
        <f t="shared" si="5"/>
        <v>363</v>
      </c>
      <c r="I352" s="10">
        <v>6</v>
      </c>
    </row>
    <row r="353" spans="1:9" ht="15.75" thickBot="1" x14ac:dyDescent="0.3">
      <c r="A353" s="1">
        <v>43800</v>
      </c>
      <c r="B353" s="8" t="s">
        <v>6</v>
      </c>
      <c r="C353" t="s">
        <v>7</v>
      </c>
      <c r="D353" t="s">
        <v>100</v>
      </c>
      <c r="E353" t="s">
        <v>13</v>
      </c>
      <c r="F353" s="9">
        <v>129.82</v>
      </c>
      <c r="G353" s="6">
        <v>2000</v>
      </c>
      <c r="H353" s="8">
        <f t="shared" si="5"/>
        <v>2000</v>
      </c>
      <c r="I353" s="10">
        <v>1</v>
      </c>
    </row>
    <row r="354" spans="1:9" ht="15.75" thickBot="1" x14ac:dyDescent="0.3">
      <c r="A354" s="1">
        <v>43800</v>
      </c>
      <c r="B354" s="8" t="s">
        <v>6</v>
      </c>
      <c r="C354" t="s">
        <v>7</v>
      </c>
      <c r="D354" t="s">
        <v>101</v>
      </c>
      <c r="E354" t="s">
        <v>9</v>
      </c>
      <c r="F354" s="9">
        <v>15222.68</v>
      </c>
      <c r="G354" s="4">
        <v>449</v>
      </c>
      <c r="H354" s="8">
        <f t="shared" si="5"/>
        <v>449</v>
      </c>
      <c r="I354" s="10">
        <v>4</v>
      </c>
    </row>
    <row r="355" spans="1:9" ht="15.75" thickBot="1" x14ac:dyDescent="0.3">
      <c r="A355" s="1">
        <v>43466</v>
      </c>
      <c r="B355" s="8" t="s">
        <v>6</v>
      </c>
      <c r="C355" t="s">
        <v>7</v>
      </c>
      <c r="D355" t="s">
        <v>101</v>
      </c>
      <c r="E355" t="s">
        <v>15</v>
      </c>
      <c r="F355" s="9">
        <v>1250</v>
      </c>
      <c r="G355" s="4">
        <v>48</v>
      </c>
      <c r="H355" s="8">
        <f t="shared" si="5"/>
        <v>48</v>
      </c>
      <c r="I355" s="10">
        <v>3</v>
      </c>
    </row>
    <row r="356" spans="1:9" ht="15.75" thickBot="1" x14ac:dyDescent="0.3">
      <c r="A356" s="1">
        <v>43466</v>
      </c>
      <c r="B356" s="8" t="s">
        <v>6</v>
      </c>
      <c r="C356" t="s">
        <v>7</v>
      </c>
      <c r="D356" t="s">
        <v>101</v>
      </c>
      <c r="E356" t="s">
        <v>10</v>
      </c>
      <c r="F356" s="9">
        <v>424375.81</v>
      </c>
      <c r="G356" s="6">
        <v>14733465.227</v>
      </c>
      <c r="H356" s="8">
        <f t="shared" si="5"/>
        <v>14733.465227000001</v>
      </c>
      <c r="I356" s="10">
        <v>849</v>
      </c>
    </row>
    <row r="357" spans="1:9" ht="15.75" thickBot="1" x14ac:dyDescent="0.3">
      <c r="A357" s="1">
        <v>43466</v>
      </c>
      <c r="B357" s="8" t="s">
        <v>6</v>
      </c>
      <c r="C357" t="s">
        <v>7</v>
      </c>
      <c r="D357" t="s">
        <v>101</v>
      </c>
      <c r="E357" t="s">
        <v>11</v>
      </c>
      <c r="F357" s="9">
        <v>11611.84</v>
      </c>
      <c r="G357" s="4">
        <v>412</v>
      </c>
      <c r="H357" s="8">
        <f t="shared" si="5"/>
        <v>412</v>
      </c>
      <c r="I357" s="10">
        <v>3</v>
      </c>
    </row>
    <row r="358" spans="1:9" ht="15.75" thickBot="1" x14ac:dyDescent="0.3">
      <c r="A358" s="1">
        <v>43800</v>
      </c>
      <c r="B358" s="8" t="s">
        <v>6</v>
      </c>
      <c r="C358" t="s">
        <v>7</v>
      </c>
      <c r="D358" t="s">
        <v>101</v>
      </c>
      <c r="E358" t="s">
        <v>13</v>
      </c>
      <c r="F358" s="9">
        <v>664.59</v>
      </c>
      <c r="G358" s="6">
        <v>20000</v>
      </c>
      <c r="H358" s="8">
        <f t="shared" si="5"/>
        <v>20000</v>
      </c>
      <c r="I358" s="10">
        <v>2</v>
      </c>
    </row>
    <row r="359" spans="1:9" ht="15.75" thickBot="1" x14ac:dyDescent="0.3">
      <c r="A359" s="1">
        <v>43800</v>
      </c>
      <c r="B359" s="8" t="s">
        <v>6</v>
      </c>
      <c r="C359" t="s">
        <v>7</v>
      </c>
      <c r="D359" t="s">
        <v>102</v>
      </c>
      <c r="E359" t="s">
        <v>9</v>
      </c>
      <c r="F359" s="9">
        <v>6334.88</v>
      </c>
      <c r="G359" s="4">
        <v>209</v>
      </c>
      <c r="H359" s="8">
        <f t="shared" si="5"/>
        <v>209</v>
      </c>
      <c r="I359" s="10">
        <v>1</v>
      </c>
    </row>
    <row r="360" spans="1:9" ht="15.75" thickBot="1" x14ac:dyDescent="0.3">
      <c r="A360" s="1">
        <v>43800</v>
      </c>
      <c r="B360" s="8" t="s">
        <v>6</v>
      </c>
      <c r="C360" t="s">
        <v>7</v>
      </c>
      <c r="D360" t="s">
        <v>102</v>
      </c>
      <c r="E360" t="s">
        <v>15</v>
      </c>
      <c r="F360" s="9">
        <v>6173.55</v>
      </c>
      <c r="G360" s="4">
        <v>134</v>
      </c>
      <c r="H360" s="8">
        <f t="shared" si="5"/>
        <v>134</v>
      </c>
      <c r="I360" s="10">
        <v>1</v>
      </c>
    </row>
    <row r="361" spans="1:9" ht="15.75" thickBot="1" x14ac:dyDescent="0.3">
      <c r="A361" s="1">
        <v>43800</v>
      </c>
      <c r="B361" s="8" t="s">
        <v>6</v>
      </c>
      <c r="C361" t="s">
        <v>7</v>
      </c>
      <c r="D361" t="s">
        <v>102</v>
      </c>
      <c r="E361" t="s">
        <v>10</v>
      </c>
      <c r="F361" s="9">
        <v>69872.87</v>
      </c>
      <c r="G361" s="6">
        <v>2175094.3250000002</v>
      </c>
      <c r="H361" s="8">
        <f t="shared" si="5"/>
        <v>2175.094325</v>
      </c>
      <c r="I361" s="10">
        <v>157</v>
      </c>
    </row>
    <row r="362" spans="1:9" ht="15.75" thickBot="1" x14ac:dyDescent="0.3">
      <c r="A362" s="1">
        <v>43466</v>
      </c>
      <c r="B362" s="8" t="s">
        <v>6</v>
      </c>
      <c r="C362" t="s">
        <v>7</v>
      </c>
      <c r="D362" t="s">
        <v>102</v>
      </c>
      <c r="E362" t="s">
        <v>11</v>
      </c>
      <c r="F362" s="9">
        <v>236.6</v>
      </c>
      <c r="G362" s="4">
        <v>5</v>
      </c>
      <c r="H362" s="8">
        <f t="shared" si="5"/>
        <v>5</v>
      </c>
      <c r="I362" s="10">
        <v>1</v>
      </c>
    </row>
    <row r="363" spans="1:9" ht="15.75" thickBot="1" x14ac:dyDescent="0.3">
      <c r="A363" s="1">
        <v>43466</v>
      </c>
      <c r="B363" s="8" t="s">
        <v>6</v>
      </c>
      <c r="C363" t="s">
        <v>7</v>
      </c>
      <c r="D363" t="s">
        <v>103</v>
      </c>
      <c r="E363" t="s">
        <v>9</v>
      </c>
      <c r="F363" s="9">
        <v>30912.28</v>
      </c>
      <c r="G363" s="4">
        <v>854</v>
      </c>
      <c r="H363" s="8">
        <f t="shared" si="5"/>
        <v>854</v>
      </c>
      <c r="I363" s="10">
        <v>4</v>
      </c>
    </row>
    <row r="364" spans="1:9" ht="15.75" thickBot="1" x14ac:dyDescent="0.3">
      <c r="A364" s="1">
        <v>43466</v>
      </c>
      <c r="B364" s="8" t="s">
        <v>6</v>
      </c>
      <c r="C364" t="s">
        <v>7</v>
      </c>
      <c r="D364" t="s">
        <v>103</v>
      </c>
      <c r="E364" t="s">
        <v>15</v>
      </c>
      <c r="F364" s="9">
        <v>8229.48</v>
      </c>
      <c r="G364" s="4">
        <v>239</v>
      </c>
      <c r="H364" s="8">
        <f t="shared" si="5"/>
        <v>239</v>
      </c>
      <c r="I364" s="10">
        <v>1</v>
      </c>
    </row>
    <row r="365" spans="1:9" ht="15.75" thickBot="1" x14ac:dyDescent="0.3">
      <c r="A365" s="1">
        <v>43800</v>
      </c>
      <c r="B365" s="8" t="s">
        <v>6</v>
      </c>
      <c r="C365" t="s">
        <v>7</v>
      </c>
      <c r="D365" t="s">
        <v>103</v>
      </c>
      <c r="E365" t="s">
        <v>10</v>
      </c>
      <c r="F365" s="9">
        <v>132136.69</v>
      </c>
      <c r="G365" s="6">
        <v>4506317.1440000003</v>
      </c>
      <c r="H365" s="8">
        <f t="shared" si="5"/>
        <v>4506.3171440000006</v>
      </c>
      <c r="I365" s="10">
        <v>461</v>
      </c>
    </row>
    <row r="366" spans="1:9" ht="15.75" thickBot="1" x14ac:dyDescent="0.3">
      <c r="A366" s="1">
        <v>43800</v>
      </c>
      <c r="B366" s="8" t="s">
        <v>6</v>
      </c>
      <c r="C366" t="s">
        <v>7</v>
      </c>
      <c r="D366" t="s">
        <v>103</v>
      </c>
      <c r="E366" t="s">
        <v>11</v>
      </c>
      <c r="F366" s="9">
        <v>10817.05</v>
      </c>
      <c r="G366" s="7">
        <v>318031</v>
      </c>
      <c r="H366" s="8">
        <f t="shared" si="5"/>
        <v>318031</v>
      </c>
      <c r="I366" s="10">
        <v>7</v>
      </c>
    </row>
    <row r="367" spans="1:9" ht="15.75" thickBot="1" x14ac:dyDescent="0.3">
      <c r="A367" s="1">
        <v>43800</v>
      </c>
      <c r="B367" s="8" t="s">
        <v>6</v>
      </c>
      <c r="C367" t="s">
        <v>7</v>
      </c>
      <c r="D367" t="s">
        <v>103</v>
      </c>
      <c r="E367" t="s">
        <v>13</v>
      </c>
      <c r="F367" s="9">
        <v>747.84</v>
      </c>
      <c r="G367" s="6">
        <v>18000</v>
      </c>
      <c r="H367" s="8">
        <f t="shared" si="5"/>
        <v>18000</v>
      </c>
      <c r="I367" s="10">
        <v>5</v>
      </c>
    </row>
    <row r="368" spans="1:9" ht="15.75" thickBot="1" x14ac:dyDescent="0.3">
      <c r="A368" s="1">
        <v>43800</v>
      </c>
      <c r="B368" s="8" t="s">
        <v>6</v>
      </c>
      <c r="C368" t="s">
        <v>7</v>
      </c>
      <c r="D368" t="s">
        <v>104</v>
      </c>
      <c r="E368" t="s">
        <v>9</v>
      </c>
      <c r="F368" s="9">
        <v>147251.38</v>
      </c>
      <c r="G368" s="4">
        <v>4016</v>
      </c>
      <c r="H368" s="8">
        <f t="shared" si="5"/>
        <v>4016</v>
      </c>
      <c r="I368" s="10">
        <v>46</v>
      </c>
    </row>
    <row r="369" spans="1:9" ht="15.75" thickBot="1" x14ac:dyDescent="0.3">
      <c r="A369" s="1">
        <v>43466</v>
      </c>
      <c r="B369" s="8" t="s">
        <v>6</v>
      </c>
      <c r="C369" t="s">
        <v>7</v>
      </c>
      <c r="D369" t="s">
        <v>104</v>
      </c>
      <c r="E369" t="s">
        <v>15</v>
      </c>
      <c r="F369" s="9">
        <v>658230.03</v>
      </c>
      <c r="G369" s="4">
        <v>23825</v>
      </c>
      <c r="H369" s="8">
        <f t="shared" si="5"/>
        <v>23825</v>
      </c>
      <c r="I369" s="10">
        <v>8</v>
      </c>
    </row>
    <row r="370" spans="1:9" ht="15.75" thickBot="1" x14ac:dyDescent="0.3">
      <c r="A370" s="1">
        <v>43466</v>
      </c>
      <c r="B370" s="8" t="s">
        <v>6</v>
      </c>
      <c r="C370" t="s">
        <v>7</v>
      </c>
      <c r="D370" t="s">
        <v>104</v>
      </c>
      <c r="E370" t="s">
        <v>10</v>
      </c>
      <c r="F370" s="9">
        <v>49864.04</v>
      </c>
      <c r="G370" s="7">
        <v>2241062.5550000002</v>
      </c>
      <c r="H370" s="8">
        <f t="shared" si="5"/>
        <v>2241.062555</v>
      </c>
      <c r="I370" s="10">
        <v>252</v>
      </c>
    </row>
    <row r="371" spans="1:9" ht="15.75" thickBot="1" x14ac:dyDescent="0.3">
      <c r="A371" s="1">
        <v>43466</v>
      </c>
      <c r="B371" s="8" t="s">
        <v>6</v>
      </c>
      <c r="C371" t="s">
        <v>7</v>
      </c>
      <c r="D371" t="s">
        <v>104</v>
      </c>
      <c r="E371" t="s">
        <v>11</v>
      </c>
      <c r="F371" s="9">
        <v>3076.39</v>
      </c>
      <c r="G371" s="7">
        <v>5087</v>
      </c>
      <c r="H371" s="8">
        <f t="shared" si="5"/>
        <v>5087</v>
      </c>
      <c r="I371" s="10">
        <v>3</v>
      </c>
    </row>
    <row r="372" spans="1:9" ht="15.75" thickBot="1" x14ac:dyDescent="0.3">
      <c r="A372" s="1">
        <v>43800</v>
      </c>
      <c r="B372" s="8" t="s">
        <v>6</v>
      </c>
      <c r="C372" t="s">
        <v>7</v>
      </c>
      <c r="D372" t="s">
        <v>104</v>
      </c>
      <c r="E372" t="s">
        <v>13</v>
      </c>
      <c r="F372" s="9">
        <v>1560.6</v>
      </c>
      <c r="G372" s="7">
        <v>10021.924999999999</v>
      </c>
      <c r="H372" s="8">
        <f t="shared" si="5"/>
        <v>10021.924999999999</v>
      </c>
      <c r="I372" s="10">
        <v>2</v>
      </c>
    </row>
    <row r="373" spans="1:9" ht="15.75" thickBot="1" x14ac:dyDescent="0.3">
      <c r="A373" s="1">
        <v>43800</v>
      </c>
      <c r="B373" s="8" t="s">
        <v>6</v>
      </c>
      <c r="C373" t="s">
        <v>7</v>
      </c>
      <c r="D373" t="s">
        <v>105</v>
      </c>
      <c r="E373" t="s">
        <v>9</v>
      </c>
      <c r="F373" s="9">
        <v>1499.24</v>
      </c>
      <c r="G373" s="4">
        <v>32</v>
      </c>
      <c r="H373" s="8">
        <f t="shared" si="5"/>
        <v>32</v>
      </c>
      <c r="I373" s="10">
        <v>1</v>
      </c>
    </row>
    <row r="374" spans="1:9" ht="15.75" thickBot="1" x14ac:dyDescent="0.3">
      <c r="A374" s="1">
        <v>43800</v>
      </c>
      <c r="B374" s="8" t="s">
        <v>6</v>
      </c>
      <c r="C374" t="s">
        <v>7</v>
      </c>
      <c r="D374" t="s">
        <v>106</v>
      </c>
      <c r="E374" t="s">
        <v>15</v>
      </c>
      <c r="F374" s="9">
        <v>356</v>
      </c>
      <c r="G374" s="4">
        <v>0</v>
      </c>
      <c r="H374" s="8">
        <f t="shared" si="5"/>
        <v>0</v>
      </c>
      <c r="I374" s="10">
        <v>4</v>
      </c>
    </row>
    <row r="375" spans="1:9" ht="15.75" thickBot="1" x14ac:dyDescent="0.3">
      <c r="A375" s="1">
        <v>43800</v>
      </c>
      <c r="B375" s="8" t="s">
        <v>6</v>
      </c>
      <c r="C375" t="s">
        <v>7</v>
      </c>
      <c r="D375" t="s">
        <v>106</v>
      </c>
      <c r="E375" t="s">
        <v>10</v>
      </c>
      <c r="F375" s="9">
        <v>215590.5</v>
      </c>
      <c r="G375" s="6">
        <v>7689324.6610000003</v>
      </c>
      <c r="H375" s="8">
        <f t="shared" si="5"/>
        <v>7689.3246610000006</v>
      </c>
      <c r="I375" s="10">
        <v>935</v>
      </c>
    </row>
    <row r="376" spans="1:9" ht="15.75" thickBot="1" x14ac:dyDescent="0.3">
      <c r="A376" s="1">
        <v>43466</v>
      </c>
      <c r="B376" s="8" t="s">
        <v>6</v>
      </c>
      <c r="C376" t="s">
        <v>7</v>
      </c>
      <c r="D376" t="s">
        <v>106</v>
      </c>
      <c r="E376" t="s">
        <v>11</v>
      </c>
      <c r="F376" s="9">
        <v>644.71</v>
      </c>
      <c r="G376" s="4">
        <v>0</v>
      </c>
      <c r="H376" s="8">
        <f t="shared" si="5"/>
        <v>0</v>
      </c>
      <c r="I376" s="10">
        <v>7</v>
      </c>
    </row>
    <row r="377" spans="1:9" ht="15.75" thickBot="1" x14ac:dyDescent="0.3">
      <c r="A377" s="1">
        <v>43466</v>
      </c>
      <c r="B377" s="8" t="s">
        <v>6</v>
      </c>
      <c r="C377" t="s">
        <v>7</v>
      </c>
      <c r="D377" t="s">
        <v>106</v>
      </c>
      <c r="E377" t="s">
        <v>13</v>
      </c>
      <c r="F377" s="9">
        <v>539.36</v>
      </c>
      <c r="G377" s="6">
        <v>18000</v>
      </c>
      <c r="H377" s="8">
        <f t="shared" si="5"/>
        <v>18000</v>
      </c>
      <c r="I377" s="10">
        <v>3</v>
      </c>
    </row>
    <row r="378" spans="1:9" ht="15.75" thickBot="1" x14ac:dyDescent="0.3">
      <c r="A378" s="1">
        <v>43466</v>
      </c>
      <c r="B378" s="8" t="s">
        <v>6</v>
      </c>
      <c r="C378" t="s">
        <v>7</v>
      </c>
      <c r="D378" t="s">
        <v>107</v>
      </c>
      <c r="E378" t="s">
        <v>9</v>
      </c>
      <c r="F378" s="9">
        <v>17648.080000000002</v>
      </c>
      <c r="G378" s="4">
        <v>619</v>
      </c>
      <c r="H378" s="8">
        <f t="shared" si="5"/>
        <v>619</v>
      </c>
      <c r="I378" s="10">
        <v>2</v>
      </c>
    </row>
    <row r="379" spans="1:9" ht="15.75" thickBot="1" x14ac:dyDescent="0.3">
      <c r="A379" s="1">
        <v>43800</v>
      </c>
      <c r="B379" s="8" t="s">
        <v>6</v>
      </c>
      <c r="C379" t="s">
        <v>7</v>
      </c>
      <c r="D379" t="s">
        <v>107</v>
      </c>
      <c r="E379" t="s">
        <v>15</v>
      </c>
      <c r="F379" s="9">
        <v>3888.65</v>
      </c>
      <c r="G379" s="4">
        <v>125</v>
      </c>
      <c r="H379" s="8">
        <f t="shared" si="5"/>
        <v>125</v>
      </c>
      <c r="I379" s="10">
        <v>6</v>
      </c>
    </row>
    <row r="380" spans="1:9" ht="15.75" thickBot="1" x14ac:dyDescent="0.3">
      <c r="A380" s="1">
        <v>43800</v>
      </c>
      <c r="B380" s="8" t="s">
        <v>6</v>
      </c>
      <c r="C380" t="s">
        <v>7</v>
      </c>
      <c r="D380" t="s">
        <v>107</v>
      </c>
      <c r="E380" t="s">
        <v>10</v>
      </c>
      <c r="F380" s="9">
        <v>114192.45</v>
      </c>
      <c r="G380" s="6">
        <v>4153725.07</v>
      </c>
      <c r="H380" s="8">
        <f t="shared" si="5"/>
        <v>4153.7250699999995</v>
      </c>
      <c r="I380" s="10">
        <v>367</v>
      </c>
    </row>
    <row r="381" spans="1:9" ht="15.75" thickBot="1" x14ac:dyDescent="0.3">
      <c r="A381" s="1">
        <v>43800</v>
      </c>
      <c r="B381" s="8" t="s">
        <v>6</v>
      </c>
      <c r="C381" t="s">
        <v>7</v>
      </c>
      <c r="D381" t="s">
        <v>107</v>
      </c>
      <c r="E381" t="s">
        <v>11</v>
      </c>
      <c r="F381" s="9">
        <v>3624.85</v>
      </c>
      <c r="G381" s="4">
        <v>106</v>
      </c>
      <c r="H381" s="8">
        <f t="shared" si="5"/>
        <v>106</v>
      </c>
      <c r="I381" s="10">
        <v>2</v>
      </c>
    </row>
    <row r="382" spans="1:9" ht="15.75" thickBot="1" x14ac:dyDescent="0.3">
      <c r="A382" s="1">
        <v>43800</v>
      </c>
      <c r="B382" s="8" t="s">
        <v>6</v>
      </c>
      <c r="C382" t="s">
        <v>7</v>
      </c>
      <c r="D382" t="s">
        <v>108</v>
      </c>
      <c r="E382" t="s">
        <v>9</v>
      </c>
      <c r="F382" s="9">
        <v>19237.2</v>
      </c>
      <c r="G382" s="4">
        <v>584</v>
      </c>
      <c r="H382" s="8">
        <f t="shared" si="5"/>
        <v>584</v>
      </c>
      <c r="I382" s="10">
        <v>36</v>
      </c>
    </row>
    <row r="383" spans="1:9" ht="15.75" thickBot="1" x14ac:dyDescent="0.3">
      <c r="A383" s="1">
        <v>43466</v>
      </c>
      <c r="B383" s="8" t="s">
        <v>6</v>
      </c>
      <c r="C383" t="s">
        <v>7</v>
      </c>
      <c r="D383" t="s">
        <v>108</v>
      </c>
      <c r="E383" t="s">
        <v>15</v>
      </c>
      <c r="F383" s="9">
        <v>65668.37</v>
      </c>
      <c r="G383" s="4">
        <v>1480</v>
      </c>
      <c r="H383" s="8">
        <f t="shared" si="5"/>
        <v>1480</v>
      </c>
      <c r="I383" s="10">
        <v>64</v>
      </c>
    </row>
    <row r="384" spans="1:9" ht="15.75" thickBot="1" x14ac:dyDescent="0.3">
      <c r="A384" s="1">
        <v>43466</v>
      </c>
      <c r="B384" s="8" t="s">
        <v>6</v>
      </c>
      <c r="C384" t="s">
        <v>7</v>
      </c>
      <c r="D384" t="s">
        <v>108</v>
      </c>
      <c r="E384" t="s">
        <v>10</v>
      </c>
      <c r="F384" s="9">
        <v>191866.02</v>
      </c>
      <c r="G384" s="7">
        <v>67318672.431999996</v>
      </c>
      <c r="H384" s="8">
        <f t="shared" si="5"/>
        <v>67318.672431999992</v>
      </c>
      <c r="I384" s="10">
        <v>6778</v>
      </c>
    </row>
    <row r="385" spans="1:9" ht="15.75" thickBot="1" x14ac:dyDescent="0.3">
      <c r="A385" s="1">
        <v>43466</v>
      </c>
      <c r="B385" s="8" t="s">
        <v>6</v>
      </c>
      <c r="C385" t="s">
        <v>7</v>
      </c>
      <c r="D385" t="s">
        <v>108</v>
      </c>
      <c r="E385" t="s">
        <v>11</v>
      </c>
      <c r="F385" s="9">
        <v>122375.03</v>
      </c>
      <c r="G385" s="7">
        <v>440750.98499999999</v>
      </c>
      <c r="H385" s="8">
        <f t="shared" si="5"/>
        <v>440750.98499999999</v>
      </c>
      <c r="I385" s="10">
        <v>67</v>
      </c>
    </row>
    <row r="386" spans="1:9" ht="15.75" thickBot="1" x14ac:dyDescent="0.3">
      <c r="A386" s="1">
        <v>43800</v>
      </c>
      <c r="B386" s="8" t="s">
        <v>6</v>
      </c>
      <c r="C386" t="s">
        <v>7</v>
      </c>
      <c r="D386" t="s">
        <v>108</v>
      </c>
      <c r="E386" t="s">
        <v>13</v>
      </c>
      <c r="F386" s="9">
        <v>4076.2</v>
      </c>
      <c r="G386" s="7">
        <v>256050.09700000001</v>
      </c>
      <c r="H386" s="8">
        <f t="shared" ref="H386:H449" si="6">IF(ISNUMBER(SEARCH("Domestic customer", E386)),G386/1000,G386)</f>
        <v>256050.09700000001</v>
      </c>
      <c r="I386" s="10">
        <v>30</v>
      </c>
    </row>
    <row r="387" spans="1:9" ht="15.75" thickBot="1" x14ac:dyDescent="0.3">
      <c r="A387" s="1">
        <v>43800</v>
      </c>
      <c r="B387" s="8" t="s">
        <v>6</v>
      </c>
      <c r="C387" t="s">
        <v>7</v>
      </c>
      <c r="D387" t="s">
        <v>109</v>
      </c>
      <c r="E387" t="s">
        <v>9</v>
      </c>
      <c r="F387" s="9">
        <v>464562.48</v>
      </c>
      <c r="G387" s="4">
        <v>12798</v>
      </c>
      <c r="H387" s="8">
        <f t="shared" si="6"/>
        <v>12798</v>
      </c>
      <c r="I387" s="10">
        <v>156</v>
      </c>
    </row>
    <row r="388" spans="1:9" ht="15.75" thickBot="1" x14ac:dyDescent="0.3">
      <c r="A388" s="1">
        <v>43800</v>
      </c>
      <c r="B388" s="8" t="s">
        <v>6</v>
      </c>
      <c r="C388" t="s">
        <v>7</v>
      </c>
      <c r="D388" t="s">
        <v>109</v>
      </c>
      <c r="E388" t="s">
        <v>15</v>
      </c>
      <c r="F388" s="9">
        <v>6463.04</v>
      </c>
      <c r="G388" s="4">
        <v>210</v>
      </c>
      <c r="H388" s="8">
        <f t="shared" si="6"/>
        <v>210</v>
      </c>
      <c r="I388" s="10">
        <v>7</v>
      </c>
    </row>
    <row r="389" spans="1:9" ht="15.75" thickBot="1" x14ac:dyDescent="0.3">
      <c r="A389" s="1">
        <v>43800</v>
      </c>
      <c r="B389" s="8" t="s">
        <v>6</v>
      </c>
      <c r="C389" t="s">
        <v>7</v>
      </c>
      <c r="D389" t="s">
        <v>109</v>
      </c>
      <c r="E389" t="s">
        <v>10</v>
      </c>
      <c r="F389" s="9">
        <v>20616.27</v>
      </c>
      <c r="G389" s="7">
        <v>160286.38699999999</v>
      </c>
      <c r="H389" s="8">
        <f t="shared" si="6"/>
        <v>160.28638699999999</v>
      </c>
      <c r="I389" s="10">
        <v>6</v>
      </c>
    </row>
    <row r="390" spans="1:9" ht="15.75" thickBot="1" x14ac:dyDescent="0.3">
      <c r="A390" s="1">
        <v>43466</v>
      </c>
      <c r="B390" s="8" t="s">
        <v>6</v>
      </c>
      <c r="C390" t="s">
        <v>7</v>
      </c>
      <c r="D390" t="s">
        <v>109</v>
      </c>
      <c r="E390" t="s">
        <v>17</v>
      </c>
      <c r="F390" s="9">
        <v>56505.35</v>
      </c>
      <c r="G390" s="7">
        <v>1523.345</v>
      </c>
      <c r="H390" s="8">
        <f t="shared" si="6"/>
        <v>1523.345</v>
      </c>
      <c r="I390" s="10">
        <v>8</v>
      </c>
    </row>
    <row r="391" spans="1:9" ht="15.75" thickBot="1" x14ac:dyDescent="0.3">
      <c r="A391" s="1">
        <v>43466</v>
      </c>
      <c r="B391" s="8" t="s">
        <v>6</v>
      </c>
      <c r="C391" t="s">
        <v>7</v>
      </c>
      <c r="D391" t="s">
        <v>109</v>
      </c>
      <c r="E391" t="s">
        <v>11</v>
      </c>
      <c r="F391" s="9">
        <v>44038.86</v>
      </c>
      <c r="G391" s="7">
        <v>19722.614000000001</v>
      </c>
      <c r="H391" s="8">
        <f t="shared" si="6"/>
        <v>19722.614000000001</v>
      </c>
      <c r="I391" s="10">
        <v>23</v>
      </c>
    </row>
    <row r="392" spans="1:9" ht="15.75" thickBot="1" x14ac:dyDescent="0.3">
      <c r="A392" s="1">
        <v>43466</v>
      </c>
      <c r="B392" s="8" t="s">
        <v>6</v>
      </c>
      <c r="C392" t="s">
        <v>7</v>
      </c>
      <c r="D392" t="s">
        <v>109</v>
      </c>
      <c r="E392" t="s">
        <v>13</v>
      </c>
      <c r="F392" s="9">
        <v>9386.9</v>
      </c>
      <c r="G392" s="4">
        <v>265</v>
      </c>
      <c r="H392" s="8">
        <f t="shared" si="6"/>
        <v>265</v>
      </c>
      <c r="I392" s="10">
        <v>3</v>
      </c>
    </row>
    <row r="393" spans="1:9" ht="15.75" thickBot="1" x14ac:dyDescent="0.3">
      <c r="A393" s="1">
        <v>43800</v>
      </c>
      <c r="B393" s="8" t="s">
        <v>6</v>
      </c>
      <c r="C393" t="s">
        <v>7</v>
      </c>
      <c r="D393" t="s">
        <v>110</v>
      </c>
      <c r="E393" t="s">
        <v>15</v>
      </c>
      <c r="F393" s="9">
        <v>2225</v>
      </c>
      <c r="G393" s="4">
        <v>0</v>
      </c>
      <c r="H393" s="8">
        <f t="shared" si="6"/>
        <v>0</v>
      </c>
      <c r="I393" s="10">
        <v>2</v>
      </c>
    </row>
    <row r="394" spans="1:9" ht="15.75" thickBot="1" x14ac:dyDescent="0.3">
      <c r="A394" s="1">
        <v>43800</v>
      </c>
      <c r="B394" s="8" t="s">
        <v>6</v>
      </c>
      <c r="C394" t="s">
        <v>7</v>
      </c>
      <c r="D394" t="s">
        <v>110</v>
      </c>
      <c r="E394" t="s">
        <v>10</v>
      </c>
      <c r="F394" s="9">
        <v>23155.98</v>
      </c>
      <c r="G394" s="6">
        <v>821872</v>
      </c>
      <c r="H394" s="8">
        <f t="shared" si="6"/>
        <v>821.87199999999996</v>
      </c>
      <c r="I394" s="10">
        <v>68</v>
      </c>
    </row>
    <row r="395" spans="1:9" ht="15.75" thickBot="1" x14ac:dyDescent="0.3">
      <c r="A395" s="1">
        <v>43800</v>
      </c>
      <c r="B395" s="8" t="s">
        <v>6</v>
      </c>
      <c r="C395" t="s">
        <v>7</v>
      </c>
      <c r="D395" t="s">
        <v>110</v>
      </c>
      <c r="E395" t="s">
        <v>11</v>
      </c>
      <c r="F395" s="9">
        <v>81.569999999999993</v>
      </c>
      <c r="G395" s="5">
        <v>0</v>
      </c>
      <c r="H395" s="8">
        <f t="shared" si="6"/>
        <v>0</v>
      </c>
      <c r="I395" s="10">
        <v>1</v>
      </c>
    </row>
    <row r="396" spans="1:9" ht="15.75" thickBot="1" x14ac:dyDescent="0.3">
      <c r="A396" s="1">
        <v>43800</v>
      </c>
      <c r="B396" s="8" t="s">
        <v>6</v>
      </c>
      <c r="C396" t="s">
        <v>7</v>
      </c>
      <c r="D396" t="s">
        <v>110</v>
      </c>
      <c r="E396" t="s">
        <v>13</v>
      </c>
      <c r="F396" s="9">
        <v>115.64</v>
      </c>
      <c r="G396" s="6">
        <v>4000</v>
      </c>
      <c r="H396" s="8">
        <f t="shared" si="6"/>
        <v>4000</v>
      </c>
      <c r="I396" s="10">
        <v>1</v>
      </c>
    </row>
    <row r="397" spans="1:9" ht="15.75" thickBot="1" x14ac:dyDescent="0.3">
      <c r="A397" s="1">
        <v>43466</v>
      </c>
      <c r="B397" s="8" t="s">
        <v>6</v>
      </c>
      <c r="C397" t="s">
        <v>7</v>
      </c>
      <c r="D397" t="s">
        <v>111</v>
      </c>
      <c r="E397" t="s">
        <v>9</v>
      </c>
      <c r="F397" s="9">
        <v>181.96</v>
      </c>
      <c r="G397" s="4">
        <v>3</v>
      </c>
      <c r="H397" s="8">
        <f t="shared" si="6"/>
        <v>3</v>
      </c>
      <c r="I397" s="10">
        <v>1</v>
      </c>
    </row>
    <row r="398" spans="1:9" ht="15.75" thickBot="1" x14ac:dyDescent="0.3">
      <c r="A398" s="1">
        <v>43466</v>
      </c>
      <c r="B398" s="8" t="s">
        <v>6</v>
      </c>
      <c r="C398" t="s">
        <v>7</v>
      </c>
      <c r="D398" t="s">
        <v>111</v>
      </c>
      <c r="E398" t="s">
        <v>10</v>
      </c>
      <c r="F398" s="9">
        <v>25074.65</v>
      </c>
      <c r="G398" s="6">
        <v>695229.2</v>
      </c>
      <c r="H398" s="8">
        <f t="shared" si="6"/>
        <v>695.22919999999999</v>
      </c>
      <c r="I398" s="10">
        <v>71</v>
      </c>
    </row>
    <row r="399" spans="1:9" ht="15.75" thickBot="1" x14ac:dyDescent="0.3">
      <c r="A399" s="1">
        <v>43466</v>
      </c>
      <c r="B399" s="8" t="s">
        <v>6</v>
      </c>
      <c r="C399" t="s">
        <v>7</v>
      </c>
      <c r="D399" t="s">
        <v>111</v>
      </c>
      <c r="E399" t="s">
        <v>11</v>
      </c>
      <c r="F399" s="9">
        <v>680</v>
      </c>
      <c r="G399" s="4">
        <v>0</v>
      </c>
      <c r="H399" s="8">
        <f t="shared" si="6"/>
        <v>0</v>
      </c>
      <c r="I399" s="10">
        <v>1</v>
      </c>
    </row>
    <row r="400" spans="1:9" ht="15.75" thickBot="1" x14ac:dyDescent="0.3">
      <c r="A400" s="1">
        <v>43800</v>
      </c>
      <c r="B400" s="8" t="s">
        <v>6</v>
      </c>
      <c r="C400" t="s">
        <v>7</v>
      </c>
      <c r="D400" t="s">
        <v>112</v>
      </c>
      <c r="E400" t="s">
        <v>9</v>
      </c>
      <c r="F400" s="9">
        <v>24361.84</v>
      </c>
      <c r="G400" s="4">
        <v>687</v>
      </c>
      <c r="H400" s="8">
        <f t="shared" si="6"/>
        <v>687</v>
      </c>
      <c r="I400" s="10">
        <v>8</v>
      </c>
    </row>
    <row r="401" spans="1:9" ht="15.75" thickBot="1" x14ac:dyDescent="0.3">
      <c r="A401" s="1">
        <v>43800</v>
      </c>
      <c r="B401" s="8" t="s">
        <v>6</v>
      </c>
      <c r="C401" t="s">
        <v>7</v>
      </c>
      <c r="D401" t="s">
        <v>112</v>
      </c>
      <c r="E401" t="s">
        <v>15</v>
      </c>
      <c r="F401" s="9">
        <v>455.16</v>
      </c>
      <c r="G401" s="4">
        <v>13</v>
      </c>
      <c r="H401" s="8">
        <f t="shared" si="6"/>
        <v>13</v>
      </c>
      <c r="I401" s="10">
        <v>1</v>
      </c>
    </row>
    <row r="402" spans="1:9" ht="15.75" thickBot="1" x14ac:dyDescent="0.3">
      <c r="A402" s="1">
        <v>43800</v>
      </c>
      <c r="B402" s="8" t="s">
        <v>6</v>
      </c>
      <c r="C402" t="s">
        <v>7</v>
      </c>
      <c r="D402" t="s">
        <v>112</v>
      </c>
      <c r="E402" t="s">
        <v>10</v>
      </c>
      <c r="F402" s="9">
        <v>43369.23</v>
      </c>
      <c r="G402" s="6">
        <v>1706668.692</v>
      </c>
      <c r="H402" s="8">
        <f t="shared" si="6"/>
        <v>1706.668692</v>
      </c>
      <c r="I402" s="10">
        <v>85</v>
      </c>
    </row>
    <row r="403" spans="1:9" ht="15.75" thickBot="1" x14ac:dyDescent="0.3">
      <c r="A403" s="1">
        <v>43800</v>
      </c>
      <c r="B403" s="8" t="s">
        <v>6</v>
      </c>
      <c r="C403" t="s">
        <v>7</v>
      </c>
      <c r="D403" t="s">
        <v>112</v>
      </c>
      <c r="E403" t="s">
        <v>11</v>
      </c>
      <c r="F403" s="9">
        <v>1030.24</v>
      </c>
      <c r="G403" s="4">
        <v>32</v>
      </c>
      <c r="H403" s="8">
        <f t="shared" si="6"/>
        <v>32</v>
      </c>
      <c r="I403" s="10">
        <v>2</v>
      </c>
    </row>
    <row r="404" spans="1:9" ht="15.75" thickBot="1" x14ac:dyDescent="0.3">
      <c r="A404" s="1">
        <v>43466</v>
      </c>
      <c r="B404" s="8" t="s">
        <v>6</v>
      </c>
      <c r="C404" t="s">
        <v>7</v>
      </c>
      <c r="D404" t="s">
        <v>113</v>
      </c>
      <c r="E404" t="s">
        <v>9</v>
      </c>
      <c r="F404" s="9">
        <v>113192.52</v>
      </c>
      <c r="G404" s="4">
        <v>3195</v>
      </c>
      <c r="H404" s="8">
        <f t="shared" si="6"/>
        <v>3195</v>
      </c>
      <c r="I404" s="10">
        <v>72</v>
      </c>
    </row>
    <row r="405" spans="1:9" ht="15.75" thickBot="1" x14ac:dyDescent="0.3">
      <c r="A405" s="1">
        <v>43466</v>
      </c>
      <c r="B405" s="8" t="s">
        <v>6</v>
      </c>
      <c r="C405" t="s">
        <v>7</v>
      </c>
      <c r="D405" t="s">
        <v>113</v>
      </c>
      <c r="E405" t="s">
        <v>15</v>
      </c>
      <c r="F405" s="9">
        <v>16730.95</v>
      </c>
      <c r="G405" s="4">
        <v>84</v>
      </c>
      <c r="H405" s="8">
        <f t="shared" si="6"/>
        <v>84</v>
      </c>
      <c r="I405" s="10">
        <v>14</v>
      </c>
    </row>
    <row r="406" spans="1:9" ht="15.75" thickBot="1" x14ac:dyDescent="0.3">
      <c r="A406" s="1">
        <v>43466</v>
      </c>
      <c r="B406" s="8" t="s">
        <v>6</v>
      </c>
      <c r="C406" t="s">
        <v>7</v>
      </c>
      <c r="D406" t="s">
        <v>113</v>
      </c>
      <c r="E406" t="s">
        <v>10</v>
      </c>
      <c r="F406" s="9">
        <v>497386.09</v>
      </c>
      <c r="G406" s="7">
        <v>18733397.421999998</v>
      </c>
      <c r="H406" s="8">
        <f t="shared" si="6"/>
        <v>18733.397421999998</v>
      </c>
      <c r="I406" s="10">
        <v>1501</v>
      </c>
    </row>
    <row r="407" spans="1:9" ht="15.75" thickBot="1" x14ac:dyDescent="0.3">
      <c r="A407" s="1">
        <v>43800</v>
      </c>
      <c r="B407" s="8" t="s">
        <v>6</v>
      </c>
      <c r="C407" t="s">
        <v>7</v>
      </c>
      <c r="D407" t="s">
        <v>113</v>
      </c>
      <c r="E407" t="s">
        <v>11</v>
      </c>
      <c r="F407" s="9">
        <v>23411.18</v>
      </c>
      <c r="G407" s="7">
        <v>30688.388999999999</v>
      </c>
      <c r="H407" s="8">
        <f t="shared" si="6"/>
        <v>30688.388999999999</v>
      </c>
      <c r="I407" s="10">
        <v>23</v>
      </c>
    </row>
    <row r="408" spans="1:9" ht="15.75" thickBot="1" x14ac:dyDescent="0.3">
      <c r="A408" s="1">
        <v>43800</v>
      </c>
      <c r="B408" s="8" t="s">
        <v>6</v>
      </c>
      <c r="C408" t="s">
        <v>7</v>
      </c>
      <c r="D408" t="s">
        <v>113</v>
      </c>
      <c r="E408" t="s">
        <v>13</v>
      </c>
      <c r="F408" s="9">
        <v>14781.35</v>
      </c>
      <c r="G408" s="7">
        <v>155522.70000000001</v>
      </c>
      <c r="H408" s="8">
        <f t="shared" si="6"/>
        <v>155522.70000000001</v>
      </c>
      <c r="I408" s="10">
        <v>15</v>
      </c>
    </row>
    <row r="409" spans="1:9" ht="15.75" thickBot="1" x14ac:dyDescent="0.3">
      <c r="A409" s="1">
        <v>43800</v>
      </c>
      <c r="B409" s="8" t="s">
        <v>6</v>
      </c>
      <c r="C409" t="s">
        <v>7</v>
      </c>
      <c r="D409" t="s">
        <v>114</v>
      </c>
      <c r="E409" t="s">
        <v>10</v>
      </c>
      <c r="F409" s="9">
        <v>9372.85</v>
      </c>
      <c r="G409" s="6">
        <v>361714.5</v>
      </c>
      <c r="H409" s="8">
        <f t="shared" si="6"/>
        <v>361.71449999999999</v>
      </c>
      <c r="I409" s="10">
        <v>6</v>
      </c>
    </row>
    <row r="410" spans="1:9" ht="15.75" thickBot="1" x14ac:dyDescent="0.3">
      <c r="A410" s="1">
        <v>43800</v>
      </c>
      <c r="B410" s="8" t="s">
        <v>6</v>
      </c>
      <c r="C410" t="s">
        <v>7</v>
      </c>
      <c r="D410" t="s">
        <v>114</v>
      </c>
      <c r="E410" t="s">
        <v>11</v>
      </c>
      <c r="F410" s="9">
        <v>17308.650000000001</v>
      </c>
      <c r="G410" s="4">
        <v>607</v>
      </c>
      <c r="H410" s="8">
        <f t="shared" si="6"/>
        <v>607</v>
      </c>
      <c r="I410" s="10">
        <v>8</v>
      </c>
    </row>
    <row r="411" spans="1:9" ht="15.75" thickBot="1" x14ac:dyDescent="0.3">
      <c r="A411" s="1">
        <v>43466</v>
      </c>
      <c r="B411" s="8" t="s">
        <v>6</v>
      </c>
      <c r="C411" t="s">
        <v>7</v>
      </c>
      <c r="D411" t="s">
        <v>115</v>
      </c>
      <c r="E411" t="s">
        <v>9</v>
      </c>
      <c r="F411" s="9">
        <v>39006.25</v>
      </c>
      <c r="G411" s="4">
        <v>1197</v>
      </c>
      <c r="H411" s="8">
        <f t="shared" si="6"/>
        <v>1197</v>
      </c>
      <c r="I411" s="10">
        <v>17</v>
      </c>
    </row>
    <row r="412" spans="1:9" ht="15.75" thickBot="1" x14ac:dyDescent="0.3">
      <c r="A412" s="1">
        <v>43466</v>
      </c>
      <c r="B412" s="8" t="s">
        <v>6</v>
      </c>
      <c r="C412" t="s">
        <v>7</v>
      </c>
      <c r="D412" t="s">
        <v>115</v>
      </c>
      <c r="E412" t="s">
        <v>15</v>
      </c>
      <c r="F412" s="9">
        <v>13020.17</v>
      </c>
      <c r="G412" s="4">
        <v>71</v>
      </c>
      <c r="H412" s="8">
        <f t="shared" si="6"/>
        <v>71</v>
      </c>
      <c r="I412" s="10">
        <v>12</v>
      </c>
    </row>
    <row r="413" spans="1:9" ht="15.75" thickBot="1" x14ac:dyDescent="0.3">
      <c r="A413" s="1">
        <v>43466</v>
      </c>
      <c r="B413" s="8" t="s">
        <v>6</v>
      </c>
      <c r="C413" t="s">
        <v>7</v>
      </c>
      <c r="D413" t="s">
        <v>115</v>
      </c>
      <c r="E413" t="s">
        <v>10</v>
      </c>
      <c r="F413" s="9">
        <v>1042965.91</v>
      </c>
      <c r="G413" s="6">
        <v>35758287.813000001</v>
      </c>
      <c r="H413" s="8">
        <f t="shared" si="6"/>
        <v>35758.287813000003</v>
      </c>
      <c r="I413" s="10">
        <v>3380</v>
      </c>
    </row>
    <row r="414" spans="1:9" ht="15.75" thickBot="1" x14ac:dyDescent="0.3">
      <c r="A414" s="1">
        <v>43800</v>
      </c>
      <c r="B414" s="8" t="s">
        <v>6</v>
      </c>
      <c r="C414" t="s">
        <v>7</v>
      </c>
      <c r="D414" t="s">
        <v>115</v>
      </c>
      <c r="E414" t="s">
        <v>11</v>
      </c>
      <c r="F414" s="9">
        <v>6983.94</v>
      </c>
      <c r="G414" s="7">
        <v>5147.8710000000001</v>
      </c>
      <c r="H414" s="8">
        <f t="shared" si="6"/>
        <v>5147.8710000000001</v>
      </c>
      <c r="I414" s="10">
        <v>22</v>
      </c>
    </row>
    <row r="415" spans="1:9" ht="15.75" thickBot="1" x14ac:dyDescent="0.3">
      <c r="A415" s="1">
        <v>43800</v>
      </c>
      <c r="B415" s="8" t="s">
        <v>6</v>
      </c>
      <c r="C415" t="s">
        <v>7</v>
      </c>
      <c r="D415" t="s">
        <v>115</v>
      </c>
      <c r="E415" t="s">
        <v>13</v>
      </c>
      <c r="F415" s="9">
        <v>6100.06</v>
      </c>
      <c r="G415" s="6">
        <v>187000</v>
      </c>
      <c r="H415" s="8">
        <f t="shared" si="6"/>
        <v>187000</v>
      </c>
      <c r="I415" s="10">
        <v>12</v>
      </c>
    </row>
    <row r="416" spans="1:9" ht="15.75" thickBot="1" x14ac:dyDescent="0.3">
      <c r="A416" s="1">
        <v>43800</v>
      </c>
      <c r="B416" s="8" t="s">
        <v>6</v>
      </c>
      <c r="C416" t="s">
        <v>7</v>
      </c>
      <c r="D416" t="s">
        <v>116</v>
      </c>
      <c r="E416" t="s">
        <v>13</v>
      </c>
      <c r="F416" s="9">
        <v>974.24</v>
      </c>
      <c r="G416" s="4">
        <v>32</v>
      </c>
      <c r="H416" s="8">
        <f t="shared" si="6"/>
        <v>32</v>
      </c>
      <c r="I416" s="10">
        <v>1</v>
      </c>
    </row>
    <row r="417" spans="1:9" ht="15.75" thickBot="1" x14ac:dyDescent="0.3">
      <c r="A417" s="1">
        <v>43800</v>
      </c>
      <c r="B417" s="8" t="s">
        <v>6</v>
      </c>
      <c r="C417" t="s">
        <v>7</v>
      </c>
      <c r="D417" t="s">
        <v>117</v>
      </c>
      <c r="E417" t="s">
        <v>9</v>
      </c>
      <c r="F417" s="9">
        <v>2566.91</v>
      </c>
      <c r="G417" s="4">
        <v>2</v>
      </c>
      <c r="H417" s="8">
        <f t="shared" si="6"/>
        <v>2</v>
      </c>
      <c r="I417" s="10">
        <v>1</v>
      </c>
    </row>
    <row r="418" spans="1:9" ht="15.75" thickBot="1" x14ac:dyDescent="0.3">
      <c r="A418" s="1">
        <v>43466</v>
      </c>
      <c r="B418" s="8" t="s">
        <v>6</v>
      </c>
      <c r="C418" t="s">
        <v>7</v>
      </c>
      <c r="D418" t="s">
        <v>117</v>
      </c>
      <c r="E418" t="s">
        <v>10</v>
      </c>
      <c r="F418" s="9">
        <v>37413.120000000003</v>
      </c>
      <c r="G418" s="6">
        <v>1994429.4110000001</v>
      </c>
      <c r="H418" s="8">
        <f t="shared" si="6"/>
        <v>1994.4294110000001</v>
      </c>
      <c r="I418" s="10">
        <v>3</v>
      </c>
    </row>
    <row r="419" spans="1:9" ht="15.75" thickBot="1" x14ac:dyDescent="0.3">
      <c r="A419" s="1">
        <v>43466</v>
      </c>
      <c r="B419" s="8" t="s">
        <v>6</v>
      </c>
      <c r="C419" t="s">
        <v>7</v>
      </c>
      <c r="D419" t="s">
        <v>117</v>
      </c>
      <c r="E419" t="s">
        <v>17</v>
      </c>
      <c r="F419" s="9">
        <v>5876.72</v>
      </c>
      <c r="G419" s="4">
        <v>209</v>
      </c>
      <c r="H419" s="8">
        <f t="shared" si="6"/>
        <v>209</v>
      </c>
      <c r="I419" s="10">
        <v>2</v>
      </c>
    </row>
    <row r="420" spans="1:9" ht="15.75" thickBot="1" x14ac:dyDescent="0.3">
      <c r="A420" s="1">
        <v>43466</v>
      </c>
      <c r="B420" s="8" t="s">
        <v>6</v>
      </c>
      <c r="C420" t="s">
        <v>7</v>
      </c>
      <c r="D420" t="s">
        <v>117</v>
      </c>
      <c r="E420" t="s">
        <v>11</v>
      </c>
      <c r="F420" s="9">
        <v>7385.76</v>
      </c>
      <c r="G420" s="4">
        <v>46</v>
      </c>
      <c r="H420" s="8">
        <f t="shared" si="6"/>
        <v>46</v>
      </c>
      <c r="I420" s="10">
        <v>75</v>
      </c>
    </row>
    <row r="421" spans="1:9" ht="15.75" thickBot="1" x14ac:dyDescent="0.3">
      <c r="A421" s="1">
        <v>43800</v>
      </c>
      <c r="B421" s="8" t="s">
        <v>6</v>
      </c>
      <c r="C421" t="s">
        <v>7</v>
      </c>
      <c r="D421" t="s">
        <v>118</v>
      </c>
      <c r="E421" t="s">
        <v>15</v>
      </c>
      <c r="F421" s="9">
        <v>1368</v>
      </c>
      <c r="G421" s="4">
        <v>0</v>
      </c>
      <c r="H421" s="8">
        <f t="shared" si="6"/>
        <v>0</v>
      </c>
      <c r="I421" s="10">
        <v>5</v>
      </c>
    </row>
    <row r="422" spans="1:9" ht="15.75" thickBot="1" x14ac:dyDescent="0.3">
      <c r="A422" s="1">
        <v>43800</v>
      </c>
      <c r="B422" s="8" t="s">
        <v>6</v>
      </c>
      <c r="C422" t="s">
        <v>7</v>
      </c>
      <c r="D422" t="s">
        <v>118</v>
      </c>
      <c r="E422" t="s">
        <v>10</v>
      </c>
      <c r="F422" s="9">
        <v>96100.39</v>
      </c>
      <c r="G422" s="6">
        <v>3714187.6340000001</v>
      </c>
      <c r="H422" s="8">
        <f t="shared" si="6"/>
        <v>3714.1876339999999</v>
      </c>
      <c r="I422" s="10">
        <v>303</v>
      </c>
    </row>
    <row r="423" spans="1:9" ht="15.75" thickBot="1" x14ac:dyDescent="0.3">
      <c r="A423" s="1">
        <v>43800</v>
      </c>
      <c r="B423" s="8" t="s">
        <v>6</v>
      </c>
      <c r="C423" t="s">
        <v>7</v>
      </c>
      <c r="D423" t="s">
        <v>118</v>
      </c>
      <c r="E423" t="s">
        <v>11</v>
      </c>
      <c r="F423" s="9">
        <v>163.13999999999999</v>
      </c>
      <c r="G423" s="5">
        <v>0</v>
      </c>
      <c r="H423" s="8">
        <f t="shared" si="6"/>
        <v>0</v>
      </c>
      <c r="I423" s="10">
        <v>2</v>
      </c>
    </row>
    <row r="424" spans="1:9" ht="15.75" thickBot="1" x14ac:dyDescent="0.3">
      <c r="A424" s="1">
        <v>43800</v>
      </c>
      <c r="B424" s="8" t="s">
        <v>6</v>
      </c>
      <c r="C424" t="s">
        <v>7</v>
      </c>
      <c r="D424" t="s">
        <v>119</v>
      </c>
      <c r="E424" t="s">
        <v>9</v>
      </c>
      <c r="F424" s="9">
        <v>61968.81</v>
      </c>
      <c r="G424" s="4">
        <v>2001</v>
      </c>
      <c r="H424" s="8">
        <f t="shared" si="6"/>
        <v>2001</v>
      </c>
      <c r="I424" s="10">
        <v>6</v>
      </c>
    </row>
    <row r="425" spans="1:9" ht="15.75" thickBot="1" x14ac:dyDescent="0.3">
      <c r="A425" s="1">
        <v>43466</v>
      </c>
      <c r="B425" s="8" t="s">
        <v>6</v>
      </c>
      <c r="C425" t="s">
        <v>7</v>
      </c>
      <c r="D425" t="s">
        <v>119</v>
      </c>
      <c r="E425" t="s">
        <v>15</v>
      </c>
      <c r="F425" s="9">
        <v>3818.48</v>
      </c>
      <c r="G425" s="4">
        <v>114</v>
      </c>
      <c r="H425" s="8">
        <f t="shared" si="6"/>
        <v>114</v>
      </c>
      <c r="I425" s="10">
        <v>11</v>
      </c>
    </row>
    <row r="426" spans="1:9" ht="15.75" thickBot="1" x14ac:dyDescent="0.3">
      <c r="A426" s="1">
        <v>43466</v>
      </c>
      <c r="B426" s="8" t="s">
        <v>6</v>
      </c>
      <c r="C426" t="s">
        <v>7</v>
      </c>
      <c r="D426" t="s">
        <v>119</v>
      </c>
      <c r="E426" t="s">
        <v>10</v>
      </c>
      <c r="F426" s="9">
        <v>16246.49</v>
      </c>
      <c r="G426" s="6">
        <v>907000</v>
      </c>
      <c r="H426" s="8">
        <f t="shared" si="6"/>
        <v>907</v>
      </c>
      <c r="I426" s="10">
        <v>3</v>
      </c>
    </row>
    <row r="427" spans="1:9" ht="15.75" thickBot="1" x14ac:dyDescent="0.3">
      <c r="A427" s="1">
        <v>43466</v>
      </c>
      <c r="B427" s="8" t="s">
        <v>6</v>
      </c>
      <c r="C427" t="s">
        <v>7</v>
      </c>
      <c r="D427" t="s">
        <v>119</v>
      </c>
      <c r="E427" t="s">
        <v>17</v>
      </c>
      <c r="F427" s="9">
        <v>133551.69</v>
      </c>
      <c r="G427" s="4">
        <v>4246</v>
      </c>
      <c r="H427" s="8">
        <f t="shared" si="6"/>
        <v>4246</v>
      </c>
      <c r="I427" s="10">
        <v>13</v>
      </c>
    </row>
    <row r="428" spans="1:9" ht="15.75" thickBot="1" x14ac:dyDescent="0.3">
      <c r="A428" s="1">
        <v>43800</v>
      </c>
      <c r="B428" s="8" t="s">
        <v>6</v>
      </c>
      <c r="C428" t="s">
        <v>7</v>
      </c>
      <c r="D428" t="s">
        <v>119</v>
      </c>
      <c r="E428" t="s">
        <v>11</v>
      </c>
      <c r="F428" s="9">
        <v>3174.7</v>
      </c>
      <c r="G428" s="4">
        <v>105</v>
      </c>
      <c r="H428" s="8">
        <f t="shared" si="6"/>
        <v>105</v>
      </c>
      <c r="I428" s="10">
        <v>3</v>
      </c>
    </row>
    <row r="429" spans="1:9" ht="15.75" thickBot="1" x14ac:dyDescent="0.3">
      <c r="A429" s="1">
        <v>43800</v>
      </c>
      <c r="B429" s="8" t="s">
        <v>6</v>
      </c>
      <c r="C429" t="s">
        <v>7</v>
      </c>
      <c r="D429" t="s">
        <v>119</v>
      </c>
      <c r="E429" t="s">
        <v>13</v>
      </c>
      <c r="F429" s="9">
        <v>56</v>
      </c>
      <c r="G429" s="4">
        <v>0</v>
      </c>
      <c r="H429" s="8">
        <f t="shared" si="6"/>
        <v>0</v>
      </c>
      <c r="I429" s="10">
        <v>1</v>
      </c>
    </row>
    <row r="430" spans="1:9" ht="15.75" thickBot="1" x14ac:dyDescent="0.3">
      <c r="A430" s="1">
        <v>43800</v>
      </c>
      <c r="B430" s="8" t="s">
        <v>6</v>
      </c>
      <c r="C430" t="s">
        <v>7</v>
      </c>
      <c r="D430" t="s">
        <v>120</v>
      </c>
      <c r="E430" t="s">
        <v>11</v>
      </c>
      <c r="F430" s="9">
        <v>81.569999999999993</v>
      </c>
      <c r="G430" s="5">
        <v>0</v>
      </c>
      <c r="H430" s="8">
        <f t="shared" si="6"/>
        <v>0</v>
      </c>
      <c r="I430" s="10">
        <v>1</v>
      </c>
    </row>
    <row r="431" spans="1:9" ht="15.75" thickBot="1" x14ac:dyDescent="0.3">
      <c r="A431" s="1">
        <v>43800</v>
      </c>
      <c r="B431" s="8" t="s">
        <v>6</v>
      </c>
      <c r="C431" t="s">
        <v>7</v>
      </c>
      <c r="D431" t="s">
        <v>121</v>
      </c>
      <c r="E431" t="s">
        <v>9</v>
      </c>
      <c r="F431" s="9">
        <v>4493.4399999999996</v>
      </c>
      <c r="G431" s="4">
        <v>92</v>
      </c>
      <c r="H431" s="8">
        <f t="shared" si="6"/>
        <v>92</v>
      </c>
      <c r="I431" s="10">
        <v>6</v>
      </c>
    </row>
    <row r="432" spans="1:9" ht="15.75" thickBot="1" x14ac:dyDescent="0.3">
      <c r="A432" s="1">
        <v>43466</v>
      </c>
      <c r="B432" s="8" t="s">
        <v>6</v>
      </c>
      <c r="C432" t="s">
        <v>7</v>
      </c>
      <c r="D432" t="s">
        <v>121</v>
      </c>
      <c r="E432" t="s">
        <v>10</v>
      </c>
      <c r="F432" s="9">
        <v>2606.41</v>
      </c>
      <c r="G432" s="6">
        <v>32000</v>
      </c>
      <c r="H432" s="8">
        <f t="shared" si="6"/>
        <v>32</v>
      </c>
      <c r="I432" s="10">
        <v>5</v>
      </c>
    </row>
    <row r="433" spans="1:9" ht="15.75" thickBot="1" x14ac:dyDescent="0.3">
      <c r="A433" s="1">
        <v>43466</v>
      </c>
      <c r="B433" s="8" t="s">
        <v>6</v>
      </c>
      <c r="C433" t="s">
        <v>7</v>
      </c>
      <c r="D433" t="s">
        <v>121</v>
      </c>
      <c r="E433" t="s">
        <v>17</v>
      </c>
      <c r="F433" s="9">
        <v>237256.93</v>
      </c>
      <c r="G433" s="7">
        <v>8978.9150000000009</v>
      </c>
      <c r="H433" s="8">
        <f t="shared" si="6"/>
        <v>8978.9150000000009</v>
      </c>
      <c r="I433" s="10">
        <v>191</v>
      </c>
    </row>
    <row r="434" spans="1:9" ht="15.75" thickBot="1" x14ac:dyDescent="0.3">
      <c r="A434" s="1">
        <v>43466</v>
      </c>
      <c r="B434" s="8" t="s">
        <v>6</v>
      </c>
      <c r="C434" t="s">
        <v>7</v>
      </c>
      <c r="D434" t="s">
        <v>121</v>
      </c>
      <c r="E434" t="s">
        <v>11</v>
      </c>
      <c r="F434" s="9">
        <v>11745.71</v>
      </c>
      <c r="G434" s="7">
        <v>2155.6860000000001</v>
      </c>
      <c r="H434" s="8">
        <f t="shared" si="6"/>
        <v>2155.6860000000001</v>
      </c>
      <c r="I434" s="10">
        <v>27</v>
      </c>
    </row>
    <row r="435" spans="1:9" ht="15.75" thickBot="1" x14ac:dyDescent="0.3">
      <c r="A435" s="1">
        <v>43800</v>
      </c>
      <c r="B435" s="8" t="s">
        <v>6</v>
      </c>
      <c r="C435" t="s">
        <v>7</v>
      </c>
      <c r="D435" t="s">
        <v>122</v>
      </c>
      <c r="E435" t="s">
        <v>9</v>
      </c>
      <c r="F435" s="9">
        <v>13232.83</v>
      </c>
      <c r="G435" s="4">
        <v>376</v>
      </c>
      <c r="H435" s="8">
        <f t="shared" si="6"/>
        <v>376</v>
      </c>
      <c r="I435" s="10">
        <v>4</v>
      </c>
    </row>
    <row r="436" spans="1:9" ht="15.75" thickBot="1" x14ac:dyDescent="0.3">
      <c r="A436" s="1">
        <v>43800</v>
      </c>
      <c r="B436" s="8" t="s">
        <v>6</v>
      </c>
      <c r="C436" t="s">
        <v>7</v>
      </c>
      <c r="D436" t="s">
        <v>122</v>
      </c>
      <c r="E436" t="s">
        <v>15</v>
      </c>
      <c r="F436" s="9">
        <v>5747.4</v>
      </c>
      <c r="G436" s="4">
        <v>44</v>
      </c>
      <c r="H436" s="8">
        <f t="shared" si="6"/>
        <v>44</v>
      </c>
      <c r="I436" s="10">
        <v>20</v>
      </c>
    </row>
    <row r="437" spans="1:9" ht="15.75" thickBot="1" x14ac:dyDescent="0.3">
      <c r="A437" s="1">
        <v>43800</v>
      </c>
      <c r="B437" s="8" t="s">
        <v>6</v>
      </c>
      <c r="C437" t="s">
        <v>7</v>
      </c>
      <c r="D437" t="s">
        <v>122</v>
      </c>
      <c r="E437" t="s">
        <v>10</v>
      </c>
      <c r="F437" s="9">
        <v>738555.56</v>
      </c>
      <c r="G437" s="6">
        <v>26775409.622000001</v>
      </c>
      <c r="H437" s="8">
        <f t="shared" si="6"/>
        <v>26775.409622000003</v>
      </c>
      <c r="I437" s="10">
        <v>1975</v>
      </c>
    </row>
    <row r="438" spans="1:9" ht="15.75" thickBot="1" x14ac:dyDescent="0.3">
      <c r="A438" s="1">
        <v>43800</v>
      </c>
      <c r="B438" s="8" t="s">
        <v>6</v>
      </c>
      <c r="C438" t="s">
        <v>7</v>
      </c>
      <c r="D438" t="s">
        <v>122</v>
      </c>
      <c r="E438" t="s">
        <v>17</v>
      </c>
      <c r="F438" s="9">
        <v>11170.96</v>
      </c>
      <c r="G438" s="4">
        <v>203</v>
      </c>
      <c r="H438" s="8">
        <f t="shared" si="6"/>
        <v>203</v>
      </c>
      <c r="I438" s="10">
        <v>1</v>
      </c>
    </row>
    <row r="439" spans="1:9" ht="15.75" thickBot="1" x14ac:dyDescent="0.3">
      <c r="A439" s="1">
        <v>43466</v>
      </c>
      <c r="B439" s="8" t="s">
        <v>6</v>
      </c>
      <c r="C439" t="s">
        <v>7</v>
      </c>
      <c r="D439" t="s">
        <v>122</v>
      </c>
      <c r="E439" t="s">
        <v>11</v>
      </c>
      <c r="F439" s="9">
        <v>43881.36</v>
      </c>
      <c r="G439" s="7">
        <v>826813.65599999996</v>
      </c>
      <c r="H439" s="8">
        <f t="shared" si="6"/>
        <v>826813.65599999996</v>
      </c>
      <c r="I439" s="10">
        <v>78</v>
      </c>
    </row>
    <row r="440" spans="1:9" ht="15.75" thickBot="1" x14ac:dyDescent="0.3">
      <c r="A440" s="1">
        <v>43466</v>
      </c>
      <c r="B440" s="8" t="s">
        <v>6</v>
      </c>
      <c r="C440" t="s">
        <v>7</v>
      </c>
      <c r="D440" t="s">
        <v>122</v>
      </c>
      <c r="E440" t="s">
        <v>13</v>
      </c>
      <c r="F440" s="9">
        <v>7631.06</v>
      </c>
      <c r="G440" s="6">
        <v>333000</v>
      </c>
      <c r="H440" s="8">
        <f t="shared" si="6"/>
        <v>333000</v>
      </c>
      <c r="I440" s="10">
        <v>15</v>
      </c>
    </row>
    <row r="441" spans="1:9" ht="15.75" thickBot="1" x14ac:dyDescent="0.3">
      <c r="A441" s="1">
        <v>43466</v>
      </c>
      <c r="B441" s="8" t="s">
        <v>6</v>
      </c>
      <c r="C441" t="s">
        <v>7</v>
      </c>
      <c r="D441" t="s">
        <v>123</v>
      </c>
      <c r="E441" t="s">
        <v>9</v>
      </c>
      <c r="F441" s="9">
        <v>83.32</v>
      </c>
      <c r="G441" s="4">
        <v>1</v>
      </c>
      <c r="H441" s="8">
        <f t="shared" si="6"/>
        <v>1</v>
      </c>
      <c r="I441" s="10">
        <v>1</v>
      </c>
    </row>
    <row r="442" spans="1:9" ht="15.75" thickBot="1" x14ac:dyDescent="0.3">
      <c r="A442" s="1">
        <v>43800</v>
      </c>
      <c r="B442" s="8" t="s">
        <v>6</v>
      </c>
      <c r="C442" t="s">
        <v>7</v>
      </c>
      <c r="D442" t="s">
        <v>123</v>
      </c>
      <c r="E442" t="s">
        <v>10</v>
      </c>
      <c r="F442" s="9">
        <v>6799</v>
      </c>
      <c r="G442" s="6">
        <v>193961.24</v>
      </c>
      <c r="H442" s="8">
        <f t="shared" si="6"/>
        <v>193.96124</v>
      </c>
      <c r="I442" s="10">
        <v>10</v>
      </c>
    </row>
    <row r="443" spans="1:9" ht="15.75" thickBot="1" x14ac:dyDescent="0.3">
      <c r="A443" s="1">
        <v>43800</v>
      </c>
      <c r="B443" s="8" t="s">
        <v>6</v>
      </c>
      <c r="C443" t="s">
        <v>7</v>
      </c>
      <c r="D443" t="s">
        <v>124</v>
      </c>
      <c r="E443" t="s">
        <v>10</v>
      </c>
      <c r="F443" s="9">
        <v>7287.36</v>
      </c>
      <c r="G443" s="6">
        <v>284293.59999999998</v>
      </c>
      <c r="H443" s="8">
        <f t="shared" si="6"/>
        <v>284.29359999999997</v>
      </c>
      <c r="I443" s="10">
        <v>36</v>
      </c>
    </row>
    <row r="444" spans="1:9" ht="15.75" thickBot="1" x14ac:dyDescent="0.3">
      <c r="A444" s="1">
        <v>43800</v>
      </c>
      <c r="B444" s="8" t="s">
        <v>6</v>
      </c>
      <c r="C444" t="s">
        <v>7</v>
      </c>
      <c r="D444" t="s">
        <v>124</v>
      </c>
      <c r="E444" t="s">
        <v>17</v>
      </c>
      <c r="F444" s="9">
        <v>400</v>
      </c>
      <c r="G444" s="6">
        <v>0</v>
      </c>
      <c r="H444" s="8">
        <f t="shared" si="6"/>
        <v>0</v>
      </c>
      <c r="I444" s="10">
        <v>1</v>
      </c>
    </row>
    <row r="445" spans="1:9" ht="15.75" thickBot="1" x14ac:dyDescent="0.3">
      <c r="A445" s="1">
        <v>43800</v>
      </c>
      <c r="B445" s="8" t="s">
        <v>6</v>
      </c>
      <c r="C445" t="s">
        <v>7</v>
      </c>
      <c r="D445" t="s">
        <v>125</v>
      </c>
      <c r="E445" t="s">
        <v>15</v>
      </c>
      <c r="F445" s="9">
        <v>65.209999999999994</v>
      </c>
      <c r="G445" s="4">
        <v>0</v>
      </c>
      <c r="H445" s="8">
        <f t="shared" si="6"/>
        <v>0</v>
      </c>
      <c r="I445" s="10">
        <v>1</v>
      </c>
    </row>
    <row r="446" spans="1:9" ht="15.75" thickBot="1" x14ac:dyDescent="0.3">
      <c r="A446" s="1">
        <v>43466</v>
      </c>
      <c r="B446" s="8" t="s">
        <v>6</v>
      </c>
      <c r="C446" t="s">
        <v>7</v>
      </c>
      <c r="D446" t="s">
        <v>125</v>
      </c>
      <c r="E446" t="s">
        <v>10</v>
      </c>
      <c r="F446" s="9">
        <v>40337.800000000003</v>
      </c>
      <c r="G446" s="6">
        <v>1394984.334</v>
      </c>
      <c r="H446" s="8">
        <f t="shared" si="6"/>
        <v>1394.984334</v>
      </c>
      <c r="I446" s="10">
        <v>117</v>
      </c>
    </row>
    <row r="447" spans="1:9" ht="15.75" thickBot="1" x14ac:dyDescent="0.3">
      <c r="A447" s="1">
        <v>43466</v>
      </c>
      <c r="B447" s="8" t="s">
        <v>6</v>
      </c>
      <c r="C447" t="s">
        <v>7</v>
      </c>
      <c r="D447" t="s">
        <v>125</v>
      </c>
      <c r="E447" t="s">
        <v>13</v>
      </c>
      <c r="F447" s="9">
        <v>449.65</v>
      </c>
      <c r="G447" s="6">
        <v>17000</v>
      </c>
      <c r="H447" s="8">
        <f t="shared" si="6"/>
        <v>17000</v>
      </c>
      <c r="I447" s="10">
        <v>2</v>
      </c>
    </row>
    <row r="448" spans="1:9" ht="15.75" thickBot="1" x14ac:dyDescent="0.3">
      <c r="A448" s="1">
        <v>43466</v>
      </c>
      <c r="B448" s="8" t="s">
        <v>6</v>
      </c>
      <c r="C448" t="s">
        <v>7</v>
      </c>
      <c r="D448" t="s">
        <v>126</v>
      </c>
      <c r="E448" t="s">
        <v>9</v>
      </c>
      <c r="F448" s="9">
        <v>9578.92</v>
      </c>
      <c r="G448" s="4">
        <v>298</v>
      </c>
      <c r="H448" s="8">
        <f t="shared" si="6"/>
        <v>298</v>
      </c>
      <c r="I448" s="10">
        <v>6</v>
      </c>
    </row>
    <row r="449" spans="1:9" ht="15.75" thickBot="1" x14ac:dyDescent="0.3">
      <c r="A449" s="1">
        <v>43800</v>
      </c>
      <c r="B449" s="8" t="s">
        <v>6</v>
      </c>
      <c r="C449" t="s">
        <v>7</v>
      </c>
      <c r="D449" t="s">
        <v>126</v>
      </c>
      <c r="E449" t="s">
        <v>15</v>
      </c>
      <c r="F449" s="9">
        <v>5313.72</v>
      </c>
      <c r="G449" s="4">
        <v>185</v>
      </c>
      <c r="H449" s="8">
        <f t="shared" si="6"/>
        <v>185</v>
      </c>
      <c r="I449" s="10">
        <v>4</v>
      </c>
    </row>
    <row r="450" spans="1:9" ht="15.75" thickBot="1" x14ac:dyDescent="0.3">
      <c r="A450" s="1">
        <v>43800</v>
      </c>
      <c r="B450" s="8" t="s">
        <v>6</v>
      </c>
      <c r="C450" t="s">
        <v>7</v>
      </c>
      <c r="D450" t="s">
        <v>126</v>
      </c>
      <c r="E450" t="s">
        <v>10</v>
      </c>
      <c r="F450" s="9">
        <v>98479.34</v>
      </c>
      <c r="G450" s="6">
        <v>3578017.9920000001</v>
      </c>
      <c r="H450" s="8">
        <f t="shared" ref="H450:H513" si="7">IF(ISNUMBER(SEARCH("Domestic customer", E450)),G450/1000,G450)</f>
        <v>3578.017992</v>
      </c>
      <c r="I450" s="10">
        <v>312</v>
      </c>
    </row>
    <row r="451" spans="1:9" ht="15.75" thickBot="1" x14ac:dyDescent="0.3">
      <c r="A451" s="1">
        <v>43800</v>
      </c>
      <c r="B451" s="8" t="s">
        <v>6</v>
      </c>
      <c r="C451" t="s">
        <v>7</v>
      </c>
      <c r="D451" t="s">
        <v>126</v>
      </c>
      <c r="E451" t="s">
        <v>17</v>
      </c>
      <c r="F451" s="9">
        <v>3441.36</v>
      </c>
      <c r="G451" s="4">
        <v>124</v>
      </c>
      <c r="H451" s="8">
        <f t="shared" si="7"/>
        <v>124</v>
      </c>
      <c r="I451" s="10">
        <v>1</v>
      </c>
    </row>
    <row r="452" spans="1:9" ht="15.75" thickBot="1" x14ac:dyDescent="0.3">
      <c r="A452" s="1">
        <v>43800</v>
      </c>
      <c r="B452" s="8" t="s">
        <v>6</v>
      </c>
      <c r="C452" t="s">
        <v>7</v>
      </c>
      <c r="D452" t="s">
        <v>126</v>
      </c>
      <c r="E452" t="s">
        <v>11</v>
      </c>
      <c r="F452" s="9">
        <v>9469.31</v>
      </c>
      <c r="G452" s="7">
        <v>11210.85</v>
      </c>
      <c r="H452" s="8">
        <f t="shared" si="7"/>
        <v>11210.85</v>
      </c>
      <c r="I452" s="10">
        <v>12</v>
      </c>
    </row>
    <row r="453" spans="1:9" ht="15.75" thickBot="1" x14ac:dyDescent="0.3">
      <c r="A453" s="1">
        <v>43466</v>
      </c>
      <c r="B453" s="8" t="s">
        <v>6</v>
      </c>
      <c r="C453" t="s">
        <v>7</v>
      </c>
      <c r="D453" t="s">
        <v>126</v>
      </c>
      <c r="E453" t="s">
        <v>13</v>
      </c>
      <c r="F453" s="9">
        <v>0</v>
      </c>
      <c r="G453" s="6">
        <v>8000</v>
      </c>
      <c r="H453" s="8">
        <f t="shared" si="7"/>
        <v>8000</v>
      </c>
      <c r="I453" s="10">
        <v>1</v>
      </c>
    </row>
    <row r="454" spans="1:9" ht="15.75" thickBot="1" x14ac:dyDescent="0.3">
      <c r="A454" s="1">
        <v>43466</v>
      </c>
      <c r="B454" s="8" t="s">
        <v>6</v>
      </c>
      <c r="C454" t="s">
        <v>7</v>
      </c>
      <c r="D454" t="s">
        <v>127</v>
      </c>
      <c r="E454" t="s">
        <v>9</v>
      </c>
      <c r="F454" s="9">
        <v>81.569999999999993</v>
      </c>
      <c r="G454" s="5">
        <v>0</v>
      </c>
      <c r="H454" s="8">
        <f t="shared" si="7"/>
        <v>0</v>
      </c>
      <c r="I454" s="10">
        <v>1</v>
      </c>
    </row>
    <row r="455" spans="1:9" ht="15.75" thickBot="1" x14ac:dyDescent="0.3">
      <c r="A455" s="1">
        <v>43466</v>
      </c>
      <c r="B455" s="8" t="s">
        <v>6</v>
      </c>
      <c r="C455" t="s">
        <v>7</v>
      </c>
      <c r="D455" t="s">
        <v>127</v>
      </c>
      <c r="E455" t="s">
        <v>15</v>
      </c>
      <c r="F455" s="9">
        <v>900.52</v>
      </c>
      <c r="G455" s="4">
        <v>11</v>
      </c>
      <c r="H455" s="8">
        <f t="shared" si="7"/>
        <v>11</v>
      </c>
      <c r="I455" s="10">
        <v>3</v>
      </c>
    </row>
    <row r="456" spans="1:9" ht="15.75" thickBot="1" x14ac:dyDescent="0.3">
      <c r="A456" s="1">
        <v>43800</v>
      </c>
      <c r="B456" s="8" t="s">
        <v>6</v>
      </c>
      <c r="C456" t="s">
        <v>7</v>
      </c>
      <c r="D456" t="s">
        <v>127</v>
      </c>
      <c r="E456" t="s">
        <v>10</v>
      </c>
      <c r="F456" s="9">
        <v>67007.8</v>
      </c>
      <c r="G456" s="6">
        <v>2562328.1839999999</v>
      </c>
      <c r="H456" s="8">
        <f t="shared" si="7"/>
        <v>2562.328184</v>
      </c>
      <c r="I456" s="10">
        <v>281</v>
      </c>
    </row>
    <row r="457" spans="1:9" ht="15.75" thickBot="1" x14ac:dyDescent="0.3">
      <c r="A457" s="1">
        <v>43800</v>
      </c>
      <c r="B457" s="8" t="s">
        <v>6</v>
      </c>
      <c r="C457" t="s">
        <v>7</v>
      </c>
      <c r="D457" t="s">
        <v>127</v>
      </c>
      <c r="E457" t="s">
        <v>11</v>
      </c>
      <c r="F457" s="9">
        <v>2056.1999999999998</v>
      </c>
      <c r="G457" s="4">
        <v>14</v>
      </c>
      <c r="H457" s="8">
        <f t="shared" si="7"/>
        <v>14</v>
      </c>
      <c r="I457" s="10">
        <v>2</v>
      </c>
    </row>
    <row r="458" spans="1:9" ht="15.75" thickBot="1" x14ac:dyDescent="0.3">
      <c r="A458" s="1">
        <v>43800</v>
      </c>
      <c r="B458" s="8" t="s">
        <v>6</v>
      </c>
      <c r="C458" t="s">
        <v>7</v>
      </c>
      <c r="D458" t="s">
        <v>127</v>
      </c>
      <c r="E458" t="s">
        <v>13</v>
      </c>
      <c r="F458" s="9">
        <v>852.85</v>
      </c>
      <c r="G458" s="6">
        <v>36000</v>
      </c>
      <c r="H458" s="8">
        <f t="shared" si="7"/>
        <v>36000</v>
      </c>
      <c r="I458" s="10">
        <v>4</v>
      </c>
    </row>
    <row r="459" spans="1:9" ht="15.75" thickBot="1" x14ac:dyDescent="0.3">
      <c r="A459" s="1">
        <v>43800</v>
      </c>
      <c r="B459" s="8" t="s">
        <v>6</v>
      </c>
      <c r="C459" t="s">
        <v>7</v>
      </c>
      <c r="D459" t="s">
        <v>128</v>
      </c>
      <c r="E459" t="s">
        <v>10</v>
      </c>
      <c r="F459" s="9">
        <v>18227.45</v>
      </c>
      <c r="G459" s="6">
        <v>639268.29299999995</v>
      </c>
      <c r="H459" s="8">
        <f t="shared" si="7"/>
        <v>639.26829299999997</v>
      </c>
      <c r="I459" s="10">
        <v>38</v>
      </c>
    </row>
    <row r="460" spans="1:9" ht="15.75" thickBot="1" x14ac:dyDescent="0.3">
      <c r="A460" s="1">
        <v>43466</v>
      </c>
      <c r="B460" s="8" t="s">
        <v>6</v>
      </c>
      <c r="C460" t="s">
        <v>7</v>
      </c>
      <c r="D460" t="s">
        <v>129</v>
      </c>
      <c r="E460" t="s">
        <v>10</v>
      </c>
      <c r="F460" s="9">
        <v>29614.01</v>
      </c>
      <c r="G460" s="7">
        <v>815782</v>
      </c>
      <c r="H460" s="8">
        <f t="shared" si="7"/>
        <v>815.78200000000004</v>
      </c>
      <c r="I460" s="10">
        <v>115</v>
      </c>
    </row>
    <row r="461" spans="1:9" ht="15.75" thickBot="1" x14ac:dyDescent="0.3">
      <c r="A461" s="1">
        <v>43466</v>
      </c>
      <c r="B461" s="8" t="s">
        <v>6</v>
      </c>
      <c r="C461" t="s">
        <v>7</v>
      </c>
      <c r="D461" t="s">
        <v>129</v>
      </c>
      <c r="E461" t="s">
        <v>11</v>
      </c>
      <c r="F461" s="9">
        <v>1834.38</v>
      </c>
      <c r="G461" s="7">
        <v>30019</v>
      </c>
      <c r="H461" s="8">
        <f t="shared" si="7"/>
        <v>30019</v>
      </c>
      <c r="I461" s="10">
        <v>2</v>
      </c>
    </row>
    <row r="462" spans="1:9" ht="15.75" thickBot="1" x14ac:dyDescent="0.3">
      <c r="A462" s="1">
        <v>43466</v>
      </c>
      <c r="B462" s="8" t="s">
        <v>6</v>
      </c>
      <c r="C462" t="s">
        <v>7</v>
      </c>
      <c r="D462" t="s">
        <v>130</v>
      </c>
      <c r="E462" t="s">
        <v>9</v>
      </c>
      <c r="F462" s="9">
        <v>41465.08</v>
      </c>
      <c r="G462" s="4">
        <v>1112</v>
      </c>
      <c r="H462" s="8">
        <f t="shared" si="7"/>
        <v>1112</v>
      </c>
      <c r="I462" s="10">
        <v>7</v>
      </c>
    </row>
    <row r="463" spans="1:9" ht="15.75" thickBot="1" x14ac:dyDescent="0.3">
      <c r="A463" s="1">
        <v>43800</v>
      </c>
      <c r="B463" s="8" t="s">
        <v>6</v>
      </c>
      <c r="C463" t="s">
        <v>7</v>
      </c>
      <c r="D463" t="s">
        <v>130</v>
      </c>
      <c r="E463" t="s">
        <v>15</v>
      </c>
      <c r="F463" s="9">
        <v>11116.6</v>
      </c>
      <c r="G463" s="4">
        <v>259</v>
      </c>
      <c r="H463" s="8">
        <f t="shared" si="7"/>
        <v>259</v>
      </c>
      <c r="I463" s="10">
        <v>15</v>
      </c>
    </row>
    <row r="464" spans="1:9" ht="15.75" thickBot="1" x14ac:dyDescent="0.3">
      <c r="A464" s="1">
        <v>43800</v>
      </c>
      <c r="B464" s="8" t="s">
        <v>6</v>
      </c>
      <c r="C464" t="s">
        <v>7</v>
      </c>
      <c r="D464" t="s">
        <v>130</v>
      </c>
      <c r="E464" t="s">
        <v>10</v>
      </c>
      <c r="F464" s="9">
        <v>607635.84</v>
      </c>
      <c r="G464" s="6">
        <v>22401070.217999998</v>
      </c>
      <c r="H464" s="8">
        <f t="shared" si="7"/>
        <v>22401.070217999997</v>
      </c>
      <c r="I464" s="10">
        <v>1899</v>
      </c>
    </row>
    <row r="465" spans="1:9" ht="15.75" thickBot="1" x14ac:dyDescent="0.3">
      <c r="A465" s="1">
        <v>43800</v>
      </c>
      <c r="B465" s="8" t="s">
        <v>6</v>
      </c>
      <c r="C465" t="s">
        <v>7</v>
      </c>
      <c r="D465" t="s">
        <v>130</v>
      </c>
      <c r="E465" t="s">
        <v>11</v>
      </c>
      <c r="F465" s="9">
        <v>174221.87</v>
      </c>
      <c r="G465" s="7">
        <v>110444.31200000001</v>
      </c>
      <c r="H465" s="8">
        <f t="shared" si="7"/>
        <v>110444.31200000001</v>
      </c>
      <c r="I465" s="10">
        <v>31</v>
      </c>
    </row>
    <row r="466" spans="1:9" ht="15.75" thickBot="1" x14ac:dyDescent="0.3">
      <c r="A466" s="1">
        <v>43800</v>
      </c>
      <c r="B466" s="8" t="s">
        <v>6</v>
      </c>
      <c r="C466" t="s">
        <v>7</v>
      </c>
      <c r="D466" t="s">
        <v>130</v>
      </c>
      <c r="E466" t="s">
        <v>13</v>
      </c>
      <c r="F466" s="9">
        <v>1752.49</v>
      </c>
      <c r="G466" s="6">
        <v>68000</v>
      </c>
      <c r="H466" s="8">
        <f t="shared" si="7"/>
        <v>68000</v>
      </c>
      <c r="I466" s="10">
        <v>7</v>
      </c>
    </row>
    <row r="467" spans="1:9" ht="15.75" thickBot="1" x14ac:dyDescent="0.3">
      <c r="A467" s="1">
        <v>43466</v>
      </c>
      <c r="B467" s="8" t="s">
        <v>6</v>
      </c>
      <c r="C467" t="s">
        <v>7</v>
      </c>
      <c r="D467" t="s">
        <v>131</v>
      </c>
      <c r="E467" t="s">
        <v>10</v>
      </c>
      <c r="F467" s="9">
        <v>20041.240000000002</v>
      </c>
      <c r="G467" s="7">
        <v>559966.18799999997</v>
      </c>
      <c r="H467" s="8">
        <f t="shared" si="7"/>
        <v>559.96618799999999</v>
      </c>
      <c r="I467" s="10">
        <v>89</v>
      </c>
    </row>
    <row r="468" spans="1:9" ht="15.75" thickBot="1" x14ac:dyDescent="0.3">
      <c r="A468" s="1">
        <v>43466</v>
      </c>
      <c r="B468" s="8" t="s">
        <v>6</v>
      </c>
      <c r="C468" t="s">
        <v>7</v>
      </c>
      <c r="D468" t="s">
        <v>131</v>
      </c>
      <c r="E468" t="s">
        <v>11</v>
      </c>
      <c r="F468" s="9">
        <v>81.569999999999993</v>
      </c>
      <c r="G468" s="5">
        <v>0</v>
      </c>
      <c r="H468" s="8">
        <f t="shared" si="7"/>
        <v>0</v>
      </c>
      <c r="I468" s="10">
        <v>1</v>
      </c>
    </row>
    <row r="469" spans="1:9" ht="15.75" thickBot="1" x14ac:dyDescent="0.3">
      <c r="A469" s="1">
        <v>43466</v>
      </c>
      <c r="B469" s="8" t="s">
        <v>6</v>
      </c>
      <c r="C469" t="s">
        <v>7</v>
      </c>
      <c r="D469" t="s">
        <v>131</v>
      </c>
      <c r="E469" t="s">
        <v>13</v>
      </c>
      <c r="F469" s="9">
        <v>517.72</v>
      </c>
      <c r="G469" s="6">
        <v>16000</v>
      </c>
      <c r="H469" s="8">
        <f t="shared" si="7"/>
        <v>16000</v>
      </c>
      <c r="I469" s="10">
        <v>2</v>
      </c>
    </row>
    <row r="470" spans="1:9" ht="15.75" thickBot="1" x14ac:dyDescent="0.3">
      <c r="A470" s="1">
        <v>43800</v>
      </c>
      <c r="B470" s="8" t="s">
        <v>6</v>
      </c>
      <c r="C470" t="s">
        <v>7</v>
      </c>
      <c r="D470" t="s">
        <v>132</v>
      </c>
      <c r="E470" t="s">
        <v>9</v>
      </c>
      <c r="F470" s="9">
        <v>8519.48</v>
      </c>
      <c r="G470" s="4">
        <v>189</v>
      </c>
      <c r="H470" s="8">
        <f t="shared" si="7"/>
        <v>189</v>
      </c>
      <c r="I470" s="10">
        <v>8</v>
      </c>
    </row>
    <row r="471" spans="1:9" ht="15.75" thickBot="1" x14ac:dyDescent="0.3">
      <c r="A471" s="1">
        <v>43800</v>
      </c>
      <c r="B471" s="8" t="s">
        <v>6</v>
      </c>
      <c r="C471" t="s">
        <v>7</v>
      </c>
      <c r="D471" t="s">
        <v>132</v>
      </c>
      <c r="E471" t="s">
        <v>15</v>
      </c>
      <c r="F471" s="9">
        <v>100</v>
      </c>
      <c r="G471" s="4">
        <v>0</v>
      </c>
      <c r="H471" s="8">
        <f t="shared" si="7"/>
        <v>0</v>
      </c>
      <c r="I471" s="10">
        <v>1</v>
      </c>
    </row>
    <row r="472" spans="1:9" ht="15.75" thickBot="1" x14ac:dyDescent="0.3">
      <c r="A472" s="1">
        <v>43800</v>
      </c>
      <c r="B472" s="8" t="s">
        <v>6</v>
      </c>
      <c r="C472" t="s">
        <v>7</v>
      </c>
      <c r="D472" t="s">
        <v>132</v>
      </c>
      <c r="E472" t="s">
        <v>10</v>
      </c>
      <c r="F472" s="9">
        <v>191589.06</v>
      </c>
      <c r="G472" s="6">
        <v>5813046.2800000003</v>
      </c>
      <c r="H472" s="8">
        <f t="shared" si="7"/>
        <v>5813.0462800000005</v>
      </c>
      <c r="I472" s="10">
        <v>532</v>
      </c>
    </row>
    <row r="473" spans="1:9" ht="15.75" thickBot="1" x14ac:dyDescent="0.3">
      <c r="A473" s="1">
        <v>43800</v>
      </c>
      <c r="B473" s="8" t="s">
        <v>6</v>
      </c>
      <c r="C473" t="s">
        <v>7</v>
      </c>
      <c r="D473" t="s">
        <v>132</v>
      </c>
      <c r="E473" t="s">
        <v>11</v>
      </c>
      <c r="F473" s="9">
        <v>22756.33</v>
      </c>
      <c r="G473" s="4">
        <v>668</v>
      </c>
      <c r="H473" s="8">
        <f t="shared" si="7"/>
        <v>668</v>
      </c>
      <c r="I473" s="10">
        <v>12</v>
      </c>
    </row>
    <row r="474" spans="1:9" ht="15.75" thickBot="1" x14ac:dyDescent="0.3">
      <c r="A474" s="1">
        <v>43466</v>
      </c>
      <c r="B474" s="8" t="s">
        <v>6</v>
      </c>
      <c r="C474" t="s">
        <v>7</v>
      </c>
      <c r="D474" t="s">
        <v>132</v>
      </c>
      <c r="E474" t="s">
        <v>13</v>
      </c>
      <c r="F474" s="9">
        <v>1087.67</v>
      </c>
      <c r="G474" s="6">
        <v>36000</v>
      </c>
      <c r="H474" s="8">
        <f t="shared" si="7"/>
        <v>36000</v>
      </c>
      <c r="I474" s="10">
        <v>4</v>
      </c>
    </row>
    <row r="475" spans="1:9" ht="15.75" thickBot="1" x14ac:dyDescent="0.3">
      <c r="A475" s="1">
        <v>43466</v>
      </c>
      <c r="B475" s="8" t="s">
        <v>6</v>
      </c>
      <c r="C475" t="s">
        <v>7</v>
      </c>
      <c r="D475" t="s">
        <v>133</v>
      </c>
      <c r="E475" t="s">
        <v>9</v>
      </c>
      <c r="F475" s="9">
        <v>3051.92</v>
      </c>
      <c r="G475" s="4">
        <v>106</v>
      </c>
      <c r="H475" s="8">
        <f t="shared" si="7"/>
        <v>106</v>
      </c>
      <c r="I475" s="10">
        <v>1</v>
      </c>
    </row>
    <row r="476" spans="1:9" ht="15.75" thickBot="1" x14ac:dyDescent="0.3">
      <c r="A476" s="1">
        <v>43466</v>
      </c>
      <c r="B476" s="8" t="s">
        <v>6</v>
      </c>
      <c r="C476" t="s">
        <v>7</v>
      </c>
      <c r="D476" t="s">
        <v>133</v>
      </c>
      <c r="E476" t="s">
        <v>15</v>
      </c>
      <c r="F476" s="9">
        <v>4088.31</v>
      </c>
      <c r="G476" s="4">
        <v>304</v>
      </c>
      <c r="H476" s="8">
        <f t="shared" si="7"/>
        <v>304</v>
      </c>
      <c r="I476" s="10">
        <v>3</v>
      </c>
    </row>
    <row r="477" spans="1:9" ht="15.75" thickBot="1" x14ac:dyDescent="0.3">
      <c r="A477" s="1">
        <v>43800</v>
      </c>
      <c r="B477" s="8" t="s">
        <v>6</v>
      </c>
      <c r="C477" t="s">
        <v>7</v>
      </c>
      <c r="D477" t="s">
        <v>133</v>
      </c>
      <c r="E477" t="s">
        <v>10</v>
      </c>
      <c r="F477" s="9">
        <v>834.13</v>
      </c>
      <c r="G477" s="6">
        <v>0</v>
      </c>
      <c r="H477" s="8">
        <f t="shared" si="7"/>
        <v>0</v>
      </c>
      <c r="I477" s="10">
        <v>10</v>
      </c>
    </row>
    <row r="478" spans="1:9" ht="15.75" thickBot="1" x14ac:dyDescent="0.3">
      <c r="A478" s="1">
        <v>43800</v>
      </c>
      <c r="B478" s="8" t="s">
        <v>6</v>
      </c>
      <c r="C478" t="s">
        <v>7</v>
      </c>
      <c r="D478" t="s">
        <v>133</v>
      </c>
      <c r="E478" t="s">
        <v>17</v>
      </c>
      <c r="F478" s="9">
        <v>111982.56</v>
      </c>
      <c r="G478" s="4">
        <v>3610</v>
      </c>
      <c r="H478" s="8">
        <f t="shared" si="7"/>
        <v>3610</v>
      </c>
      <c r="I478" s="10">
        <v>16</v>
      </c>
    </row>
    <row r="479" spans="1:9" ht="15.75" thickBot="1" x14ac:dyDescent="0.3">
      <c r="A479" s="1">
        <v>43800</v>
      </c>
      <c r="B479" s="8" t="s">
        <v>6</v>
      </c>
      <c r="C479" t="s">
        <v>7</v>
      </c>
      <c r="D479" t="s">
        <v>133</v>
      </c>
      <c r="E479" t="s">
        <v>11</v>
      </c>
      <c r="F479" s="9">
        <v>2035.43</v>
      </c>
      <c r="G479" s="4">
        <v>38</v>
      </c>
      <c r="H479" s="8">
        <f t="shared" si="7"/>
        <v>38</v>
      </c>
      <c r="I479" s="10">
        <v>12</v>
      </c>
    </row>
    <row r="480" spans="1:9" ht="15.75" thickBot="1" x14ac:dyDescent="0.3">
      <c r="A480" s="1">
        <v>43800</v>
      </c>
      <c r="B480" s="8" t="s">
        <v>6</v>
      </c>
      <c r="C480" t="s">
        <v>7</v>
      </c>
      <c r="D480" t="s">
        <v>133</v>
      </c>
      <c r="E480" t="s">
        <v>13</v>
      </c>
      <c r="F480" s="9">
        <v>81.569999999999993</v>
      </c>
      <c r="G480" s="5">
        <v>0</v>
      </c>
      <c r="H480" s="8">
        <f t="shared" si="7"/>
        <v>0</v>
      </c>
      <c r="I480" s="10">
        <v>1</v>
      </c>
    </row>
    <row r="481" spans="1:9" ht="15.75" thickBot="1" x14ac:dyDescent="0.3">
      <c r="A481" s="1">
        <v>43466</v>
      </c>
      <c r="B481" s="8" t="s">
        <v>6</v>
      </c>
      <c r="C481" t="s">
        <v>7</v>
      </c>
      <c r="D481" t="s">
        <v>134</v>
      </c>
      <c r="E481" t="s">
        <v>15</v>
      </c>
      <c r="F481" s="9">
        <v>154.63999999999999</v>
      </c>
      <c r="G481" s="4">
        <v>2</v>
      </c>
      <c r="H481" s="8">
        <f t="shared" si="7"/>
        <v>2</v>
      </c>
      <c r="I481" s="10">
        <v>1</v>
      </c>
    </row>
    <row r="482" spans="1:9" ht="15.75" thickBot="1" x14ac:dyDescent="0.3">
      <c r="A482" s="1">
        <v>43466</v>
      </c>
      <c r="B482" s="8" t="s">
        <v>6</v>
      </c>
      <c r="C482" t="s">
        <v>7</v>
      </c>
      <c r="D482" t="s">
        <v>134</v>
      </c>
      <c r="E482" t="s">
        <v>10</v>
      </c>
      <c r="F482" s="9">
        <v>12334.2</v>
      </c>
      <c r="G482" s="6">
        <v>7921638.2309999997</v>
      </c>
      <c r="H482" s="8">
        <f t="shared" si="7"/>
        <v>7921.6382309999999</v>
      </c>
      <c r="I482" s="10">
        <v>1018</v>
      </c>
    </row>
    <row r="483" spans="1:9" ht="15.75" thickBot="1" x14ac:dyDescent="0.3">
      <c r="A483" s="1">
        <v>43466</v>
      </c>
      <c r="B483" s="8" t="s">
        <v>6</v>
      </c>
      <c r="C483" t="s">
        <v>7</v>
      </c>
      <c r="D483" t="s">
        <v>135</v>
      </c>
      <c r="E483" t="s">
        <v>10</v>
      </c>
      <c r="F483" s="9">
        <v>159565.67000000001</v>
      </c>
      <c r="G483" s="6">
        <v>5255577.9450000003</v>
      </c>
      <c r="H483" s="8">
        <f t="shared" si="7"/>
        <v>5255.577945</v>
      </c>
      <c r="I483" s="10">
        <v>684</v>
      </c>
    </row>
    <row r="484" spans="1:9" ht="15.75" thickBot="1" x14ac:dyDescent="0.3">
      <c r="A484" s="1">
        <v>43800</v>
      </c>
      <c r="B484" s="8" t="s">
        <v>6</v>
      </c>
      <c r="C484" t="s">
        <v>7</v>
      </c>
      <c r="D484" t="s">
        <v>135</v>
      </c>
      <c r="E484" t="s">
        <v>11</v>
      </c>
      <c r="F484" s="9">
        <v>1060.4100000000001</v>
      </c>
      <c r="G484" s="5">
        <v>0</v>
      </c>
      <c r="H484" s="8">
        <f t="shared" si="7"/>
        <v>0</v>
      </c>
      <c r="I484" s="10">
        <v>13</v>
      </c>
    </row>
    <row r="485" spans="1:9" ht="15.75" thickBot="1" x14ac:dyDescent="0.3">
      <c r="A485" s="1">
        <v>43800</v>
      </c>
      <c r="B485" s="8" t="s">
        <v>6</v>
      </c>
      <c r="C485" t="s">
        <v>7</v>
      </c>
      <c r="D485" t="s">
        <v>135</v>
      </c>
      <c r="E485" t="s">
        <v>13</v>
      </c>
      <c r="F485" s="9">
        <v>677.78</v>
      </c>
      <c r="G485" s="6">
        <v>18000</v>
      </c>
      <c r="H485" s="8">
        <f t="shared" si="7"/>
        <v>18000</v>
      </c>
      <c r="I485" s="10">
        <v>4</v>
      </c>
    </row>
    <row r="486" spans="1:9" ht="15.75" thickBot="1" x14ac:dyDescent="0.3">
      <c r="A486" s="1">
        <v>43800</v>
      </c>
      <c r="B486" s="8" t="s">
        <v>6</v>
      </c>
      <c r="C486" t="s">
        <v>7</v>
      </c>
      <c r="D486" t="s">
        <v>136</v>
      </c>
      <c r="E486" t="s">
        <v>9</v>
      </c>
      <c r="F486" s="9">
        <v>89632.73</v>
      </c>
      <c r="G486" s="4">
        <v>2182</v>
      </c>
      <c r="H486" s="8">
        <f t="shared" si="7"/>
        <v>2182</v>
      </c>
      <c r="I486" s="10">
        <v>51</v>
      </c>
    </row>
    <row r="487" spans="1:9" ht="15.75" thickBot="1" x14ac:dyDescent="0.3">
      <c r="A487" s="1">
        <v>43800</v>
      </c>
      <c r="B487" s="8" t="s">
        <v>6</v>
      </c>
      <c r="C487" t="s">
        <v>7</v>
      </c>
      <c r="D487" t="s">
        <v>136</v>
      </c>
      <c r="E487" t="s">
        <v>15</v>
      </c>
      <c r="F487" s="9">
        <v>3452.75</v>
      </c>
      <c r="G487" s="4">
        <v>38</v>
      </c>
      <c r="H487" s="8">
        <f t="shared" si="7"/>
        <v>38</v>
      </c>
      <c r="I487" s="10">
        <v>9</v>
      </c>
    </row>
    <row r="488" spans="1:9" ht="15.75" thickBot="1" x14ac:dyDescent="0.3">
      <c r="A488" s="1">
        <v>43466</v>
      </c>
      <c r="B488" s="8" t="s">
        <v>6</v>
      </c>
      <c r="C488" t="s">
        <v>7</v>
      </c>
      <c r="D488" t="s">
        <v>136</v>
      </c>
      <c r="E488" t="s">
        <v>10</v>
      </c>
      <c r="F488" s="9">
        <v>546051.46</v>
      </c>
      <c r="G488" s="7">
        <v>20121499.039000001</v>
      </c>
      <c r="H488" s="8">
        <f t="shared" si="7"/>
        <v>20121.499039000002</v>
      </c>
      <c r="I488" s="10">
        <v>1626</v>
      </c>
    </row>
    <row r="489" spans="1:9" ht="15.75" thickBot="1" x14ac:dyDescent="0.3">
      <c r="A489" s="1">
        <v>43466</v>
      </c>
      <c r="B489" s="8" t="s">
        <v>6</v>
      </c>
      <c r="C489" t="s">
        <v>7</v>
      </c>
      <c r="D489" t="s">
        <v>136</v>
      </c>
      <c r="E489" t="s">
        <v>17</v>
      </c>
      <c r="F489" s="9">
        <v>41904.379999999997</v>
      </c>
      <c r="G489" s="4">
        <v>1077</v>
      </c>
      <c r="H489" s="8">
        <f t="shared" si="7"/>
        <v>1077</v>
      </c>
      <c r="I489" s="10">
        <v>13</v>
      </c>
    </row>
    <row r="490" spans="1:9" ht="15.75" thickBot="1" x14ac:dyDescent="0.3">
      <c r="A490" s="1">
        <v>43466</v>
      </c>
      <c r="B490" s="8" t="s">
        <v>6</v>
      </c>
      <c r="C490" t="s">
        <v>7</v>
      </c>
      <c r="D490" t="s">
        <v>136</v>
      </c>
      <c r="E490" t="s">
        <v>11</v>
      </c>
      <c r="F490" s="9">
        <v>13639.45</v>
      </c>
      <c r="G490" s="4">
        <v>356</v>
      </c>
      <c r="H490" s="8">
        <f t="shared" si="7"/>
        <v>356</v>
      </c>
      <c r="I490" s="10">
        <v>25</v>
      </c>
    </row>
    <row r="491" spans="1:9" ht="15.75" thickBot="1" x14ac:dyDescent="0.3">
      <c r="A491" s="1">
        <v>43800</v>
      </c>
      <c r="B491" s="8" t="s">
        <v>6</v>
      </c>
      <c r="C491" t="s">
        <v>7</v>
      </c>
      <c r="D491" t="s">
        <v>136</v>
      </c>
      <c r="E491" t="s">
        <v>13</v>
      </c>
      <c r="F491" s="9">
        <v>2156.39</v>
      </c>
      <c r="G491" s="7">
        <v>37349</v>
      </c>
      <c r="H491" s="8">
        <f t="shared" si="7"/>
        <v>37349</v>
      </c>
      <c r="I491" s="10">
        <v>6</v>
      </c>
    </row>
    <row r="492" spans="1:9" ht="15.75" thickBot="1" x14ac:dyDescent="0.3">
      <c r="A492" s="1">
        <v>43800</v>
      </c>
      <c r="B492" s="8" t="s">
        <v>6</v>
      </c>
      <c r="C492" t="s">
        <v>7</v>
      </c>
      <c r="D492" t="s">
        <v>137</v>
      </c>
      <c r="E492" t="s">
        <v>9</v>
      </c>
      <c r="F492" s="9">
        <v>49369.24</v>
      </c>
      <c r="G492" s="4">
        <v>1573</v>
      </c>
      <c r="H492" s="8">
        <f t="shared" si="7"/>
        <v>1573</v>
      </c>
      <c r="I492" s="10">
        <v>4</v>
      </c>
    </row>
    <row r="493" spans="1:9" ht="15.75" thickBot="1" x14ac:dyDescent="0.3">
      <c r="A493" s="1">
        <v>43800</v>
      </c>
      <c r="B493" s="8" t="s">
        <v>6</v>
      </c>
      <c r="C493" t="s">
        <v>7</v>
      </c>
      <c r="D493" t="s">
        <v>137</v>
      </c>
      <c r="E493" t="s">
        <v>10</v>
      </c>
      <c r="F493" s="9">
        <v>217454.11</v>
      </c>
      <c r="G493" s="6">
        <v>11032000</v>
      </c>
      <c r="H493" s="8">
        <f t="shared" si="7"/>
        <v>11032</v>
      </c>
      <c r="I493" s="10">
        <v>82</v>
      </c>
    </row>
    <row r="494" spans="1:9" ht="15.75" thickBot="1" x14ac:dyDescent="0.3">
      <c r="A494" s="1">
        <v>43800</v>
      </c>
      <c r="B494" s="8" t="s">
        <v>6</v>
      </c>
      <c r="C494" t="s">
        <v>7</v>
      </c>
      <c r="D494" t="s">
        <v>137</v>
      </c>
      <c r="E494" t="s">
        <v>11</v>
      </c>
      <c r="F494" s="9">
        <v>45730.42</v>
      </c>
      <c r="G494" s="6">
        <v>1095000</v>
      </c>
      <c r="H494" s="8">
        <f t="shared" si="7"/>
        <v>1095000</v>
      </c>
      <c r="I494" s="10">
        <v>49</v>
      </c>
    </row>
    <row r="495" spans="1:9" ht="15.75" thickBot="1" x14ac:dyDescent="0.3">
      <c r="A495" s="1">
        <v>43466</v>
      </c>
      <c r="B495" s="8" t="s">
        <v>6</v>
      </c>
      <c r="C495" t="s">
        <v>7</v>
      </c>
      <c r="D495" t="s">
        <v>138</v>
      </c>
      <c r="E495" t="s">
        <v>9</v>
      </c>
      <c r="F495" s="9">
        <v>7992.88</v>
      </c>
      <c r="G495" s="4">
        <v>234</v>
      </c>
      <c r="H495" s="8">
        <f t="shared" si="7"/>
        <v>234</v>
      </c>
      <c r="I495" s="10">
        <v>1</v>
      </c>
    </row>
    <row r="496" spans="1:9" ht="15.75" thickBot="1" x14ac:dyDescent="0.3">
      <c r="A496" s="1">
        <v>43466</v>
      </c>
      <c r="B496" s="8" t="s">
        <v>6</v>
      </c>
      <c r="C496" t="s">
        <v>7</v>
      </c>
      <c r="D496" t="s">
        <v>138</v>
      </c>
      <c r="E496" t="s">
        <v>15</v>
      </c>
      <c r="F496" s="9">
        <v>994.61</v>
      </c>
      <c r="G496" s="4">
        <v>7</v>
      </c>
      <c r="H496" s="8">
        <f t="shared" si="7"/>
        <v>7</v>
      </c>
      <c r="I496" s="10">
        <v>2</v>
      </c>
    </row>
    <row r="497" spans="1:9" ht="15.75" thickBot="1" x14ac:dyDescent="0.3">
      <c r="A497" s="1">
        <v>43466</v>
      </c>
      <c r="B497" s="8" t="s">
        <v>6</v>
      </c>
      <c r="C497" t="s">
        <v>7</v>
      </c>
      <c r="D497" t="s">
        <v>138</v>
      </c>
      <c r="E497" t="s">
        <v>10</v>
      </c>
      <c r="F497" s="9">
        <v>258875.21</v>
      </c>
      <c r="G497" s="6">
        <v>10601708.346000001</v>
      </c>
      <c r="H497" s="8">
        <f t="shared" si="7"/>
        <v>10601.708346000001</v>
      </c>
      <c r="I497" s="10">
        <v>532</v>
      </c>
    </row>
    <row r="498" spans="1:9" ht="15.75" thickBot="1" x14ac:dyDescent="0.3">
      <c r="A498" s="1">
        <v>43800</v>
      </c>
      <c r="B498" s="8" t="s">
        <v>6</v>
      </c>
      <c r="C498" t="s">
        <v>7</v>
      </c>
      <c r="D498" t="s">
        <v>138</v>
      </c>
      <c r="E498" t="s">
        <v>11</v>
      </c>
      <c r="F498" s="9">
        <v>52689.71</v>
      </c>
      <c r="G498" s="7">
        <v>680134</v>
      </c>
      <c r="H498" s="8">
        <f t="shared" si="7"/>
        <v>680134</v>
      </c>
      <c r="I498" s="10">
        <v>41</v>
      </c>
    </row>
    <row r="499" spans="1:9" ht="15.75" thickBot="1" x14ac:dyDescent="0.3">
      <c r="A499" s="1">
        <v>43800</v>
      </c>
      <c r="B499" s="8" t="s">
        <v>6</v>
      </c>
      <c r="C499" t="s">
        <v>7</v>
      </c>
      <c r="D499" t="s">
        <v>138</v>
      </c>
      <c r="E499" t="s">
        <v>13</v>
      </c>
      <c r="F499" s="9">
        <v>2238.77</v>
      </c>
      <c r="G499" s="6">
        <v>70000</v>
      </c>
      <c r="H499" s="8">
        <f t="shared" si="7"/>
        <v>70000</v>
      </c>
      <c r="I499" s="10">
        <v>9</v>
      </c>
    </row>
    <row r="500" spans="1:9" ht="15.75" thickBot="1" x14ac:dyDescent="0.3">
      <c r="A500" s="1">
        <v>43800</v>
      </c>
      <c r="B500" s="8" t="s">
        <v>6</v>
      </c>
      <c r="C500" t="s">
        <v>7</v>
      </c>
      <c r="D500" t="s">
        <v>139</v>
      </c>
      <c r="E500" t="s">
        <v>9</v>
      </c>
      <c r="F500" s="9">
        <v>31375.919999999998</v>
      </c>
      <c r="G500" s="7">
        <v>511591</v>
      </c>
      <c r="H500" s="8">
        <f t="shared" si="7"/>
        <v>511591</v>
      </c>
      <c r="I500" s="10">
        <v>3</v>
      </c>
    </row>
    <row r="501" spans="1:9" ht="15.75" thickBot="1" x14ac:dyDescent="0.3">
      <c r="A501" s="1">
        <v>43800</v>
      </c>
      <c r="B501" s="8" t="s">
        <v>6</v>
      </c>
      <c r="C501" t="s">
        <v>7</v>
      </c>
      <c r="D501" t="s">
        <v>139</v>
      </c>
      <c r="E501" t="s">
        <v>10</v>
      </c>
      <c r="F501" s="9">
        <v>331376.73</v>
      </c>
      <c r="G501" s="6">
        <v>14818509.927999999</v>
      </c>
      <c r="H501" s="8">
        <f t="shared" si="7"/>
        <v>14818.509927999999</v>
      </c>
      <c r="I501" s="10">
        <v>197</v>
      </c>
    </row>
    <row r="502" spans="1:9" ht="15.75" thickBot="1" x14ac:dyDescent="0.3">
      <c r="A502" s="1">
        <v>43466</v>
      </c>
      <c r="B502" s="8" t="s">
        <v>6</v>
      </c>
      <c r="C502" t="s">
        <v>7</v>
      </c>
      <c r="D502" t="s">
        <v>139</v>
      </c>
      <c r="E502" t="s">
        <v>11</v>
      </c>
      <c r="F502" s="9">
        <v>39872.730000000003</v>
      </c>
      <c r="G502" s="7">
        <v>19761.455000000002</v>
      </c>
      <c r="H502" s="8">
        <f t="shared" si="7"/>
        <v>19761.455000000002</v>
      </c>
      <c r="I502" s="10">
        <v>15</v>
      </c>
    </row>
    <row r="503" spans="1:9" ht="15.75" thickBot="1" x14ac:dyDescent="0.3">
      <c r="A503" s="1">
        <v>43466</v>
      </c>
      <c r="B503" s="8" t="s">
        <v>6</v>
      </c>
      <c r="C503" t="s">
        <v>7</v>
      </c>
      <c r="D503" t="s">
        <v>139</v>
      </c>
      <c r="E503" t="s">
        <v>13</v>
      </c>
      <c r="F503" s="9">
        <v>-391564.94</v>
      </c>
      <c r="G503" s="7">
        <v>-6652317.0630000001</v>
      </c>
      <c r="H503" s="8">
        <f t="shared" si="7"/>
        <v>-6652317.0630000001</v>
      </c>
      <c r="I503" s="10">
        <v>11</v>
      </c>
    </row>
    <row r="504" spans="1:9" ht="15.75" thickBot="1" x14ac:dyDescent="0.3">
      <c r="A504" s="1">
        <v>43466</v>
      </c>
      <c r="B504" s="8" t="s">
        <v>6</v>
      </c>
      <c r="C504" t="s">
        <v>7</v>
      </c>
      <c r="D504" t="s">
        <v>140</v>
      </c>
      <c r="E504" t="s">
        <v>9</v>
      </c>
      <c r="F504" s="9">
        <v>3498.56</v>
      </c>
      <c r="G504" s="4">
        <v>121</v>
      </c>
      <c r="H504" s="8">
        <f t="shared" si="7"/>
        <v>121</v>
      </c>
      <c r="I504" s="10">
        <v>3</v>
      </c>
    </row>
    <row r="505" spans="1:9" ht="15.75" thickBot="1" x14ac:dyDescent="0.3">
      <c r="A505" s="1">
        <v>43800</v>
      </c>
      <c r="B505" s="8" t="s">
        <v>6</v>
      </c>
      <c r="C505" t="s">
        <v>7</v>
      </c>
      <c r="D505" t="s">
        <v>140</v>
      </c>
      <c r="E505" t="s">
        <v>15</v>
      </c>
      <c r="F505" s="9">
        <v>1420.74</v>
      </c>
      <c r="G505" s="4">
        <v>8</v>
      </c>
      <c r="H505" s="8">
        <f t="shared" si="7"/>
        <v>8</v>
      </c>
      <c r="I505" s="10">
        <v>2</v>
      </c>
    </row>
    <row r="506" spans="1:9" ht="15.75" thickBot="1" x14ac:dyDescent="0.3">
      <c r="A506" s="1">
        <v>43800</v>
      </c>
      <c r="B506" s="8" t="s">
        <v>6</v>
      </c>
      <c r="C506" t="s">
        <v>7</v>
      </c>
      <c r="D506" t="s">
        <v>140</v>
      </c>
      <c r="E506" t="s">
        <v>10</v>
      </c>
      <c r="F506" s="9">
        <v>138755.42000000001</v>
      </c>
      <c r="G506" s="6">
        <v>5187310.1310000001</v>
      </c>
      <c r="H506" s="8">
        <f t="shared" si="7"/>
        <v>5187.3101310000002</v>
      </c>
      <c r="I506" s="10">
        <v>565</v>
      </c>
    </row>
    <row r="507" spans="1:9" ht="15.75" thickBot="1" x14ac:dyDescent="0.3">
      <c r="A507" s="1">
        <v>43800</v>
      </c>
      <c r="B507" s="8" t="s">
        <v>6</v>
      </c>
      <c r="C507" t="s">
        <v>7</v>
      </c>
      <c r="D507" t="s">
        <v>140</v>
      </c>
      <c r="E507" t="s">
        <v>11</v>
      </c>
      <c r="F507" s="9">
        <v>782.07</v>
      </c>
      <c r="G507" s="4">
        <v>15</v>
      </c>
      <c r="H507" s="8">
        <f t="shared" si="7"/>
        <v>15</v>
      </c>
      <c r="I507" s="10">
        <v>4</v>
      </c>
    </row>
    <row r="508" spans="1:9" ht="15.75" thickBot="1" x14ac:dyDescent="0.3">
      <c r="A508" s="1">
        <v>43800</v>
      </c>
      <c r="B508" s="8" t="s">
        <v>6</v>
      </c>
      <c r="C508" t="s">
        <v>7</v>
      </c>
      <c r="D508" t="s">
        <v>140</v>
      </c>
      <c r="E508" t="s">
        <v>13</v>
      </c>
      <c r="F508" s="9">
        <v>348.41</v>
      </c>
      <c r="G508" s="6">
        <v>11000</v>
      </c>
      <c r="H508" s="8">
        <f t="shared" si="7"/>
        <v>11000</v>
      </c>
      <c r="I508" s="10">
        <v>2</v>
      </c>
    </row>
    <row r="509" spans="1:9" ht="15.75" thickBot="1" x14ac:dyDescent="0.3">
      <c r="A509" s="1">
        <v>43466</v>
      </c>
      <c r="B509" s="8" t="s">
        <v>6</v>
      </c>
      <c r="C509" t="s">
        <v>7</v>
      </c>
      <c r="D509" t="s">
        <v>141</v>
      </c>
      <c r="E509" t="s">
        <v>9</v>
      </c>
      <c r="F509" s="9">
        <v>153347.72</v>
      </c>
      <c r="G509" s="4">
        <v>4840</v>
      </c>
      <c r="H509" s="8">
        <f t="shared" si="7"/>
        <v>4840</v>
      </c>
      <c r="I509" s="10">
        <v>30</v>
      </c>
    </row>
    <row r="510" spans="1:9" ht="15.75" thickBot="1" x14ac:dyDescent="0.3">
      <c r="A510" s="1">
        <v>43466</v>
      </c>
      <c r="B510" s="8" t="s">
        <v>6</v>
      </c>
      <c r="C510" t="s">
        <v>7</v>
      </c>
      <c r="D510" t="s">
        <v>141</v>
      </c>
      <c r="E510" t="s">
        <v>15</v>
      </c>
      <c r="F510" s="9">
        <v>3584.17</v>
      </c>
      <c r="G510" s="4">
        <v>61</v>
      </c>
      <c r="H510" s="8">
        <f t="shared" si="7"/>
        <v>61</v>
      </c>
      <c r="I510" s="10">
        <v>8</v>
      </c>
    </row>
    <row r="511" spans="1:9" ht="15.75" thickBot="1" x14ac:dyDescent="0.3">
      <c r="A511" s="1">
        <v>43466</v>
      </c>
      <c r="B511" s="8" t="s">
        <v>6</v>
      </c>
      <c r="C511" t="s">
        <v>7</v>
      </c>
      <c r="D511" t="s">
        <v>141</v>
      </c>
      <c r="E511" t="s">
        <v>10</v>
      </c>
      <c r="F511" s="9">
        <v>1261617.73</v>
      </c>
      <c r="G511" s="7">
        <v>37516637.476999998</v>
      </c>
      <c r="H511" s="8">
        <f t="shared" si="7"/>
        <v>37516.637476999997</v>
      </c>
      <c r="I511" s="10">
        <v>1719</v>
      </c>
    </row>
    <row r="512" spans="1:9" ht="15.75" thickBot="1" x14ac:dyDescent="0.3">
      <c r="A512" s="1">
        <v>43800</v>
      </c>
      <c r="B512" s="8" t="s">
        <v>6</v>
      </c>
      <c r="C512" t="s">
        <v>7</v>
      </c>
      <c r="D512" t="s">
        <v>141</v>
      </c>
      <c r="E512" t="s">
        <v>11</v>
      </c>
      <c r="F512" s="9">
        <v>49923.9</v>
      </c>
      <c r="G512" s="7">
        <v>183158.709</v>
      </c>
      <c r="H512" s="8">
        <f t="shared" si="7"/>
        <v>183158.709</v>
      </c>
      <c r="I512" s="10">
        <v>51</v>
      </c>
    </row>
    <row r="513" spans="1:9" ht="15.75" thickBot="1" x14ac:dyDescent="0.3">
      <c r="A513" s="1">
        <v>43800</v>
      </c>
      <c r="B513" s="8" t="s">
        <v>6</v>
      </c>
      <c r="C513" t="s">
        <v>7</v>
      </c>
      <c r="D513" t="s">
        <v>141</v>
      </c>
      <c r="E513" t="s">
        <v>13</v>
      </c>
      <c r="F513" s="9">
        <v>11327.48</v>
      </c>
      <c r="G513" s="7">
        <v>200892.258</v>
      </c>
      <c r="H513" s="8">
        <f t="shared" si="7"/>
        <v>200892.258</v>
      </c>
      <c r="I513" s="10">
        <v>11</v>
      </c>
    </row>
    <row r="514" spans="1:9" ht="15.75" thickBot="1" x14ac:dyDescent="0.3">
      <c r="A514" s="1">
        <v>43800</v>
      </c>
      <c r="B514" s="8" t="s">
        <v>6</v>
      </c>
      <c r="C514" t="s">
        <v>7</v>
      </c>
      <c r="D514" t="s">
        <v>142</v>
      </c>
      <c r="E514" t="s">
        <v>11</v>
      </c>
      <c r="F514" s="9">
        <v>0</v>
      </c>
      <c r="G514" s="5">
        <v>0</v>
      </c>
      <c r="H514" s="8">
        <f t="shared" ref="H514:H577" si="8">IF(ISNUMBER(SEARCH("Domestic customer", E514)),G514/1000,G514)</f>
        <v>0</v>
      </c>
      <c r="I514" s="10">
        <v>1</v>
      </c>
    </row>
    <row r="515" spans="1:9" ht="15.75" thickBot="1" x14ac:dyDescent="0.3">
      <c r="A515" s="1">
        <v>43800</v>
      </c>
      <c r="B515" s="8" t="s">
        <v>6</v>
      </c>
      <c r="C515" t="s">
        <v>7</v>
      </c>
      <c r="D515" t="s">
        <v>143</v>
      </c>
      <c r="E515" t="s">
        <v>9</v>
      </c>
      <c r="F515" s="9">
        <v>846810.19</v>
      </c>
      <c r="G515" s="7">
        <v>53307</v>
      </c>
      <c r="H515" s="8">
        <f t="shared" si="8"/>
        <v>53307</v>
      </c>
      <c r="I515" s="10">
        <v>8</v>
      </c>
    </row>
    <row r="516" spans="1:9" ht="15.75" thickBot="1" x14ac:dyDescent="0.3">
      <c r="A516" s="1">
        <v>43466</v>
      </c>
      <c r="B516" s="8" t="s">
        <v>6</v>
      </c>
      <c r="C516" t="s">
        <v>7</v>
      </c>
      <c r="D516" t="s">
        <v>143</v>
      </c>
      <c r="E516" t="s">
        <v>15</v>
      </c>
      <c r="F516" s="9">
        <v>61420.21</v>
      </c>
      <c r="G516" s="4">
        <v>2057</v>
      </c>
      <c r="H516" s="8">
        <f t="shared" si="8"/>
        <v>2057</v>
      </c>
      <c r="I516" s="10">
        <v>12</v>
      </c>
    </row>
    <row r="517" spans="1:9" ht="15.75" thickBot="1" x14ac:dyDescent="0.3">
      <c r="A517" s="1">
        <v>43466</v>
      </c>
      <c r="B517" s="8" t="s">
        <v>6</v>
      </c>
      <c r="C517" t="s">
        <v>7</v>
      </c>
      <c r="D517" t="s">
        <v>143</v>
      </c>
      <c r="E517" t="s">
        <v>10</v>
      </c>
      <c r="F517" s="9">
        <v>246560.88</v>
      </c>
      <c r="G517" s="7">
        <v>6928251.5760000004</v>
      </c>
      <c r="H517" s="8">
        <f t="shared" si="8"/>
        <v>6928.2515760000006</v>
      </c>
      <c r="I517" s="10">
        <v>516</v>
      </c>
    </row>
    <row r="518" spans="1:9" ht="15.75" thickBot="1" x14ac:dyDescent="0.3">
      <c r="A518" s="1">
        <v>43466</v>
      </c>
      <c r="B518" s="8" t="s">
        <v>6</v>
      </c>
      <c r="C518" t="s">
        <v>7</v>
      </c>
      <c r="D518" t="s">
        <v>143</v>
      </c>
      <c r="E518" t="s">
        <v>17</v>
      </c>
      <c r="F518" s="9">
        <v>58611.81</v>
      </c>
      <c r="G518" s="4">
        <v>1776</v>
      </c>
      <c r="H518" s="8">
        <f t="shared" si="8"/>
        <v>1776</v>
      </c>
      <c r="I518" s="10">
        <v>5</v>
      </c>
    </row>
    <row r="519" spans="1:9" ht="15.75" thickBot="1" x14ac:dyDescent="0.3">
      <c r="A519" s="1">
        <v>43800</v>
      </c>
      <c r="B519" s="8" t="s">
        <v>6</v>
      </c>
      <c r="C519" t="s">
        <v>7</v>
      </c>
      <c r="D519" t="s">
        <v>143</v>
      </c>
      <c r="E519" t="s">
        <v>11</v>
      </c>
      <c r="F519" s="9">
        <v>310371.02</v>
      </c>
      <c r="G519" s="7">
        <v>75447.917000000001</v>
      </c>
      <c r="H519" s="8">
        <f t="shared" si="8"/>
        <v>75447.917000000001</v>
      </c>
      <c r="I519" s="10">
        <v>93</v>
      </c>
    </row>
    <row r="520" spans="1:9" ht="15.75" thickBot="1" x14ac:dyDescent="0.3">
      <c r="A520" s="1">
        <v>43800</v>
      </c>
      <c r="B520" s="8" t="s">
        <v>6</v>
      </c>
      <c r="C520" t="s">
        <v>7</v>
      </c>
      <c r="D520" t="s">
        <v>143</v>
      </c>
      <c r="E520" t="s">
        <v>13</v>
      </c>
      <c r="F520" s="9">
        <v>6110.34</v>
      </c>
      <c r="G520" s="6">
        <v>317000</v>
      </c>
      <c r="H520" s="8">
        <f t="shared" si="8"/>
        <v>317000</v>
      </c>
      <c r="I520" s="10">
        <v>6</v>
      </c>
    </row>
    <row r="521" spans="1:9" ht="15.75" thickBot="1" x14ac:dyDescent="0.3">
      <c r="A521" s="1">
        <v>43800</v>
      </c>
      <c r="B521" s="8" t="s">
        <v>6</v>
      </c>
      <c r="C521" t="s">
        <v>7</v>
      </c>
      <c r="D521" t="s">
        <v>144</v>
      </c>
      <c r="E521" t="s">
        <v>9</v>
      </c>
      <c r="F521" s="9">
        <v>260559.07</v>
      </c>
      <c r="G521" s="4">
        <v>8470</v>
      </c>
      <c r="H521" s="8">
        <f t="shared" si="8"/>
        <v>8470</v>
      </c>
      <c r="I521" s="10">
        <v>19</v>
      </c>
    </row>
    <row r="522" spans="1:9" ht="15.75" thickBot="1" x14ac:dyDescent="0.3">
      <c r="A522" s="1">
        <v>43800</v>
      </c>
      <c r="B522" s="8" t="s">
        <v>6</v>
      </c>
      <c r="C522" t="s">
        <v>7</v>
      </c>
      <c r="D522" t="s">
        <v>144</v>
      </c>
      <c r="E522" t="s">
        <v>15</v>
      </c>
      <c r="F522" s="9">
        <v>854.81</v>
      </c>
      <c r="G522" s="4">
        <v>16</v>
      </c>
      <c r="H522" s="8">
        <f t="shared" si="8"/>
        <v>16</v>
      </c>
      <c r="I522" s="10">
        <v>3</v>
      </c>
    </row>
    <row r="523" spans="1:9" ht="15.75" thickBot="1" x14ac:dyDescent="0.3">
      <c r="A523" s="1">
        <v>43466</v>
      </c>
      <c r="B523" s="8" t="s">
        <v>6</v>
      </c>
      <c r="C523" t="s">
        <v>7</v>
      </c>
      <c r="D523" t="s">
        <v>144</v>
      </c>
      <c r="E523" t="s">
        <v>10</v>
      </c>
      <c r="F523" s="9">
        <v>26380.68</v>
      </c>
      <c r="G523" s="6">
        <v>922162.223</v>
      </c>
      <c r="H523" s="8">
        <f t="shared" si="8"/>
        <v>922.16222300000004</v>
      </c>
      <c r="I523" s="10">
        <v>28</v>
      </c>
    </row>
    <row r="524" spans="1:9" ht="15.75" thickBot="1" x14ac:dyDescent="0.3">
      <c r="A524" s="1">
        <v>43466</v>
      </c>
      <c r="B524" s="8" t="s">
        <v>6</v>
      </c>
      <c r="C524" t="s">
        <v>7</v>
      </c>
      <c r="D524" t="s">
        <v>144</v>
      </c>
      <c r="E524" t="s">
        <v>17</v>
      </c>
      <c r="F524" s="9">
        <v>79174.87</v>
      </c>
      <c r="G524" s="4">
        <v>2690</v>
      </c>
      <c r="H524" s="8">
        <f t="shared" si="8"/>
        <v>2690</v>
      </c>
      <c r="I524" s="10">
        <v>2</v>
      </c>
    </row>
    <row r="525" spans="1:9" ht="15.75" thickBot="1" x14ac:dyDescent="0.3">
      <c r="A525" s="1">
        <v>43466</v>
      </c>
      <c r="B525" s="8" t="s">
        <v>6</v>
      </c>
      <c r="C525" t="s">
        <v>7</v>
      </c>
      <c r="D525" t="s">
        <v>144</v>
      </c>
      <c r="E525" t="s">
        <v>11</v>
      </c>
      <c r="F525" s="9">
        <v>6786.22</v>
      </c>
      <c r="G525" s="7">
        <v>15657.12</v>
      </c>
      <c r="H525" s="8">
        <f t="shared" si="8"/>
        <v>15657.12</v>
      </c>
      <c r="I525" s="10">
        <v>35</v>
      </c>
    </row>
    <row r="526" spans="1:9" ht="15.75" thickBot="1" x14ac:dyDescent="0.3">
      <c r="A526" s="1">
        <v>43800</v>
      </c>
      <c r="B526" s="8" t="s">
        <v>6</v>
      </c>
      <c r="C526" t="s">
        <v>7</v>
      </c>
      <c r="D526" t="s">
        <v>145</v>
      </c>
      <c r="E526" t="s">
        <v>9</v>
      </c>
      <c r="F526" s="9">
        <v>3812.45</v>
      </c>
      <c r="G526" s="4">
        <v>112</v>
      </c>
      <c r="H526" s="8">
        <f t="shared" si="8"/>
        <v>112</v>
      </c>
      <c r="I526" s="10">
        <v>4</v>
      </c>
    </row>
    <row r="527" spans="1:9" ht="15.75" thickBot="1" x14ac:dyDescent="0.3">
      <c r="A527" s="1">
        <v>43800</v>
      </c>
      <c r="B527" s="8" t="s">
        <v>6</v>
      </c>
      <c r="C527" t="s">
        <v>7</v>
      </c>
      <c r="D527" t="s">
        <v>145</v>
      </c>
      <c r="E527" t="s">
        <v>15</v>
      </c>
      <c r="F527" s="9">
        <v>5804.7</v>
      </c>
      <c r="G527" s="7">
        <v>8837.5759999999991</v>
      </c>
      <c r="H527" s="8">
        <f t="shared" si="8"/>
        <v>8837.5759999999991</v>
      </c>
      <c r="I527" s="10">
        <v>6</v>
      </c>
    </row>
    <row r="528" spans="1:9" ht="15.75" thickBot="1" x14ac:dyDescent="0.3">
      <c r="A528" s="1">
        <v>43800</v>
      </c>
      <c r="B528" s="8" t="s">
        <v>6</v>
      </c>
      <c r="C528" t="s">
        <v>7</v>
      </c>
      <c r="D528" t="s">
        <v>145</v>
      </c>
      <c r="E528" t="s">
        <v>10</v>
      </c>
      <c r="F528" s="9">
        <v>1073.74</v>
      </c>
      <c r="G528" s="7">
        <v>-95575.928</v>
      </c>
      <c r="H528" s="8">
        <f t="shared" si="8"/>
        <v>-95.575928000000005</v>
      </c>
      <c r="I528" s="10">
        <v>25</v>
      </c>
    </row>
    <row r="529" spans="1:9" ht="15.75" thickBot="1" x14ac:dyDescent="0.3">
      <c r="A529" s="1">
        <v>43800</v>
      </c>
      <c r="B529" s="8" t="s">
        <v>6</v>
      </c>
      <c r="C529" t="s">
        <v>7</v>
      </c>
      <c r="D529" t="s">
        <v>145</v>
      </c>
      <c r="E529" t="s">
        <v>11</v>
      </c>
      <c r="F529" s="9">
        <v>321708.73</v>
      </c>
      <c r="G529" s="7">
        <v>36655.481</v>
      </c>
      <c r="H529" s="8">
        <f t="shared" si="8"/>
        <v>36655.481</v>
      </c>
      <c r="I529" s="10">
        <v>9</v>
      </c>
    </row>
    <row r="530" spans="1:9" ht="15.75" thickBot="1" x14ac:dyDescent="0.3">
      <c r="A530" s="1">
        <v>43466</v>
      </c>
      <c r="B530" s="8" t="s">
        <v>6</v>
      </c>
      <c r="C530" t="s">
        <v>7</v>
      </c>
      <c r="D530" t="s">
        <v>145</v>
      </c>
      <c r="E530" t="s">
        <v>13</v>
      </c>
      <c r="F530" s="9">
        <v>837.64</v>
      </c>
      <c r="G530" s="4">
        <v>27</v>
      </c>
      <c r="H530" s="8">
        <f t="shared" si="8"/>
        <v>27</v>
      </c>
      <c r="I530" s="10">
        <v>1</v>
      </c>
    </row>
    <row r="531" spans="1:9" ht="15.75" thickBot="1" x14ac:dyDescent="0.3">
      <c r="A531" s="1">
        <v>43466</v>
      </c>
      <c r="B531" s="8" t="s">
        <v>6</v>
      </c>
      <c r="C531" t="s">
        <v>7</v>
      </c>
      <c r="D531" t="s">
        <v>146</v>
      </c>
      <c r="E531" t="s">
        <v>9</v>
      </c>
      <c r="F531" s="9">
        <v>70946.84</v>
      </c>
      <c r="G531" s="4">
        <v>2195</v>
      </c>
      <c r="H531" s="8">
        <f t="shared" si="8"/>
        <v>2195</v>
      </c>
      <c r="I531" s="10">
        <v>7</v>
      </c>
    </row>
    <row r="532" spans="1:9" ht="15.75" thickBot="1" x14ac:dyDescent="0.3">
      <c r="A532" s="1">
        <v>43466</v>
      </c>
      <c r="B532" s="8" t="s">
        <v>6</v>
      </c>
      <c r="C532" t="s">
        <v>7</v>
      </c>
      <c r="D532" t="s">
        <v>146</v>
      </c>
      <c r="E532" t="s">
        <v>10</v>
      </c>
      <c r="F532" s="9">
        <v>8786.36</v>
      </c>
      <c r="G532" s="6">
        <v>334000</v>
      </c>
      <c r="H532" s="8">
        <f t="shared" si="8"/>
        <v>334</v>
      </c>
      <c r="I532" s="10">
        <v>5</v>
      </c>
    </row>
    <row r="533" spans="1:9" ht="15.75" thickBot="1" x14ac:dyDescent="0.3">
      <c r="A533" s="1">
        <v>43800</v>
      </c>
      <c r="B533" s="8" t="s">
        <v>6</v>
      </c>
      <c r="C533" t="s">
        <v>7</v>
      </c>
      <c r="D533" t="s">
        <v>146</v>
      </c>
      <c r="E533" t="s">
        <v>11</v>
      </c>
      <c r="F533" s="9">
        <v>81.569999999999993</v>
      </c>
      <c r="G533" s="5">
        <v>0</v>
      </c>
      <c r="H533" s="8">
        <f t="shared" si="8"/>
        <v>0</v>
      </c>
      <c r="I533" s="10">
        <v>1</v>
      </c>
    </row>
    <row r="534" spans="1:9" ht="15.75" thickBot="1" x14ac:dyDescent="0.3">
      <c r="A534" s="1">
        <v>43800</v>
      </c>
      <c r="B534" s="8" t="s">
        <v>6</v>
      </c>
      <c r="C534" t="s">
        <v>7</v>
      </c>
      <c r="D534" t="s">
        <v>146</v>
      </c>
      <c r="E534" t="s">
        <v>13</v>
      </c>
      <c r="F534" s="9">
        <v>81.569999999999993</v>
      </c>
      <c r="G534" s="5">
        <v>0</v>
      </c>
      <c r="H534" s="8">
        <f t="shared" si="8"/>
        <v>0</v>
      </c>
      <c r="I534" s="10">
        <v>1</v>
      </c>
    </row>
    <row r="535" spans="1:9" ht="15.75" thickBot="1" x14ac:dyDescent="0.3">
      <c r="A535" s="1">
        <v>43800</v>
      </c>
      <c r="B535" s="8" t="s">
        <v>6</v>
      </c>
      <c r="C535" t="s">
        <v>7</v>
      </c>
      <c r="D535" t="s">
        <v>147</v>
      </c>
      <c r="E535" t="s">
        <v>11</v>
      </c>
      <c r="F535" s="9">
        <v>147195.82999999999</v>
      </c>
      <c r="G535" s="4">
        <v>5199</v>
      </c>
      <c r="H535" s="8">
        <f t="shared" si="8"/>
        <v>5199</v>
      </c>
      <c r="I535" s="10">
        <v>4</v>
      </c>
    </row>
    <row r="536" spans="1:9" ht="15.75" thickBot="1" x14ac:dyDescent="0.3">
      <c r="A536" s="1">
        <v>43800</v>
      </c>
      <c r="B536" s="8" t="s">
        <v>6</v>
      </c>
      <c r="C536" t="s">
        <v>7</v>
      </c>
      <c r="D536" t="s">
        <v>148</v>
      </c>
      <c r="E536" t="s">
        <v>9</v>
      </c>
      <c r="F536" s="9">
        <v>171531.85</v>
      </c>
      <c r="G536" s="4">
        <v>5821</v>
      </c>
      <c r="H536" s="8">
        <f t="shared" si="8"/>
        <v>5821</v>
      </c>
      <c r="I536" s="10">
        <v>2</v>
      </c>
    </row>
    <row r="537" spans="1:9" ht="15.75" thickBot="1" x14ac:dyDescent="0.3">
      <c r="A537" s="1">
        <v>43466</v>
      </c>
      <c r="B537" s="8" t="s">
        <v>6</v>
      </c>
      <c r="C537" t="s">
        <v>7</v>
      </c>
      <c r="D537" t="s">
        <v>148</v>
      </c>
      <c r="E537" t="s">
        <v>15</v>
      </c>
      <c r="F537" s="9">
        <v>0</v>
      </c>
      <c r="G537" s="4">
        <v>458</v>
      </c>
      <c r="H537" s="8">
        <f t="shared" si="8"/>
        <v>458</v>
      </c>
      <c r="I537" s="10">
        <v>1</v>
      </c>
    </row>
    <row r="538" spans="1:9" ht="15.75" thickBot="1" x14ac:dyDescent="0.3">
      <c r="A538" s="1">
        <v>43466</v>
      </c>
      <c r="B538" s="8" t="s">
        <v>6</v>
      </c>
      <c r="C538" t="s">
        <v>7</v>
      </c>
      <c r="D538" t="s">
        <v>148</v>
      </c>
      <c r="E538" t="s">
        <v>10</v>
      </c>
      <c r="F538" s="9">
        <v>251.09</v>
      </c>
      <c r="G538" s="6">
        <v>2142.857</v>
      </c>
      <c r="H538" s="8">
        <f t="shared" si="8"/>
        <v>2.1428569999999998</v>
      </c>
      <c r="I538" s="10">
        <v>3</v>
      </c>
    </row>
    <row r="539" spans="1:9" ht="15.75" thickBot="1" x14ac:dyDescent="0.3">
      <c r="A539" s="1">
        <v>43466</v>
      </c>
      <c r="B539" s="8" t="s">
        <v>6</v>
      </c>
      <c r="C539" t="s">
        <v>7</v>
      </c>
      <c r="D539" t="s">
        <v>148</v>
      </c>
      <c r="E539" t="s">
        <v>11</v>
      </c>
      <c r="F539" s="9">
        <v>10630.29</v>
      </c>
      <c r="G539" s="4">
        <v>156</v>
      </c>
      <c r="H539" s="8">
        <f t="shared" si="8"/>
        <v>156</v>
      </c>
      <c r="I539" s="10">
        <v>9</v>
      </c>
    </row>
    <row r="540" spans="1:9" ht="15.75" thickBot="1" x14ac:dyDescent="0.3">
      <c r="A540" s="1">
        <v>43800</v>
      </c>
      <c r="B540" s="8" t="s">
        <v>6</v>
      </c>
      <c r="C540" t="s">
        <v>7</v>
      </c>
      <c r="D540" t="s">
        <v>149</v>
      </c>
      <c r="E540" t="s">
        <v>9</v>
      </c>
      <c r="F540" s="9">
        <v>4349298.16</v>
      </c>
      <c r="G540" s="7">
        <v>2428878.9750000001</v>
      </c>
      <c r="H540" s="8">
        <f t="shared" si="8"/>
        <v>2428878.9750000001</v>
      </c>
      <c r="I540" s="10">
        <v>635</v>
      </c>
    </row>
    <row r="541" spans="1:9" ht="15.75" thickBot="1" x14ac:dyDescent="0.3">
      <c r="A541" s="1">
        <v>43800</v>
      </c>
      <c r="B541" s="8" t="s">
        <v>6</v>
      </c>
      <c r="C541" t="s">
        <v>7</v>
      </c>
      <c r="D541" t="s">
        <v>149</v>
      </c>
      <c r="E541" t="s">
        <v>15</v>
      </c>
      <c r="F541" s="9">
        <v>214053.2</v>
      </c>
      <c r="G541" s="4">
        <v>6811</v>
      </c>
      <c r="H541" s="8">
        <f t="shared" si="8"/>
        <v>6811</v>
      </c>
      <c r="I541" s="10">
        <v>49</v>
      </c>
    </row>
    <row r="542" spans="1:9" ht="15.75" thickBot="1" x14ac:dyDescent="0.3">
      <c r="A542" s="1">
        <v>43800</v>
      </c>
      <c r="B542" s="8" t="s">
        <v>6</v>
      </c>
      <c r="C542" t="s">
        <v>7</v>
      </c>
      <c r="D542" t="s">
        <v>149</v>
      </c>
      <c r="E542" t="s">
        <v>10</v>
      </c>
      <c r="F542" s="9">
        <v>593380.03</v>
      </c>
      <c r="G542" s="7">
        <v>24758057.583000001</v>
      </c>
      <c r="H542" s="8">
        <f t="shared" si="8"/>
        <v>24758.057583000002</v>
      </c>
      <c r="I542" s="10">
        <v>138</v>
      </c>
    </row>
    <row r="543" spans="1:9" ht="15.75" thickBot="1" x14ac:dyDescent="0.3">
      <c r="A543" s="1">
        <v>43800</v>
      </c>
      <c r="B543" s="8" t="s">
        <v>6</v>
      </c>
      <c r="C543" t="s">
        <v>7</v>
      </c>
      <c r="D543" t="s">
        <v>149</v>
      </c>
      <c r="E543" t="s">
        <v>17</v>
      </c>
      <c r="F543" s="9">
        <v>191690.9</v>
      </c>
      <c r="G543" s="7">
        <v>529337.451</v>
      </c>
      <c r="H543" s="8">
        <f t="shared" si="8"/>
        <v>529337.451</v>
      </c>
      <c r="I543" s="10">
        <v>51</v>
      </c>
    </row>
    <row r="544" spans="1:9" ht="15.75" thickBot="1" x14ac:dyDescent="0.3">
      <c r="A544" s="1">
        <v>43466</v>
      </c>
      <c r="B544" s="8" t="s">
        <v>6</v>
      </c>
      <c r="C544" t="s">
        <v>7</v>
      </c>
      <c r="D544" t="s">
        <v>149</v>
      </c>
      <c r="E544" t="s">
        <v>11</v>
      </c>
      <c r="F544" s="9">
        <v>210707.38</v>
      </c>
      <c r="G544" s="7">
        <v>1238563.1980000001</v>
      </c>
      <c r="H544" s="8">
        <f t="shared" si="8"/>
        <v>1238563.1980000001</v>
      </c>
      <c r="I544" s="10">
        <v>218</v>
      </c>
    </row>
    <row r="545" spans="1:9" ht="15.75" thickBot="1" x14ac:dyDescent="0.3">
      <c r="A545" s="1">
        <v>43466</v>
      </c>
      <c r="B545" s="8" t="s">
        <v>6</v>
      </c>
      <c r="C545" t="s">
        <v>7</v>
      </c>
      <c r="D545" t="s">
        <v>149</v>
      </c>
      <c r="E545" t="s">
        <v>13</v>
      </c>
      <c r="F545" s="9">
        <v>91283.65</v>
      </c>
      <c r="G545" s="7">
        <v>367976.61800000002</v>
      </c>
      <c r="H545" s="8">
        <f t="shared" si="8"/>
        <v>367976.61800000002</v>
      </c>
      <c r="I545" s="10">
        <v>12</v>
      </c>
    </row>
    <row r="546" spans="1:9" ht="15.75" thickBot="1" x14ac:dyDescent="0.3">
      <c r="A546" s="1">
        <v>43466</v>
      </c>
      <c r="B546" s="8" t="s">
        <v>6</v>
      </c>
      <c r="C546" t="s">
        <v>7</v>
      </c>
      <c r="D546" t="s">
        <v>150</v>
      </c>
      <c r="E546" t="s">
        <v>9</v>
      </c>
      <c r="F546" s="9">
        <v>3188</v>
      </c>
      <c r="G546" s="4">
        <v>100</v>
      </c>
      <c r="H546" s="8">
        <f t="shared" si="8"/>
        <v>100</v>
      </c>
      <c r="I546" s="10">
        <v>5</v>
      </c>
    </row>
    <row r="547" spans="1:9" ht="15.75" thickBot="1" x14ac:dyDescent="0.3">
      <c r="A547" s="1">
        <v>43800</v>
      </c>
      <c r="B547" s="8" t="s">
        <v>6</v>
      </c>
      <c r="C547" t="s">
        <v>7</v>
      </c>
      <c r="D547" t="s">
        <v>150</v>
      </c>
      <c r="E547" t="s">
        <v>15</v>
      </c>
      <c r="F547" s="9">
        <v>2559.42</v>
      </c>
      <c r="G547" s="4">
        <v>15</v>
      </c>
      <c r="H547" s="8">
        <f t="shared" si="8"/>
        <v>15</v>
      </c>
      <c r="I547" s="10">
        <v>8</v>
      </c>
    </row>
    <row r="548" spans="1:9" ht="15.75" thickBot="1" x14ac:dyDescent="0.3">
      <c r="A548" s="1">
        <v>43800</v>
      </c>
      <c r="B548" s="8" t="s">
        <v>6</v>
      </c>
      <c r="C548" t="s">
        <v>7</v>
      </c>
      <c r="D548" t="s">
        <v>150</v>
      </c>
      <c r="E548" t="s">
        <v>10</v>
      </c>
      <c r="F548" s="9">
        <v>231466.09</v>
      </c>
      <c r="G548" s="6">
        <v>7099505.5999999996</v>
      </c>
      <c r="H548" s="8">
        <f t="shared" si="8"/>
        <v>7099.5055999999995</v>
      </c>
      <c r="I548" s="10">
        <v>780</v>
      </c>
    </row>
    <row r="549" spans="1:9" ht="15.75" thickBot="1" x14ac:dyDescent="0.3">
      <c r="A549" s="1">
        <v>43800</v>
      </c>
      <c r="B549" s="8" t="s">
        <v>6</v>
      </c>
      <c r="C549" t="s">
        <v>7</v>
      </c>
      <c r="D549" t="s">
        <v>150</v>
      </c>
      <c r="E549" t="s">
        <v>11</v>
      </c>
      <c r="F549" s="9">
        <v>3576.05</v>
      </c>
      <c r="G549" s="4">
        <v>77</v>
      </c>
      <c r="H549" s="8">
        <f t="shared" si="8"/>
        <v>77</v>
      </c>
      <c r="I549" s="10">
        <v>17</v>
      </c>
    </row>
    <row r="550" spans="1:9" ht="15.75" thickBot="1" x14ac:dyDescent="0.3">
      <c r="A550" s="1">
        <v>43800</v>
      </c>
      <c r="B550" s="8" t="s">
        <v>6</v>
      </c>
      <c r="C550" t="s">
        <v>7</v>
      </c>
      <c r="D550" t="s">
        <v>150</v>
      </c>
      <c r="E550" t="s">
        <v>13</v>
      </c>
      <c r="F550" s="9">
        <v>434.98</v>
      </c>
      <c r="G550" s="6">
        <v>14000</v>
      </c>
      <c r="H550" s="8">
        <f t="shared" si="8"/>
        <v>14000</v>
      </c>
      <c r="I550" s="10">
        <v>2</v>
      </c>
    </row>
    <row r="551" spans="1:9" ht="15.75" thickBot="1" x14ac:dyDescent="0.3">
      <c r="A551" s="1">
        <v>43466</v>
      </c>
      <c r="B551" s="8" t="s">
        <v>6</v>
      </c>
      <c r="C551" t="s">
        <v>7</v>
      </c>
      <c r="D551" t="s">
        <v>151</v>
      </c>
      <c r="E551" t="s">
        <v>9</v>
      </c>
      <c r="F551" s="9">
        <v>17584.12</v>
      </c>
      <c r="G551" s="4">
        <v>516</v>
      </c>
      <c r="H551" s="8">
        <f t="shared" si="8"/>
        <v>516</v>
      </c>
      <c r="I551" s="10">
        <v>16</v>
      </c>
    </row>
    <row r="552" spans="1:9" ht="15.75" thickBot="1" x14ac:dyDescent="0.3">
      <c r="A552" s="1">
        <v>43466</v>
      </c>
      <c r="B552" s="8" t="s">
        <v>6</v>
      </c>
      <c r="C552" t="s">
        <v>7</v>
      </c>
      <c r="D552" t="s">
        <v>151</v>
      </c>
      <c r="E552" t="s">
        <v>15</v>
      </c>
      <c r="F552" s="9">
        <v>40888.92</v>
      </c>
      <c r="G552" s="4">
        <v>487386</v>
      </c>
      <c r="H552" s="8">
        <f t="shared" si="8"/>
        <v>487386</v>
      </c>
      <c r="I552" s="10">
        <v>19</v>
      </c>
    </row>
    <row r="553" spans="1:9" ht="15.75" thickBot="1" x14ac:dyDescent="0.3">
      <c r="A553" s="1">
        <v>43466</v>
      </c>
      <c r="B553" s="8" t="s">
        <v>6</v>
      </c>
      <c r="C553" t="s">
        <v>7</v>
      </c>
      <c r="D553" t="s">
        <v>151</v>
      </c>
      <c r="E553" t="s">
        <v>10</v>
      </c>
      <c r="F553" s="9">
        <v>2599.42</v>
      </c>
      <c r="G553" s="7">
        <v>835015</v>
      </c>
      <c r="H553" s="8">
        <f t="shared" si="8"/>
        <v>835.01499999999999</v>
      </c>
      <c r="I553" s="10">
        <v>88</v>
      </c>
    </row>
    <row r="554" spans="1:9" ht="15.75" thickBot="1" x14ac:dyDescent="0.3">
      <c r="A554" s="1">
        <v>43800</v>
      </c>
      <c r="B554" s="8" t="s">
        <v>6</v>
      </c>
      <c r="C554" t="s">
        <v>7</v>
      </c>
      <c r="D554" t="s">
        <v>151</v>
      </c>
      <c r="E554" t="s">
        <v>11</v>
      </c>
      <c r="F554" s="9">
        <v>1485.81</v>
      </c>
      <c r="G554" s="4">
        <v>2</v>
      </c>
      <c r="H554" s="8">
        <f t="shared" si="8"/>
        <v>2</v>
      </c>
      <c r="I554" s="10">
        <v>2</v>
      </c>
    </row>
    <row r="555" spans="1:9" ht="15.75" thickBot="1" x14ac:dyDescent="0.3">
      <c r="A555" s="1">
        <v>43800</v>
      </c>
      <c r="B555" s="8" t="s">
        <v>6</v>
      </c>
      <c r="C555" t="s">
        <v>7</v>
      </c>
      <c r="D555" t="s">
        <v>152</v>
      </c>
      <c r="E555" t="s">
        <v>10</v>
      </c>
      <c r="F555" s="9">
        <v>7418.42</v>
      </c>
      <c r="G555" s="6">
        <v>199000</v>
      </c>
      <c r="H555" s="8">
        <f t="shared" si="8"/>
        <v>199</v>
      </c>
      <c r="I555" s="10">
        <v>28</v>
      </c>
    </row>
    <row r="556" spans="1:9" ht="15.75" thickBot="1" x14ac:dyDescent="0.3">
      <c r="A556" s="1">
        <v>43800</v>
      </c>
      <c r="B556" s="8" t="s">
        <v>6</v>
      </c>
      <c r="C556" t="s">
        <v>7</v>
      </c>
      <c r="D556" t="s">
        <v>152</v>
      </c>
      <c r="E556" t="s">
        <v>11</v>
      </c>
      <c r="F556" s="9">
        <v>2490.36</v>
      </c>
      <c r="G556" s="4">
        <v>84</v>
      </c>
      <c r="H556" s="8">
        <f t="shared" si="8"/>
        <v>84</v>
      </c>
      <c r="I556" s="10">
        <v>2</v>
      </c>
    </row>
    <row r="557" spans="1:9" ht="15.75" thickBot="1" x14ac:dyDescent="0.3">
      <c r="A557" s="1">
        <v>43800</v>
      </c>
      <c r="B557" s="8" t="s">
        <v>6</v>
      </c>
      <c r="C557" t="s">
        <v>7</v>
      </c>
      <c r="D557" t="s">
        <v>153</v>
      </c>
      <c r="E557" t="s">
        <v>10</v>
      </c>
      <c r="F557" s="9">
        <v>489.42</v>
      </c>
      <c r="G557" s="5">
        <v>0</v>
      </c>
      <c r="H557" s="8">
        <f t="shared" si="8"/>
        <v>0</v>
      </c>
      <c r="I557" s="10">
        <v>6</v>
      </c>
    </row>
    <row r="558" spans="1:9" ht="15.75" thickBot="1" x14ac:dyDescent="0.3">
      <c r="A558" s="1">
        <v>43466</v>
      </c>
      <c r="B558" s="8" t="s">
        <v>6</v>
      </c>
      <c r="C558" t="s">
        <v>7</v>
      </c>
      <c r="D558" t="s">
        <v>154</v>
      </c>
      <c r="E558" t="s">
        <v>9</v>
      </c>
      <c r="F558" s="9">
        <v>590458.73</v>
      </c>
      <c r="G558" s="4">
        <v>13816</v>
      </c>
      <c r="H558" s="8">
        <f t="shared" si="8"/>
        <v>13816</v>
      </c>
      <c r="I558" s="10">
        <v>104</v>
      </c>
    </row>
    <row r="559" spans="1:9" ht="15.75" thickBot="1" x14ac:dyDescent="0.3">
      <c r="A559" s="1">
        <v>43466</v>
      </c>
      <c r="B559" s="8" t="s">
        <v>6</v>
      </c>
      <c r="C559" t="s">
        <v>7</v>
      </c>
      <c r="D559" t="s">
        <v>154</v>
      </c>
      <c r="E559" t="s">
        <v>15</v>
      </c>
      <c r="F559" s="9">
        <v>2686.1</v>
      </c>
      <c r="G559" s="4">
        <v>21</v>
      </c>
      <c r="H559" s="8">
        <f t="shared" si="8"/>
        <v>21</v>
      </c>
      <c r="I559" s="10">
        <v>5</v>
      </c>
    </row>
    <row r="560" spans="1:9" ht="15.75" thickBot="1" x14ac:dyDescent="0.3">
      <c r="A560" s="1">
        <v>43466</v>
      </c>
      <c r="B560" s="8" t="s">
        <v>6</v>
      </c>
      <c r="C560" t="s">
        <v>7</v>
      </c>
      <c r="D560" t="s">
        <v>154</v>
      </c>
      <c r="E560" t="s">
        <v>10</v>
      </c>
      <c r="F560" s="9">
        <v>895605.42</v>
      </c>
      <c r="G560" s="7">
        <v>20252617.421</v>
      </c>
      <c r="H560" s="8">
        <f t="shared" si="8"/>
        <v>20252.617420999999</v>
      </c>
      <c r="I560" s="10">
        <v>499</v>
      </c>
    </row>
    <row r="561" spans="1:9" ht="15.75" thickBot="1" x14ac:dyDescent="0.3">
      <c r="A561" s="1">
        <v>43800</v>
      </c>
      <c r="B561" s="8" t="s">
        <v>6</v>
      </c>
      <c r="C561" t="s">
        <v>7</v>
      </c>
      <c r="D561" t="s">
        <v>154</v>
      </c>
      <c r="E561" t="s">
        <v>17</v>
      </c>
      <c r="F561" s="9">
        <v>22440.44</v>
      </c>
      <c r="G561" s="4">
        <v>567</v>
      </c>
      <c r="H561" s="8">
        <f t="shared" si="8"/>
        <v>567</v>
      </c>
      <c r="I561" s="10">
        <v>4</v>
      </c>
    </row>
    <row r="562" spans="1:9" ht="15.75" thickBot="1" x14ac:dyDescent="0.3">
      <c r="A562" s="1">
        <v>43800</v>
      </c>
      <c r="B562" s="8" t="s">
        <v>6</v>
      </c>
      <c r="C562" t="s">
        <v>7</v>
      </c>
      <c r="D562" t="s">
        <v>154</v>
      </c>
      <c r="E562" t="s">
        <v>11</v>
      </c>
      <c r="F562" s="9">
        <v>138107.87</v>
      </c>
      <c r="G562" s="7">
        <v>1015417</v>
      </c>
      <c r="H562" s="8">
        <f t="shared" si="8"/>
        <v>1015417</v>
      </c>
      <c r="I562" s="10">
        <v>34</v>
      </c>
    </row>
    <row r="563" spans="1:9" ht="15.75" thickBot="1" x14ac:dyDescent="0.3">
      <c r="A563" s="1">
        <v>43800</v>
      </c>
      <c r="B563" s="8" t="s">
        <v>6</v>
      </c>
      <c r="C563" t="s">
        <v>7</v>
      </c>
      <c r="D563" t="s">
        <v>154</v>
      </c>
      <c r="E563" t="s">
        <v>13</v>
      </c>
      <c r="F563" s="9">
        <v>12913.77</v>
      </c>
      <c r="G563" s="7">
        <v>73113</v>
      </c>
      <c r="H563" s="8">
        <f t="shared" si="8"/>
        <v>73113</v>
      </c>
      <c r="I563" s="10">
        <v>10</v>
      </c>
    </row>
    <row r="564" spans="1:9" ht="15.75" thickBot="1" x14ac:dyDescent="0.3">
      <c r="A564" s="1">
        <v>43800</v>
      </c>
      <c r="B564" s="8" t="s">
        <v>6</v>
      </c>
      <c r="C564" t="s">
        <v>7</v>
      </c>
      <c r="D564" t="s">
        <v>155</v>
      </c>
      <c r="E564" t="s">
        <v>15</v>
      </c>
      <c r="F564" s="9">
        <v>3375.07</v>
      </c>
      <c r="G564" s="4">
        <v>16</v>
      </c>
      <c r="H564" s="8">
        <f t="shared" si="8"/>
        <v>16</v>
      </c>
      <c r="I564" s="10">
        <v>3</v>
      </c>
    </row>
    <row r="565" spans="1:9" ht="15.75" thickBot="1" x14ac:dyDescent="0.3">
      <c r="A565" s="1">
        <v>43466</v>
      </c>
      <c r="B565" s="8" t="s">
        <v>6</v>
      </c>
      <c r="C565" t="s">
        <v>7</v>
      </c>
      <c r="D565" t="s">
        <v>155</v>
      </c>
      <c r="E565" t="s">
        <v>10</v>
      </c>
      <c r="F565" s="9">
        <v>43404.92</v>
      </c>
      <c r="G565" s="6">
        <v>1468644.3230000001</v>
      </c>
      <c r="H565" s="8">
        <f t="shared" si="8"/>
        <v>1468.644323</v>
      </c>
      <c r="I565" s="10">
        <v>131</v>
      </c>
    </row>
    <row r="566" spans="1:9" ht="15.75" thickBot="1" x14ac:dyDescent="0.3">
      <c r="A566" s="1">
        <v>43466</v>
      </c>
      <c r="B566" s="8" t="s">
        <v>6</v>
      </c>
      <c r="C566" t="s">
        <v>7</v>
      </c>
      <c r="D566" t="s">
        <v>155</v>
      </c>
      <c r="E566" t="s">
        <v>11</v>
      </c>
      <c r="F566" s="9">
        <v>209.28</v>
      </c>
      <c r="G566" s="4">
        <v>4</v>
      </c>
      <c r="H566" s="8">
        <f t="shared" si="8"/>
        <v>4</v>
      </c>
      <c r="I566" s="10">
        <v>1</v>
      </c>
    </row>
    <row r="567" spans="1:9" ht="15.75" thickBot="1" x14ac:dyDescent="0.3">
      <c r="A567" s="1">
        <v>43466</v>
      </c>
      <c r="B567" s="8" t="s">
        <v>6</v>
      </c>
      <c r="C567" t="s">
        <v>7</v>
      </c>
      <c r="D567" t="s">
        <v>155</v>
      </c>
      <c r="E567" t="s">
        <v>13</v>
      </c>
      <c r="F567" s="9">
        <v>147.32</v>
      </c>
      <c r="G567" s="6">
        <v>6000</v>
      </c>
      <c r="H567" s="8">
        <f t="shared" si="8"/>
        <v>6000</v>
      </c>
      <c r="I567" s="10">
        <v>1</v>
      </c>
    </row>
    <row r="568" spans="1:9" ht="15.75" thickBot="1" x14ac:dyDescent="0.3">
      <c r="A568" s="1">
        <v>43800</v>
      </c>
      <c r="B568" s="8" t="s">
        <v>6</v>
      </c>
      <c r="C568" t="s">
        <v>7</v>
      </c>
      <c r="D568" t="s">
        <v>156</v>
      </c>
      <c r="E568" t="s">
        <v>9</v>
      </c>
      <c r="F568" s="9">
        <v>19576.04</v>
      </c>
      <c r="G568" s="4">
        <v>664</v>
      </c>
      <c r="H568" s="8">
        <f t="shared" si="8"/>
        <v>664</v>
      </c>
      <c r="I568" s="10">
        <v>3</v>
      </c>
    </row>
    <row r="569" spans="1:9" ht="15.75" thickBot="1" x14ac:dyDescent="0.3">
      <c r="A569" s="1">
        <v>43800</v>
      </c>
      <c r="B569" s="8" t="s">
        <v>6</v>
      </c>
      <c r="C569" t="s">
        <v>7</v>
      </c>
      <c r="D569" t="s">
        <v>156</v>
      </c>
      <c r="E569" t="s">
        <v>15</v>
      </c>
      <c r="F569" s="9">
        <v>3742.52</v>
      </c>
      <c r="G569" s="4">
        <v>16</v>
      </c>
      <c r="H569" s="8">
        <f t="shared" si="8"/>
        <v>16</v>
      </c>
      <c r="I569" s="10">
        <v>5</v>
      </c>
    </row>
    <row r="570" spans="1:9" ht="15.75" thickBot="1" x14ac:dyDescent="0.3">
      <c r="A570" s="1">
        <v>43800</v>
      </c>
      <c r="B570" s="8" t="s">
        <v>6</v>
      </c>
      <c r="C570" t="s">
        <v>7</v>
      </c>
      <c r="D570" t="s">
        <v>156</v>
      </c>
      <c r="E570" t="s">
        <v>10</v>
      </c>
      <c r="F570" s="9">
        <v>86488.69</v>
      </c>
      <c r="G570" s="6">
        <v>2858275.3909999998</v>
      </c>
      <c r="H570" s="8">
        <f t="shared" si="8"/>
        <v>2858.2753909999997</v>
      </c>
      <c r="I570" s="10">
        <v>281</v>
      </c>
    </row>
    <row r="571" spans="1:9" ht="15.75" thickBot="1" x14ac:dyDescent="0.3">
      <c r="A571" s="1">
        <v>43800</v>
      </c>
      <c r="B571" s="8" t="s">
        <v>6</v>
      </c>
      <c r="C571" t="s">
        <v>7</v>
      </c>
      <c r="D571" t="s">
        <v>156</v>
      </c>
      <c r="E571" t="s">
        <v>11</v>
      </c>
      <c r="F571" s="9">
        <v>290.45999999999998</v>
      </c>
      <c r="G571" s="4">
        <v>1</v>
      </c>
      <c r="H571" s="8">
        <f t="shared" si="8"/>
        <v>1</v>
      </c>
      <c r="I571" s="10">
        <v>3</v>
      </c>
    </row>
    <row r="572" spans="1:9" ht="15.75" thickBot="1" x14ac:dyDescent="0.3">
      <c r="A572" s="1">
        <v>43466</v>
      </c>
      <c r="B572" s="8" t="s">
        <v>6</v>
      </c>
      <c r="C572" t="s">
        <v>7</v>
      </c>
      <c r="D572" t="s">
        <v>156</v>
      </c>
      <c r="E572" t="s">
        <v>13</v>
      </c>
      <c r="F572" s="9">
        <v>1194.46</v>
      </c>
      <c r="G572" s="6">
        <v>39000</v>
      </c>
      <c r="H572" s="8">
        <f t="shared" si="8"/>
        <v>39000</v>
      </c>
      <c r="I572" s="10">
        <v>3</v>
      </c>
    </row>
    <row r="573" spans="1:9" ht="15.75" thickBot="1" x14ac:dyDescent="0.3">
      <c r="A573" s="1">
        <v>43466</v>
      </c>
      <c r="B573" s="8" t="s">
        <v>6</v>
      </c>
      <c r="C573" t="s">
        <v>7</v>
      </c>
      <c r="D573" t="s">
        <v>157</v>
      </c>
      <c r="E573" t="s">
        <v>10</v>
      </c>
      <c r="F573" s="9">
        <v>535.77</v>
      </c>
      <c r="G573" s="6">
        <v>1488309.9990000001</v>
      </c>
      <c r="H573" s="8">
        <f t="shared" si="8"/>
        <v>1488.3099990000001</v>
      </c>
      <c r="I573" s="10">
        <v>199</v>
      </c>
    </row>
    <row r="574" spans="1:9" ht="15.75" thickBot="1" x14ac:dyDescent="0.3">
      <c r="A574" s="1">
        <v>43466</v>
      </c>
      <c r="B574" s="8" t="s">
        <v>6</v>
      </c>
      <c r="C574" t="s">
        <v>7</v>
      </c>
      <c r="D574" t="s">
        <v>157</v>
      </c>
      <c r="E574" t="s">
        <v>11</v>
      </c>
      <c r="F574" s="9">
        <v>1875.8</v>
      </c>
      <c r="G574" s="4">
        <v>65</v>
      </c>
      <c r="H574" s="8">
        <f t="shared" si="8"/>
        <v>65</v>
      </c>
      <c r="I574" s="10">
        <v>1</v>
      </c>
    </row>
    <row r="575" spans="1:9" ht="15.75" thickBot="1" x14ac:dyDescent="0.3">
      <c r="A575" s="1">
        <v>43800</v>
      </c>
      <c r="B575" s="8" t="s">
        <v>6</v>
      </c>
      <c r="C575" t="s">
        <v>7</v>
      </c>
      <c r="D575" t="s">
        <v>157</v>
      </c>
      <c r="E575" t="s">
        <v>13</v>
      </c>
      <c r="F575" s="9">
        <v>0</v>
      </c>
      <c r="G575" s="6">
        <v>27000</v>
      </c>
      <c r="H575" s="8">
        <f t="shared" si="8"/>
        <v>27000</v>
      </c>
      <c r="I575" s="10">
        <v>1</v>
      </c>
    </row>
    <row r="576" spans="1:9" ht="15.75" thickBot="1" x14ac:dyDescent="0.3">
      <c r="A576" s="1">
        <v>43800</v>
      </c>
      <c r="B576" s="8" t="s">
        <v>6</v>
      </c>
      <c r="C576" t="s">
        <v>7</v>
      </c>
      <c r="D576" t="s">
        <v>158</v>
      </c>
      <c r="E576" t="s">
        <v>15</v>
      </c>
      <c r="F576" s="9">
        <v>100</v>
      </c>
      <c r="G576" s="4">
        <v>0</v>
      </c>
      <c r="H576" s="8">
        <f t="shared" si="8"/>
        <v>0</v>
      </c>
      <c r="I576" s="10">
        <v>1</v>
      </c>
    </row>
    <row r="577" spans="1:9" ht="15.75" thickBot="1" x14ac:dyDescent="0.3">
      <c r="A577" s="1">
        <v>43800</v>
      </c>
      <c r="B577" s="8" t="s">
        <v>6</v>
      </c>
      <c r="C577" t="s">
        <v>7</v>
      </c>
      <c r="D577" t="s">
        <v>158</v>
      </c>
      <c r="E577" t="s">
        <v>10</v>
      </c>
      <c r="F577" s="9">
        <v>2053.9499999999998</v>
      </c>
      <c r="G577" s="6">
        <v>1606893.956</v>
      </c>
      <c r="H577" s="8">
        <f t="shared" si="8"/>
        <v>1606.8939560000001</v>
      </c>
      <c r="I577" s="10">
        <v>202</v>
      </c>
    </row>
    <row r="578" spans="1:9" ht="15.75" thickBot="1" x14ac:dyDescent="0.3">
      <c r="A578" s="1">
        <v>43800</v>
      </c>
      <c r="B578" s="8" t="s">
        <v>6</v>
      </c>
      <c r="C578" t="s">
        <v>7</v>
      </c>
      <c r="D578" t="s">
        <v>158</v>
      </c>
      <c r="E578" t="s">
        <v>11</v>
      </c>
      <c r="F578" s="9">
        <v>329.2</v>
      </c>
      <c r="G578" s="4">
        <v>10</v>
      </c>
      <c r="H578" s="8">
        <f t="shared" ref="H578:H641" si="9">IF(ISNUMBER(SEARCH("Domestic customer", E578)),G578/1000,G578)</f>
        <v>10</v>
      </c>
      <c r="I578" s="10">
        <v>1</v>
      </c>
    </row>
    <row r="579" spans="1:9" ht="15.75" thickBot="1" x14ac:dyDescent="0.3">
      <c r="A579" s="1">
        <v>43466</v>
      </c>
      <c r="B579" s="8" t="s">
        <v>6</v>
      </c>
      <c r="C579" t="s">
        <v>7</v>
      </c>
      <c r="D579" t="s">
        <v>159</v>
      </c>
      <c r="E579" t="s">
        <v>9</v>
      </c>
      <c r="F579" s="9">
        <v>-206.99</v>
      </c>
      <c r="G579" s="4">
        <v>-47</v>
      </c>
      <c r="H579" s="8">
        <f t="shared" si="9"/>
        <v>-47</v>
      </c>
      <c r="I579" s="10">
        <v>1</v>
      </c>
    </row>
    <row r="580" spans="1:9" ht="15.75" thickBot="1" x14ac:dyDescent="0.3">
      <c r="A580" s="1">
        <v>43466</v>
      </c>
      <c r="B580" s="8" t="s">
        <v>6</v>
      </c>
      <c r="C580" t="s">
        <v>7</v>
      </c>
      <c r="D580" t="s">
        <v>159</v>
      </c>
      <c r="E580" t="s">
        <v>15</v>
      </c>
      <c r="F580" s="9">
        <v>11398.69</v>
      </c>
      <c r="G580" s="4">
        <v>299</v>
      </c>
      <c r="H580" s="8">
        <f t="shared" si="9"/>
        <v>299</v>
      </c>
      <c r="I580" s="10">
        <v>7</v>
      </c>
    </row>
    <row r="581" spans="1:9" ht="15.75" thickBot="1" x14ac:dyDescent="0.3">
      <c r="A581" s="1">
        <v>43466</v>
      </c>
      <c r="B581" s="8" t="s">
        <v>6</v>
      </c>
      <c r="C581" t="s">
        <v>7</v>
      </c>
      <c r="D581" t="s">
        <v>159</v>
      </c>
      <c r="E581" t="s">
        <v>10</v>
      </c>
      <c r="F581" s="9">
        <v>125073.02</v>
      </c>
      <c r="G581" s="6">
        <v>4601057.2589999996</v>
      </c>
      <c r="H581" s="8">
        <f t="shared" si="9"/>
        <v>4601.0572589999992</v>
      </c>
      <c r="I581" s="10">
        <v>405</v>
      </c>
    </row>
    <row r="582" spans="1:9" ht="15.75" thickBot="1" x14ac:dyDescent="0.3">
      <c r="A582" s="1">
        <v>43800</v>
      </c>
      <c r="B582" s="8" t="s">
        <v>6</v>
      </c>
      <c r="C582" t="s">
        <v>7</v>
      </c>
      <c r="D582" t="s">
        <v>159</v>
      </c>
      <c r="E582" t="s">
        <v>11</v>
      </c>
      <c r="F582" s="9">
        <v>45741.43</v>
      </c>
      <c r="G582" s="7">
        <v>429538.95699999999</v>
      </c>
      <c r="H582" s="8">
        <f t="shared" si="9"/>
        <v>429538.95699999999</v>
      </c>
      <c r="I582" s="10">
        <v>11</v>
      </c>
    </row>
    <row r="583" spans="1:9" ht="15.75" thickBot="1" x14ac:dyDescent="0.3">
      <c r="A583" s="1">
        <v>43800</v>
      </c>
      <c r="B583" s="8" t="s">
        <v>6</v>
      </c>
      <c r="C583" t="s">
        <v>7</v>
      </c>
      <c r="D583" t="s">
        <v>159</v>
      </c>
      <c r="E583" t="s">
        <v>13</v>
      </c>
      <c r="F583" s="9">
        <v>4344.45</v>
      </c>
      <c r="G583" s="6">
        <v>110000</v>
      </c>
      <c r="H583" s="8">
        <f t="shared" si="9"/>
        <v>110000</v>
      </c>
      <c r="I583" s="10">
        <v>3</v>
      </c>
    </row>
    <row r="584" spans="1:9" ht="15.75" thickBot="1" x14ac:dyDescent="0.3">
      <c r="A584" s="1">
        <v>43800</v>
      </c>
      <c r="B584" s="8" t="s">
        <v>6</v>
      </c>
      <c r="C584" t="s">
        <v>7</v>
      </c>
      <c r="D584" t="s">
        <v>160</v>
      </c>
      <c r="E584" t="s">
        <v>9</v>
      </c>
      <c r="F584" s="9">
        <v>3907.7</v>
      </c>
      <c r="G584" s="4">
        <v>125</v>
      </c>
      <c r="H584" s="8">
        <f t="shared" si="9"/>
        <v>125</v>
      </c>
      <c r="I584" s="10">
        <v>7</v>
      </c>
    </row>
    <row r="585" spans="1:9" ht="15.75" thickBot="1" x14ac:dyDescent="0.3">
      <c r="A585" s="1">
        <v>43800</v>
      </c>
      <c r="B585" s="8" t="s">
        <v>6</v>
      </c>
      <c r="C585" t="s">
        <v>7</v>
      </c>
      <c r="D585" t="s">
        <v>160</v>
      </c>
      <c r="E585" t="s">
        <v>15</v>
      </c>
      <c r="F585" s="9">
        <v>20182.82</v>
      </c>
      <c r="G585" s="7">
        <v>429076.48300000001</v>
      </c>
      <c r="H585" s="8">
        <f t="shared" si="9"/>
        <v>429076.48300000001</v>
      </c>
      <c r="I585" s="10">
        <v>5</v>
      </c>
    </row>
    <row r="586" spans="1:9" ht="15.75" thickBot="1" x14ac:dyDescent="0.3">
      <c r="A586" s="1">
        <v>43466</v>
      </c>
      <c r="B586" s="8" t="s">
        <v>6</v>
      </c>
      <c r="C586" t="s">
        <v>7</v>
      </c>
      <c r="D586" t="s">
        <v>160</v>
      </c>
      <c r="E586" t="s">
        <v>10</v>
      </c>
      <c r="F586" s="9">
        <v>255711.12</v>
      </c>
      <c r="G586" s="6">
        <v>10316527.950999999</v>
      </c>
      <c r="H586" s="8">
        <f t="shared" si="9"/>
        <v>10316.527951</v>
      </c>
      <c r="I586" s="10">
        <v>989</v>
      </c>
    </row>
    <row r="587" spans="1:9" ht="15.75" thickBot="1" x14ac:dyDescent="0.3">
      <c r="A587" s="1">
        <v>43466</v>
      </c>
      <c r="B587" s="8" t="s">
        <v>6</v>
      </c>
      <c r="C587" t="s">
        <v>7</v>
      </c>
      <c r="D587" t="s">
        <v>160</v>
      </c>
      <c r="E587" t="s">
        <v>11</v>
      </c>
      <c r="F587" s="9">
        <v>6210.45</v>
      </c>
      <c r="G587" s="7">
        <v>50098.754000000001</v>
      </c>
      <c r="H587" s="8">
        <f t="shared" si="9"/>
        <v>50098.754000000001</v>
      </c>
      <c r="I587" s="10">
        <v>7</v>
      </c>
    </row>
    <row r="588" spans="1:9" ht="15.75" thickBot="1" x14ac:dyDescent="0.3">
      <c r="A588" s="1">
        <v>43466</v>
      </c>
      <c r="B588" s="8" t="s">
        <v>6</v>
      </c>
      <c r="C588" t="s">
        <v>7</v>
      </c>
      <c r="D588" t="s">
        <v>160</v>
      </c>
      <c r="E588" t="s">
        <v>13</v>
      </c>
      <c r="F588" s="9">
        <v>1652.39</v>
      </c>
      <c r="G588" s="6">
        <v>55725</v>
      </c>
      <c r="H588" s="8">
        <f t="shared" si="9"/>
        <v>55725</v>
      </c>
      <c r="I588" s="10">
        <v>6</v>
      </c>
    </row>
    <row r="589" spans="1:9" ht="15.75" thickBot="1" x14ac:dyDescent="0.3">
      <c r="A589" s="1">
        <v>43800</v>
      </c>
      <c r="B589" s="8" t="s">
        <v>6</v>
      </c>
      <c r="C589" t="s">
        <v>7</v>
      </c>
      <c r="D589" t="s">
        <v>161</v>
      </c>
      <c r="E589" t="s">
        <v>9</v>
      </c>
      <c r="F589" s="9">
        <v>5055.88</v>
      </c>
      <c r="G589" s="4">
        <v>159</v>
      </c>
      <c r="H589" s="8">
        <f t="shared" si="9"/>
        <v>159</v>
      </c>
      <c r="I589" s="10">
        <v>4</v>
      </c>
    </row>
    <row r="590" spans="1:9" ht="15.75" thickBot="1" x14ac:dyDescent="0.3">
      <c r="A590" s="1">
        <v>43800</v>
      </c>
      <c r="B590" s="8" t="s">
        <v>6</v>
      </c>
      <c r="C590" t="s">
        <v>7</v>
      </c>
      <c r="D590" t="s">
        <v>161</v>
      </c>
      <c r="E590" t="s">
        <v>15</v>
      </c>
      <c r="F590" s="9">
        <v>8428.9599999999991</v>
      </c>
      <c r="G590" s="4">
        <v>228</v>
      </c>
      <c r="H590" s="8">
        <f t="shared" si="9"/>
        <v>228</v>
      </c>
      <c r="I590" s="10">
        <v>4</v>
      </c>
    </row>
    <row r="591" spans="1:9" ht="15.75" thickBot="1" x14ac:dyDescent="0.3">
      <c r="A591" s="1">
        <v>43800</v>
      </c>
      <c r="B591" s="8" t="s">
        <v>6</v>
      </c>
      <c r="C591" t="s">
        <v>7</v>
      </c>
      <c r="D591" t="s">
        <v>161</v>
      </c>
      <c r="E591" t="s">
        <v>10</v>
      </c>
      <c r="F591" s="9">
        <v>57496.43</v>
      </c>
      <c r="G591" s="6">
        <v>2080751.713</v>
      </c>
      <c r="H591" s="8">
        <f t="shared" si="9"/>
        <v>2080.7517130000001</v>
      </c>
      <c r="I591" s="10">
        <v>217</v>
      </c>
    </row>
    <row r="592" spans="1:9" ht="15.75" thickBot="1" x14ac:dyDescent="0.3">
      <c r="A592" s="1">
        <v>43800</v>
      </c>
      <c r="B592" s="8" t="s">
        <v>6</v>
      </c>
      <c r="C592" t="s">
        <v>7</v>
      </c>
      <c r="D592" t="s">
        <v>161</v>
      </c>
      <c r="E592" t="s">
        <v>11</v>
      </c>
      <c r="F592" s="9">
        <v>4043.16</v>
      </c>
      <c r="G592" s="4">
        <v>113</v>
      </c>
      <c r="H592" s="8">
        <f t="shared" si="9"/>
        <v>113</v>
      </c>
      <c r="I592" s="10">
        <v>3</v>
      </c>
    </row>
    <row r="593" spans="1:9" ht="15.75" thickBot="1" x14ac:dyDescent="0.3">
      <c r="A593" s="1">
        <v>43466</v>
      </c>
      <c r="B593" s="8" t="s">
        <v>6</v>
      </c>
      <c r="C593" t="s">
        <v>7</v>
      </c>
      <c r="D593" t="s">
        <v>162</v>
      </c>
      <c r="E593" t="s">
        <v>11</v>
      </c>
      <c r="F593" s="9">
        <v>3344.37</v>
      </c>
      <c r="G593" s="5">
        <v>0</v>
      </c>
      <c r="H593" s="8">
        <f t="shared" si="9"/>
        <v>0</v>
      </c>
      <c r="I593" s="10">
        <v>41</v>
      </c>
    </row>
    <row r="594" spans="1:9" ht="15.75" thickBot="1" x14ac:dyDescent="0.3">
      <c r="A594" s="1">
        <v>43466</v>
      </c>
      <c r="B594" s="8" t="s">
        <v>6</v>
      </c>
      <c r="C594" t="s">
        <v>7</v>
      </c>
      <c r="D594" t="s">
        <v>162</v>
      </c>
      <c r="E594" t="s">
        <v>13</v>
      </c>
      <c r="F594" s="9">
        <v>251524.92</v>
      </c>
      <c r="G594" s="4">
        <v>8586</v>
      </c>
      <c r="H594" s="8">
        <f t="shared" si="9"/>
        <v>8586</v>
      </c>
      <c r="I594" s="10">
        <v>2</v>
      </c>
    </row>
    <row r="595" spans="1:9" ht="15.75" thickBot="1" x14ac:dyDescent="0.3">
      <c r="A595" s="1">
        <v>43466</v>
      </c>
      <c r="B595" s="8" t="s">
        <v>6</v>
      </c>
      <c r="C595" t="s">
        <v>7</v>
      </c>
      <c r="D595" t="s">
        <v>163</v>
      </c>
      <c r="E595" t="s">
        <v>9</v>
      </c>
      <c r="F595" s="9">
        <v>624788.13</v>
      </c>
      <c r="G595" s="7">
        <v>395939.446</v>
      </c>
      <c r="H595" s="8">
        <f t="shared" si="9"/>
        <v>395939.446</v>
      </c>
      <c r="I595" s="10">
        <v>205</v>
      </c>
    </row>
    <row r="596" spans="1:9" ht="15.75" thickBot="1" x14ac:dyDescent="0.3">
      <c r="A596" s="1">
        <v>43800</v>
      </c>
      <c r="B596" s="8" t="s">
        <v>6</v>
      </c>
      <c r="C596" t="s">
        <v>7</v>
      </c>
      <c r="D596" t="s">
        <v>163</v>
      </c>
      <c r="E596" t="s">
        <v>15</v>
      </c>
      <c r="F596" s="9">
        <v>84451.55</v>
      </c>
      <c r="G596" s="7">
        <v>40007.525999999998</v>
      </c>
      <c r="H596" s="8">
        <f t="shared" si="9"/>
        <v>40007.525999999998</v>
      </c>
      <c r="I596" s="10">
        <v>33</v>
      </c>
    </row>
    <row r="597" spans="1:9" ht="15.75" thickBot="1" x14ac:dyDescent="0.3">
      <c r="A597" s="1">
        <v>43800</v>
      </c>
      <c r="B597" s="8" t="s">
        <v>6</v>
      </c>
      <c r="C597" t="s">
        <v>7</v>
      </c>
      <c r="D597" t="s">
        <v>163</v>
      </c>
      <c r="E597" t="s">
        <v>10</v>
      </c>
      <c r="F597" s="9">
        <v>2020674.4</v>
      </c>
      <c r="G597" s="7">
        <v>67691929.636000007</v>
      </c>
      <c r="H597" s="8">
        <f t="shared" si="9"/>
        <v>67691.929636000001</v>
      </c>
      <c r="I597" s="10">
        <v>4760</v>
      </c>
    </row>
    <row r="598" spans="1:9" ht="15.75" thickBot="1" x14ac:dyDescent="0.3">
      <c r="A598" s="1">
        <v>43800</v>
      </c>
      <c r="B598" s="8" t="s">
        <v>6</v>
      </c>
      <c r="C598" t="s">
        <v>7</v>
      </c>
      <c r="D598" t="s">
        <v>163</v>
      </c>
      <c r="E598" t="s">
        <v>17</v>
      </c>
      <c r="F598" s="9">
        <v>88129.67</v>
      </c>
      <c r="G598" s="4">
        <v>2658</v>
      </c>
      <c r="H598" s="8">
        <f t="shared" si="9"/>
        <v>2658</v>
      </c>
      <c r="I598" s="10">
        <v>21</v>
      </c>
    </row>
    <row r="599" spans="1:9" ht="15.75" thickBot="1" x14ac:dyDescent="0.3">
      <c r="A599" s="1">
        <v>43800</v>
      </c>
      <c r="B599" s="8" t="s">
        <v>6</v>
      </c>
      <c r="C599" t="s">
        <v>7</v>
      </c>
      <c r="D599" t="s">
        <v>163</v>
      </c>
      <c r="E599" t="s">
        <v>11</v>
      </c>
      <c r="F599" s="9">
        <v>215881.94</v>
      </c>
      <c r="G599" s="7">
        <v>470890.08199999999</v>
      </c>
      <c r="H599" s="8">
        <f t="shared" si="9"/>
        <v>470890.08199999999</v>
      </c>
      <c r="I599" s="10">
        <v>196</v>
      </c>
    </row>
    <row r="600" spans="1:9" ht="15.75" thickBot="1" x14ac:dyDescent="0.3">
      <c r="A600" s="1">
        <v>43466</v>
      </c>
      <c r="B600" s="8" t="s">
        <v>6</v>
      </c>
      <c r="C600" t="s">
        <v>7</v>
      </c>
      <c r="D600" t="s">
        <v>163</v>
      </c>
      <c r="E600" t="s">
        <v>13</v>
      </c>
      <c r="F600" s="9">
        <v>41836.480000000003</v>
      </c>
      <c r="G600" s="7">
        <v>846969.95499999996</v>
      </c>
      <c r="H600" s="8">
        <f t="shared" si="9"/>
        <v>846969.95499999996</v>
      </c>
      <c r="I600" s="10">
        <v>39</v>
      </c>
    </row>
    <row r="601" spans="1:9" ht="15.75" thickBot="1" x14ac:dyDescent="0.3">
      <c r="A601" s="1">
        <v>43466</v>
      </c>
      <c r="B601" s="8" t="s">
        <v>6</v>
      </c>
      <c r="C601" t="s">
        <v>7</v>
      </c>
      <c r="D601" t="s">
        <v>164</v>
      </c>
      <c r="E601" t="s">
        <v>9</v>
      </c>
      <c r="F601" s="9">
        <v>4616.32</v>
      </c>
      <c r="G601" s="4">
        <v>134</v>
      </c>
      <c r="H601" s="8">
        <f t="shared" si="9"/>
        <v>134</v>
      </c>
      <c r="I601" s="10">
        <v>10</v>
      </c>
    </row>
    <row r="602" spans="1:9" ht="15.75" thickBot="1" x14ac:dyDescent="0.3">
      <c r="A602" s="1">
        <v>43466</v>
      </c>
      <c r="B602" s="8" t="s">
        <v>6</v>
      </c>
      <c r="C602" t="s">
        <v>7</v>
      </c>
      <c r="D602" t="s">
        <v>164</v>
      </c>
      <c r="E602" t="s">
        <v>15</v>
      </c>
      <c r="F602" s="9">
        <v>414340.66</v>
      </c>
      <c r="G602" s="7">
        <v>6113078.9129999997</v>
      </c>
      <c r="H602" s="8">
        <f t="shared" si="9"/>
        <v>6113078.9129999997</v>
      </c>
      <c r="I602" s="10">
        <v>26</v>
      </c>
    </row>
    <row r="603" spans="1:9" ht="15.75" thickBot="1" x14ac:dyDescent="0.3">
      <c r="A603" s="1">
        <v>43800</v>
      </c>
      <c r="B603" s="8" t="s">
        <v>6</v>
      </c>
      <c r="C603" t="s">
        <v>7</v>
      </c>
      <c r="D603" t="s">
        <v>164</v>
      </c>
      <c r="E603" t="s">
        <v>10</v>
      </c>
      <c r="F603" s="9">
        <v>123928.82</v>
      </c>
      <c r="G603" s="6">
        <v>5106430.7139999997</v>
      </c>
      <c r="H603" s="8">
        <f t="shared" si="9"/>
        <v>5106.4307140000001</v>
      </c>
      <c r="I603" s="10">
        <v>562</v>
      </c>
    </row>
    <row r="604" spans="1:9" ht="15.75" thickBot="1" x14ac:dyDescent="0.3">
      <c r="A604" s="1">
        <v>43800</v>
      </c>
      <c r="B604" s="8" t="s">
        <v>6</v>
      </c>
      <c r="C604" t="s">
        <v>7</v>
      </c>
      <c r="D604" t="s">
        <v>164</v>
      </c>
      <c r="E604" t="s">
        <v>11</v>
      </c>
      <c r="F604" s="9">
        <v>5070.6400000000003</v>
      </c>
      <c r="G604" s="4">
        <v>105</v>
      </c>
      <c r="H604" s="8">
        <f t="shared" si="9"/>
        <v>105</v>
      </c>
      <c r="I604" s="10">
        <v>8</v>
      </c>
    </row>
    <row r="605" spans="1:9" ht="15.75" thickBot="1" x14ac:dyDescent="0.3">
      <c r="A605" s="1">
        <v>43800</v>
      </c>
      <c r="B605" s="8" t="s">
        <v>6</v>
      </c>
      <c r="C605" t="s">
        <v>7</v>
      </c>
      <c r="D605" t="s">
        <v>164</v>
      </c>
      <c r="E605" t="s">
        <v>13</v>
      </c>
      <c r="F605" s="9">
        <v>611.4</v>
      </c>
      <c r="G605" s="6">
        <v>30000</v>
      </c>
      <c r="H605" s="8">
        <f t="shared" si="9"/>
        <v>30000</v>
      </c>
      <c r="I605" s="10">
        <v>3</v>
      </c>
    </row>
    <row r="606" spans="1:9" ht="15.75" thickBot="1" x14ac:dyDescent="0.3">
      <c r="A606" s="1">
        <v>43800</v>
      </c>
      <c r="B606" s="8" t="s">
        <v>6</v>
      </c>
      <c r="C606" t="s">
        <v>7</v>
      </c>
      <c r="D606" t="s">
        <v>165</v>
      </c>
      <c r="E606" t="s">
        <v>9</v>
      </c>
      <c r="F606" s="9">
        <v>6724.49</v>
      </c>
      <c r="G606" s="7">
        <v>87001</v>
      </c>
      <c r="H606" s="8">
        <f t="shared" si="9"/>
        <v>87001</v>
      </c>
      <c r="I606" s="10">
        <v>2</v>
      </c>
    </row>
    <row r="607" spans="1:9" ht="15.75" thickBot="1" x14ac:dyDescent="0.3">
      <c r="A607" s="1">
        <v>43466</v>
      </c>
      <c r="B607" s="8" t="s">
        <v>6</v>
      </c>
      <c r="C607" t="s">
        <v>7</v>
      </c>
      <c r="D607" t="s">
        <v>165</v>
      </c>
      <c r="E607" t="s">
        <v>15</v>
      </c>
      <c r="F607" s="9">
        <v>13284.33</v>
      </c>
      <c r="G607" s="4">
        <v>346</v>
      </c>
      <c r="H607" s="8">
        <f t="shared" si="9"/>
        <v>346</v>
      </c>
      <c r="I607" s="10">
        <v>4</v>
      </c>
    </row>
    <row r="608" spans="1:9" ht="15.75" thickBot="1" x14ac:dyDescent="0.3">
      <c r="A608" s="1">
        <v>43466</v>
      </c>
      <c r="B608" s="8" t="s">
        <v>6</v>
      </c>
      <c r="C608" t="s">
        <v>7</v>
      </c>
      <c r="D608" t="s">
        <v>165</v>
      </c>
      <c r="E608" t="s">
        <v>10</v>
      </c>
      <c r="F608" s="9">
        <v>325825.11</v>
      </c>
      <c r="G608" s="7">
        <v>7807145.0970000001</v>
      </c>
      <c r="H608" s="8">
        <f t="shared" si="9"/>
        <v>7807.1450969999996</v>
      </c>
      <c r="I608" s="10">
        <v>226</v>
      </c>
    </row>
    <row r="609" spans="1:9" ht="15.75" thickBot="1" x14ac:dyDescent="0.3">
      <c r="A609" s="1">
        <v>43466</v>
      </c>
      <c r="B609" s="8" t="s">
        <v>6</v>
      </c>
      <c r="C609" t="s">
        <v>7</v>
      </c>
      <c r="D609" t="s">
        <v>165</v>
      </c>
      <c r="E609" t="s">
        <v>11</v>
      </c>
      <c r="F609" s="9">
        <v>7206.7</v>
      </c>
      <c r="G609" s="7">
        <v>71081.517999999996</v>
      </c>
      <c r="H609" s="8">
        <f t="shared" si="9"/>
        <v>71081.517999999996</v>
      </c>
      <c r="I609" s="10">
        <v>8</v>
      </c>
    </row>
    <row r="610" spans="1:9" ht="15.75" thickBot="1" x14ac:dyDescent="0.3">
      <c r="A610" s="1">
        <v>43800</v>
      </c>
      <c r="B610" s="8" t="s">
        <v>6</v>
      </c>
      <c r="C610" t="s">
        <v>7</v>
      </c>
      <c r="D610" t="s">
        <v>165</v>
      </c>
      <c r="E610" t="s">
        <v>13</v>
      </c>
      <c r="F610" s="9">
        <v>1266.74</v>
      </c>
      <c r="G610" s="6">
        <v>43000</v>
      </c>
      <c r="H610" s="8">
        <f t="shared" si="9"/>
        <v>43000</v>
      </c>
      <c r="I610" s="10">
        <v>3</v>
      </c>
    </row>
    <row r="611" spans="1:9" ht="15.75" thickBot="1" x14ac:dyDescent="0.3">
      <c r="A611" s="1">
        <v>43800</v>
      </c>
      <c r="B611" s="8" t="s">
        <v>6</v>
      </c>
      <c r="C611" t="s">
        <v>7</v>
      </c>
      <c r="D611" t="s">
        <v>166</v>
      </c>
      <c r="E611" t="s">
        <v>9</v>
      </c>
      <c r="F611" s="9">
        <v>6907.69</v>
      </c>
      <c r="G611" s="4">
        <v>227</v>
      </c>
      <c r="H611" s="8">
        <f t="shared" si="9"/>
        <v>227</v>
      </c>
      <c r="I611" s="10">
        <v>3</v>
      </c>
    </row>
    <row r="612" spans="1:9" ht="15.75" thickBot="1" x14ac:dyDescent="0.3">
      <c r="A612" s="1">
        <v>43800</v>
      </c>
      <c r="B612" s="8" t="s">
        <v>6</v>
      </c>
      <c r="C612" t="s">
        <v>7</v>
      </c>
      <c r="D612" t="s">
        <v>166</v>
      </c>
      <c r="E612" t="s">
        <v>15</v>
      </c>
      <c r="F612" s="9">
        <v>2287.6</v>
      </c>
      <c r="G612" s="4">
        <v>51</v>
      </c>
      <c r="H612" s="8">
        <f t="shared" si="9"/>
        <v>51</v>
      </c>
      <c r="I612" s="10">
        <v>3</v>
      </c>
    </row>
    <row r="613" spans="1:9" ht="15.75" thickBot="1" x14ac:dyDescent="0.3">
      <c r="A613" s="1">
        <v>43800</v>
      </c>
      <c r="B613" s="8" t="s">
        <v>6</v>
      </c>
      <c r="C613" t="s">
        <v>7</v>
      </c>
      <c r="D613" t="s">
        <v>166</v>
      </c>
      <c r="E613" t="s">
        <v>10</v>
      </c>
      <c r="F613" s="9">
        <v>66446.97</v>
      </c>
      <c r="G613" s="6">
        <v>1796259.044</v>
      </c>
      <c r="H613" s="8">
        <f t="shared" si="9"/>
        <v>1796.2590439999999</v>
      </c>
      <c r="I613" s="10">
        <v>304</v>
      </c>
    </row>
    <row r="614" spans="1:9" ht="15.75" thickBot="1" x14ac:dyDescent="0.3">
      <c r="A614" s="1">
        <v>43466</v>
      </c>
      <c r="B614" s="8" t="s">
        <v>6</v>
      </c>
      <c r="C614" t="s">
        <v>7</v>
      </c>
      <c r="D614" t="s">
        <v>166</v>
      </c>
      <c r="E614" t="s">
        <v>11</v>
      </c>
      <c r="F614" s="9">
        <v>407.85</v>
      </c>
      <c r="G614" s="5">
        <v>0</v>
      </c>
      <c r="H614" s="8">
        <f t="shared" si="9"/>
        <v>0</v>
      </c>
      <c r="I614" s="10">
        <v>5</v>
      </c>
    </row>
    <row r="615" spans="1:9" ht="15.75" thickBot="1" x14ac:dyDescent="0.3">
      <c r="A615" s="1">
        <v>43466</v>
      </c>
      <c r="B615" s="8" t="s">
        <v>6</v>
      </c>
      <c r="C615" t="s">
        <v>7</v>
      </c>
      <c r="D615" t="s">
        <v>166</v>
      </c>
      <c r="E615" t="s">
        <v>13</v>
      </c>
      <c r="F615" s="9">
        <v>916.24</v>
      </c>
      <c r="G615" s="6">
        <v>18000</v>
      </c>
      <c r="H615" s="8">
        <f t="shared" si="9"/>
        <v>18000</v>
      </c>
      <c r="I615" s="10">
        <v>6</v>
      </c>
    </row>
    <row r="616" spans="1:9" ht="15.75" thickBot="1" x14ac:dyDescent="0.3">
      <c r="A616" s="1">
        <v>43466</v>
      </c>
      <c r="B616" s="8" t="s">
        <v>6</v>
      </c>
      <c r="C616" t="s">
        <v>7</v>
      </c>
      <c r="D616" t="s">
        <v>167</v>
      </c>
      <c r="E616" t="s">
        <v>9</v>
      </c>
      <c r="F616" s="9">
        <v>6500.51</v>
      </c>
      <c r="G616" s="4">
        <v>210</v>
      </c>
      <c r="H616" s="8">
        <f t="shared" si="9"/>
        <v>210</v>
      </c>
      <c r="I616" s="10">
        <v>2</v>
      </c>
    </row>
    <row r="617" spans="1:9" ht="15.75" thickBot="1" x14ac:dyDescent="0.3">
      <c r="A617" s="1">
        <v>43800</v>
      </c>
      <c r="B617" s="8" t="s">
        <v>6</v>
      </c>
      <c r="C617" t="s">
        <v>7</v>
      </c>
      <c r="D617" t="s">
        <v>167</v>
      </c>
      <c r="E617" t="s">
        <v>15</v>
      </c>
      <c r="F617" s="9">
        <v>12032.59</v>
      </c>
      <c r="G617" s="7">
        <v>9814.1139999999996</v>
      </c>
      <c r="H617" s="8">
        <f t="shared" si="9"/>
        <v>9814.1139999999996</v>
      </c>
      <c r="I617" s="10">
        <v>13</v>
      </c>
    </row>
    <row r="618" spans="1:9" ht="15.75" thickBot="1" x14ac:dyDescent="0.3">
      <c r="A618" s="1">
        <v>43800</v>
      </c>
      <c r="B618" s="8" t="s">
        <v>6</v>
      </c>
      <c r="C618" t="s">
        <v>7</v>
      </c>
      <c r="D618" t="s">
        <v>167</v>
      </c>
      <c r="E618" t="s">
        <v>10</v>
      </c>
      <c r="F618" s="9">
        <v>415226.97</v>
      </c>
      <c r="G618" s="6">
        <v>14468142.434</v>
      </c>
      <c r="H618" s="8">
        <f t="shared" si="9"/>
        <v>14468.142434000001</v>
      </c>
      <c r="I618" s="10">
        <v>1502</v>
      </c>
    </row>
    <row r="619" spans="1:9" ht="15.75" thickBot="1" x14ac:dyDescent="0.3">
      <c r="A619" s="1">
        <v>43800</v>
      </c>
      <c r="B619" s="8" t="s">
        <v>6</v>
      </c>
      <c r="C619" t="s">
        <v>7</v>
      </c>
      <c r="D619" t="s">
        <v>167</v>
      </c>
      <c r="E619" t="s">
        <v>11</v>
      </c>
      <c r="F619" s="9">
        <v>10587.93</v>
      </c>
      <c r="G619" s="7">
        <v>284504.19799999997</v>
      </c>
      <c r="H619" s="8">
        <f t="shared" si="9"/>
        <v>284504.19799999997</v>
      </c>
      <c r="I619" s="10">
        <v>63</v>
      </c>
    </row>
    <row r="620" spans="1:9" ht="15.75" thickBot="1" x14ac:dyDescent="0.3">
      <c r="A620" s="1">
        <v>43800</v>
      </c>
      <c r="B620" s="8" t="s">
        <v>6</v>
      </c>
      <c r="C620" t="s">
        <v>7</v>
      </c>
      <c r="D620" t="s">
        <v>167</v>
      </c>
      <c r="E620" t="s">
        <v>13</v>
      </c>
      <c r="F620" s="9">
        <v>1202.3499999999999</v>
      </c>
      <c r="G620" s="6">
        <v>41000</v>
      </c>
      <c r="H620" s="8">
        <f t="shared" si="9"/>
        <v>41000</v>
      </c>
      <c r="I620" s="10">
        <v>2</v>
      </c>
    </row>
    <row r="621" spans="1:9" ht="15.75" thickBot="1" x14ac:dyDescent="0.3">
      <c r="A621" s="1">
        <v>43466</v>
      </c>
      <c r="B621" s="8" t="s">
        <v>6</v>
      </c>
      <c r="C621" t="s">
        <v>7</v>
      </c>
      <c r="D621" t="s">
        <v>168</v>
      </c>
      <c r="E621" t="s">
        <v>9</v>
      </c>
      <c r="F621" s="9">
        <v>2346.16</v>
      </c>
      <c r="G621" s="4">
        <v>63</v>
      </c>
      <c r="H621" s="8">
        <f t="shared" si="9"/>
        <v>63</v>
      </c>
      <c r="I621" s="10">
        <v>1</v>
      </c>
    </row>
    <row r="622" spans="1:9" ht="15.75" thickBot="1" x14ac:dyDescent="0.3">
      <c r="A622" s="1">
        <v>43466</v>
      </c>
      <c r="B622" s="8" t="s">
        <v>6</v>
      </c>
      <c r="C622" t="s">
        <v>7</v>
      </c>
      <c r="D622" t="s">
        <v>168</v>
      </c>
      <c r="E622" t="s">
        <v>15</v>
      </c>
      <c r="F622" s="9">
        <v>39312.85</v>
      </c>
      <c r="G622" s="7">
        <v>67756.703999999998</v>
      </c>
      <c r="H622" s="8">
        <f t="shared" si="9"/>
        <v>67756.703999999998</v>
      </c>
      <c r="I622" s="10">
        <v>36</v>
      </c>
    </row>
    <row r="623" spans="1:9" ht="15.75" thickBot="1" x14ac:dyDescent="0.3">
      <c r="A623" s="1">
        <v>43466</v>
      </c>
      <c r="B623" s="8" t="s">
        <v>6</v>
      </c>
      <c r="C623" t="s">
        <v>7</v>
      </c>
      <c r="D623" t="s">
        <v>168</v>
      </c>
      <c r="E623" t="s">
        <v>10</v>
      </c>
      <c r="F623" s="9">
        <v>194206.27</v>
      </c>
      <c r="G623" s="6">
        <v>7749315.9550000001</v>
      </c>
      <c r="H623" s="8">
        <f t="shared" si="9"/>
        <v>7749.315955</v>
      </c>
      <c r="I623" s="10">
        <v>932</v>
      </c>
    </row>
    <row r="624" spans="1:9" ht="15.75" thickBot="1" x14ac:dyDescent="0.3">
      <c r="A624" s="1">
        <v>43800</v>
      </c>
      <c r="B624" s="8" t="s">
        <v>6</v>
      </c>
      <c r="C624" t="s">
        <v>7</v>
      </c>
      <c r="D624" t="s">
        <v>168</v>
      </c>
      <c r="E624" t="s">
        <v>11</v>
      </c>
      <c r="F624" s="9">
        <v>38287.339999999997</v>
      </c>
      <c r="G624" s="4">
        <v>1065</v>
      </c>
      <c r="H624" s="8">
        <f t="shared" si="9"/>
        <v>1065</v>
      </c>
      <c r="I624" s="10">
        <v>9</v>
      </c>
    </row>
    <row r="625" spans="1:9" ht="15.75" thickBot="1" x14ac:dyDescent="0.3">
      <c r="A625" s="1">
        <v>43800</v>
      </c>
      <c r="B625" s="8" t="s">
        <v>6</v>
      </c>
      <c r="C625" t="s">
        <v>7</v>
      </c>
      <c r="D625" t="s">
        <v>168</v>
      </c>
      <c r="E625" t="s">
        <v>13</v>
      </c>
      <c r="F625" s="9">
        <v>742.26</v>
      </c>
      <c r="G625" s="6">
        <v>40000</v>
      </c>
      <c r="H625" s="8">
        <f t="shared" si="9"/>
        <v>40000</v>
      </c>
      <c r="I625" s="10">
        <v>4</v>
      </c>
    </row>
    <row r="626" spans="1:9" ht="15.75" thickBot="1" x14ac:dyDescent="0.3">
      <c r="A626" s="1">
        <v>43800</v>
      </c>
      <c r="B626" s="8" t="s">
        <v>6</v>
      </c>
      <c r="C626" t="s">
        <v>7</v>
      </c>
      <c r="D626" t="s">
        <v>169</v>
      </c>
      <c r="E626" t="s">
        <v>9</v>
      </c>
      <c r="F626" s="9">
        <v>213285.21</v>
      </c>
      <c r="G626" s="7">
        <v>51287.08</v>
      </c>
      <c r="H626" s="8">
        <f t="shared" si="9"/>
        <v>51287.08</v>
      </c>
      <c r="I626" s="10">
        <v>27</v>
      </c>
    </row>
    <row r="627" spans="1:9" ht="15.75" thickBot="1" x14ac:dyDescent="0.3">
      <c r="A627" s="1">
        <v>43800</v>
      </c>
      <c r="B627" s="8" t="s">
        <v>6</v>
      </c>
      <c r="C627" t="s">
        <v>7</v>
      </c>
      <c r="D627" t="s">
        <v>169</v>
      </c>
      <c r="E627" t="s">
        <v>15</v>
      </c>
      <c r="F627" s="9">
        <v>10150.790000000001</v>
      </c>
      <c r="G627" s="7">
        <v>18850.144</v>
      </c>
      <c r="H627" s="8">
        <f t="shared" si="9"/>
        <v>18850.144</v>
      </c>
      <c r="I627" s="10">
        <v>35</v>
      </c>
    </row>
    <row r="628" spans="1:9" ht="15.75" thickBot="1" x14ac:dyDescent="0.3">
      <c r="A628" s="1">
        <v>43466</v>
      </c>
      <c r="B628" s="8" t="s">
        <v>6</v>
      </c>
      <c r="C628" t="s">
        <v>7</v>
      </c>
      <c r="D628" t="s">
        <v>169</v>
      </c>
      <c r="E628" t="s">
        <v>10</v>
      </c>
      <c r="F628" s="9">
        <v>1619566.41</v>
      </c>
      <c r="G628" s="7">
        <v>43940344.416000001</v>
      </c>
      <c r="H628" s="8">
        <f t="shared" si="9"/>
        <v>43940.344416</v>
      </c>
      <c r="I628" s="10">
        <v>3773</v>
      </c>
    </row>
    <row r="629" spans="1:9" ht="15.75" thickBot="1" x14ac:dyDescent="0.3">
      <c r="A629" s="1">
        <v>43466</v>
      </c>
      <c r="B629" s="8" t="s">
        <v>6</v>
      </c>
      <c r="C629" t="s">
        <v>7</v>
      </c>
      <c r="D629" t="s">
        <v>169</v>
      </c>
      <c r="E629" t="s">
        <v>17</v>
      </c>
      <c r="F629" s="9">
        <v>45017.599999999999</v>
      </c>
      <c r="G629" s="4">
        <v>1519</v>
      </c>
      <c r="H629" s="8">
        <f t="shared" si="9"/>
        <v>1519</v>
      </c>
      <c r="I629" s="10">
        <v>4</v>
      </c>
    </row>
    <row r="630" spans="1:9" ht="15.75" thickBot="1" x14ac:dyDescent="0.3">
      <c r="A630" s="1">
        <v>43466</v>
      </c>
      <c r="B630" s="8" t="s">
        <v>6</v>
      </c>
      <c r="C630" t="s">
        <v>7</v>
      </c>
      <c r="D630" t="s">
        <v>169</v>
      </c>
      <c r="E630" t="s">
        <v>11</v>
      </c>
      <c r="F630" s="9">
        <v>176920.57</v>
      </c>
      <c r="G630" s="7">
        <v>943501.22199999995</v>
      </c>
      <c r="H630" s="8">
        <f t="shared" si="9"/>
        <v>943501.22199999995</v>
      </c>
      <c r="I630" s="10">
        <v>71</v>
      </c>
    </row>
    <row r="631" spans="1:9" ht="15.75" thickBot="1" x14ac:dyDescent="0.3">
      <c r="A631" s="1">
        <v>43800</v>
      </c>
      <c r="B631" s="8" t="s">
        <v>6</v>
      </c>
      <c r="C631" t="s">
        <v>7</v>
      </c>
      <c r="D631" t="s">
        <v>169</v>
      </c>
      <c r="E631" t="s">
        <v>13</v>
      </c>
      <c r="F631" s="9">
        <v>10086.01</v>
      </c>
      <c r="G631" s="7">
        <v>311221.766</v>
      </c>
      <c r="H631" s="8">
        <f t="shared" si="9"/>
        <v>311221.766</v>
      </c>
      <c r="I631" s="10">
        <v>29</v>
      </c>
    </row>
    <row r="632" spans="1:9" ht="15.75" thickBot="1" x14ac:dyDescent="0.3">
      <c r="A632" s="1">
        <v>43800</v>
      </c>
      <c r="B632" s="8" t="s">
        <v>6</v>
      </c>
      <c r="C632" t="s">
        <v>7</v>
      </c>
      <c r="D632" t="s">
        <v>170</v>
      </c>
      <c r="E632" t="s">
        <v>9</v>
      </c>
      <c r="F632" s="9">
        <v>3734.44</v>
      </c>
      <c r="G632" s="4">
        <v>127</v>
      </c>
      <c r="H632" s="8">
        <f t="shared" si="9"/>
        <v>127</v>
      </c>
      <c r="I632" s="10">
        <v>2</v>
      </c>
    </row>
    <row r="633" spans="1:9" ht="15.75" thickBot="1" x14ac:dyDescent="0.3">
      <c r="A633" s="1">
        <v>43800</v>
      </c>
      <c r="B633" s="8" t="s">
        <v>6</v>
      </c>
      <c r="C633" t="s">
        <v>7</v>
      </c>
      <c r="D633" t="s">
        <v>170</v>
      </c>
      <c r="E633" t="s">
        <v>11</v>
      </c>
      <c r="F633" s="9">
        <v>91433.56</v>
      </c>
      <c r="G633" s="4">
        <v>2787</v>
      </c>
      <c r="H633" s="8">
        <f t="shared" si="9"/>
        <v>2787</v>
      </c>
      <c r="I633" s="10">
        <v>3</v>
      </c>
    </row>
    <row r="634" spans="1:9" ht="15.75" thickBot="1" x14ac:dyDescent="0.3">
      <c r="A634" s="1">
        <v>43800</v>
      </c>
      <c r="B634" s="8" t="s">
        <v>6</v>
      </c>
      <c r="C634" t="s">
        <v>7</v>
      </c>
      <c r="D634" t="s">
        <v>171</v>
      </c>
      <c r="E634" t="s">
        <v>9</v>
      </c>
      <c r="F634" s="9">
        <v>24728.82</v>
      </c>
      <c r="G634" s="4">
        <v>810</v>
      </c>
      <c r="H634" s="8">
        <f t="shared" si="9"/>
        <v>810</v>
      </c>
      <c r="I634" s="10">
        <v>24</v>
      </c>
    </row>
    <row r="635" spans="1:9" ht="15.75" thickBot="1" x14ac:dyDescent="0.3">
      <c r="A635" s="1">
        <v>43466</v>
      </c>
      <c r="B635" s="8" t="s">
        <v>6</v>
      </c>
      <c r="C635" t="s">
        <v>7</v>
      </c>
      <c r="D635" t="s">
        <v>171</v>
      </c>
      <c r="E635" t="s">
        <v>15</v>
      </c>
      <c r="F635" s="9">
        <v>9932.86</v>
      </c>
      <c r="G635" s="4">
        <v>238</v>
      </c>
      <c r="H635" s="8">
        <f t="shared" si="9"/>
        <v>238</v>
      </c>
      <c r="I635" s="10">
        <v>12</v>
      </c>
    </row>
    <row r="636" spans="1:9" ht="15.75" thickBot="1" x14ac:dyDescent="0.3">
      <c r="A636" s="1">
        <v>43466</v>
      </c>
      <c r="B636" s="8" t="s">
        <v>6</v>
      </c>
      <c r="C636" t="s">
        <v>7</v>
      </c>
      <c r="D636" t="s">
        <v>171</v>
      </c>
      <c r="E636" t="s">
        <v>10</v>
      </c>
      <c r="F636" s="9">
        <v>239899.92</v>
      </c>
      <c r="G636" s="6">
        <v>8493474.2829999998</v>
      </c>
      <c r="H636" s="8">
        <f t="shared" si="9"/>
        <v>8493.4742829999996</v>
      </c>
      <c r="I636" s="10">
        <v>698</v>
      </c>
    </row>
    <row r="637" spans="1:9" ht="15.75" thickBot="1" x14ac:dyDescent="0.3">
      <c r="A637" s="1">
        <v>43466</v>
      </c>
      <c r="B637" s="8" t="s">
        <v>6</v>
      </c>
      <c r="C637" t="s">
        <v>7</v>
      </c>
      <c r="D637" t="s">
        <v>171</v>
      </c>
      <c r="E637" t="s">
        <v>11</v>
      </c>
      <c r="F637" s="9">
        <v>13158.33</v>
      </c>
      <c r="G637" s="4">
        <v>414</v>
      </c>
      <c r="H637" s="8">
        <f t="shared" si="9"/>
        <v>414</v>
      </c>
      <c r="I637" s="10">
        <v>14</v>
      </c>
    </row>
    <row r="638" spans="1:9" ht="15.75" thickBot="1" x14ac:dyDescent="0.3">
      <c r="A638" s="1">
        <v>43800</v>
      </c>
      <c r="B638" s="8" t="s">
        <v>6</v>
      </c>
      <c r="C638" t="s">
        <v>7</v>
      </c>
      <c r="D638" t="s">
        <v>171</v>
      </c>
      <c r="E638" t="s">
        <v>13</v>
      </c>
      <c r="F638" s="9">
        <v>2207.0500000000002</v>
      </c>
      <c r="G638" s="6">
        <v>78536.362999999998</v>
      </c>
      <c r="H638" s="8">
        <f t="shared" si="9"/>
        <v>78536.362999999998</v>
      </c>
      <c r="I638" s="10">
        <v>7</v>
      </c>
    </row>
    <row r="639" spans="1:9" ht="15.75" thickBot="1" x14ac:dyDescent="0.3">
      <c r="A639" s="1">
        <v>43800</v>
      </c>
      <c r="B639" s="8" t="s">
        <v>6</v>
      </c>
      <c r="C639" t="s">
        <v>7</v>
      </c>
      <c r="D639" t="s">
        <v>172</v>
      </c>
      <c r="E639" t="s">
        <v>9</v>
      </c>
      <c r="F639" s="9">
        <v>25495.32</v>
      </c>
      <c r="G639" s="4">
        <v>842</v>
      </c>
      <c r="H639" s="8">
        <f t="shared" si="9"/>
        <v>842</v>
      </c>
      <c r="I639" s="10">
        <v>12</v>
      </c>
    </row>
    <row r="640" spans="1:9" ht="15.75" thickBot="1" x14ac:dyDescent="0.3">
      <c r="A640" s="1">
        <v>43800</v>
      </c>
      <c r="B640" s="8" t="s">
        <v>6</v>
      </c>
      <c r="C640" t="s">
        <v>7</v>
      </c>
      <c r="D640" t="s">
        <v>172</v>
      </c>
      <c r="E640" t="s">
        <v>15</v>
      </c>
      <c r="F640" s="9">
        <v>1748.8</v>
      </c>
      <c r="G640" s="4">
        <v>40</v>
      </c>
      <c r="H640" s="8">
        <f t="shared" si="9"/>
        <v>40</v>
      </c>
      <c r="I640" s="10">
        <v>3</v>
      </c>
    </row>
    <row r="641" spans="1:9" ht="15.75" thickBot="1" x14ac:dyDescent="0.3">
      <c r="A641" s="1">
        <v>43800</v>
      </c>
      <c r="B641" s="8" t="s">
        <v>6</v>
      </c>
      <c r="C641" t="s">
        <v>7</v>
      </c>
      <c r="D641" t="s">
        <v>172</v>
      </c>
      <c r="E641" t="s">
        <v>10</v>
      </c>
      <c r="F641" s="9">
        <v>510504.27</v>
      </c>
      <c r="G641" s="6">
        <v>17039359.963</v>
      </c>
      <c r="H641" s="8">
        <f t="shared" si="9"/>
        <v>17039.359962999999</v>
      </c>
      <c r="I641" s="10">
        <v>1351</v>
      </c>
    </row>
    <row r="642" spans="1:9" ht="15.75" thickBot="1" x14ac:dyDescent="0.3">
      <c r="A642" s="1">
        <v>43466</v>
      </c>
      <c r="B642" s="8" t="s">
        <v>6</v>
      </c>
      <c r="C642" t="s">
        <v>7</v>
      </c>
      <c r="D642" t="s">
        <v>172</v>
      </c>
      <c r="E642" t="s">
        <v>11</v>
      </c>
      <c r="F642" s="9">
        <v>16817.330000000002</v>
      </c>
      <c r="G642" s="4">
        <v>496</v>
      </c>
      <c r="H642" s="8">
        <f t="shared" ref="H642:H705" si="10">IF(ISNUMBER(SEARCH("Domestic customer", E642)),G642/1000,G642)</f>
        <v>496</v>
      </c>
      <c r="I642" s="10">
        <v>24</v>
      </c>
    </row>
    <row r="643" spans="1:9" ht="15.75" thickBot="1" x14ac:dyDescent="0.3">
      <c r="A643" s="1">
        <v>43466</v>
      </c>
      <c r="B643" s="8" t="s">
        <v>6</v>
      </c>
      <c r="C643" t="s">
        <v>7</v>
      </c>
      <c r="D643" t="s">
        <v>172</v>
      </c>
      <c r="E643" t="s">
        <v>13</v>
      </c>
      <c r="F643" s="9">
        <v>5258.66</v>
      </c>
      <c r="G643" s="7">
        <v>110700.825</v>
      </c>
      <c r="H643" s="8">
        <f t="shared" si="10"/>
        <v>110700.825</v>
      </c>
      <c r="I643" s="10">
        <v>12</v>
      </c>
    </row>
    <row r="644" spans="1:9" ht="15.75" thickBot="1" x14ac:dyDescent="0.3">
      <c r="A644" s="1">
        <v>43466</v>
      </c>
      <c r="B644" s="8" t="s">
        <v>6</v>
      </c>
      <c r="C644" t="s">
        <v>7</v>
      </c>
      <c r="D644" t="s">
        <v>173</v>
      </c>
      <c r="E644" t="s">
        <v>9</v>
      </c>
      <c r="F644" s="9">
        <v>5697.33</v>
      </c>
      <c r="G644" s="4">
        <v>197</v>
      </c>
      <c r="H644" s="8">
        <f t="shared" si="10"/>
        <v>197</v>
      </c>
      <c r="I644" s="10">
        <v>3</v>
      </c>
    </row>
    <row r="645" spans="1:9" ht="15.75" thickBot="1" x14ac:dyDescent="0.3">
      <c r="A645" s="1">
        <v>43800</v>
      </c>
      <c r="B645" s="8" t="s">
        <v>6</v>
      </c>
      <c r="C645" t="s">
        <v>7</v>
      </c>
      <c r="D645" t="s">
        <v>173</v>
      </c>
      <c r="E645" t="s">
        <v>15</v>
      </c>
      <c r="F645" s="9">
        <v>108017.96</v>
      </c>
      <c r="G645" s="7">
        <v>17532.251</v>
      </c>
      <c r="H645" s="8">
        <f t="shared" si="10"/>
        <v>17532.251</v>
      </c>
      <c r="I645" s="10">
        <v>152</v>
      </c>
    </row>
    <row r="646" spans="1:9" ht="15.75" thickBot="1" x14ac:dyDescent="0.3">
      <c r="A646" s="1">
        <v>43800</v>
      </c>
      <c r="B646" s="8" t="s">
        <v>6</v>
      </c>
      <c r="C646" t="s">
        <v>7</v>
      </c>
      <c r="D646" t="s">
        <v>173</v>
      </c>
      <c r="E646" t="s">
        <v>10</v>
      </c>
      <c r="F646" s="9">
        <v>460366.94</v>
      </c>
      <c r="G646" s="7">
        <v>68083126.349999994</v>
      </c>
      <c r="H646" s="8">
        <f t="shared" si="10"/>
        <v>68083.126349999991</v>
      </c>
      <c r="I646" s="10">
        <v>5530</v>
      </c>
    </row>
    <row r="647" spans="1:9" ht="15.75" thickBot="1" x14ac:dyDescent="0.3">
      <c r="A647" s="1">
        <v>43800</v>
      </c>
      <c r="B647" s="8" t="s">
        <v>6</v>
      </c>
      <c r="C647" t="s">
        <v>7</v>
      </c>
      <c r="D647" t="s">
        <v>173</v>
      </c>
      <c r="E647" t="s">
        <v>11</v>
      </c>
      <c r="F647" s="9">
        <v>85973.74</v>
      </c>
      <c r="G647" s="7">
        <v>2843851.49</v>
      </c>
      <c r="H647" s="8">
        <f t="shared" si="10"/>
        <v>2843851.49</v>
      </c>
      <c r="I647" s="10">
        <v>383</v>
      </c>
    </row>
    <row r="648" spans="1:9" ht="15.75" thickBot="1" x14ac:dyDescent="0.3">
      <c r="A648" s="1">
        <v>43800</v>
      </c>
      <c r="B648" s="8" t="s">
        <v>6</v>
      </c>
      <c r="C648" t="s">
        <v>7</v>
      </c>
      <c r="D648" t="s">
        <v>173</v>
      </c>
      <c r="E648" t="s">
        <v>13</v>
      </c>
      <c r="F648" s="9">
        <v>0</v>
      </c>
      <c r="G648" s="6">
        <v>72753.861999999994</v>
      </c>
      <c r="H648" s="8">
        <f t="shared" si="10"/>
        <v>72753.861999999994</v>
      </c>
      <c r="I648" s="10">
        <v>9</v>
      </c>
    </row>
    <row r="649" spans="1:9" ht="15.75" thickBot="1" x14ac:dyDescent="0.3">
      <c r="A649" s="1">
        <v>43466</v>
      </c>
      <c r="B649" s="8" t="s">
        <v>6</v>
      </c>
      <c r="C649" t="s">
        <v>7</v>
      </c>
      <c r="D649" t="s">
        <v>174</v>
      </c>
      <c r="E649" t="s">
        <v>9</v>
      </c>
      <c r="F649" s="9">
        <v>9532.18</v>
      </c>
      <c r="G649" s="7">
        <v>16232</v>
      </c>
      <c r="H649" s="8">
        <f t="shared" si="10"/>
        <v>16232</v>
      </c>
      <c r="I649" s="10">
        <v>2</v>
      </c>
    </row>
    <row r="650" spans="1:9" ht="15.75" thickBot="1" x14ac:dyDescent="0.3">
      <c r="A650" s="1">
        <v>43466</v>
      </c>
      <c r="B650" s="8" t="s">
        <v>6</v>
      </c>
      <c r="C650" t="s">
        <v>7</v>
      </c>
      <c r="D650" t="s">
        <v>174</v>
      </c>
      <c r="E650" t="s">
        <v>10</v>
      </c>
      <c r="F650" s="9">
        <v>36996.18</v>
      </c>
      <c r="G650" s="6">
        <v>1094771</v>
      </c>
      <c r="H650" s="8">
        <f t="shared" si="10"/>
        <v>1094.771</v>
      </c>
      <c r="I650" s="10">
        <v>181</v>
      </c>
    </row>
    <row r="651" spans="1:9" ht="15.75" thickBot="1" x14ac:dyDescent="0.3">
      <c r="A651" s="1">
        <v>43466</v>
      </c>
      <c r="B651" s="8" t="s">
        <v>6</v>
      </c>
      <c r="C651" t="s">
        <v>7</v>
      </c>
      <c r="D651" t="s">
        <v>174</v>
      </c>
      <c r="E651" t="s">
        <v>11</v>
      </c>
      <c r="F651" s="9">
        <v>761.01</v>
      </c>
      <c r="G651" s="6">
        <v>19000</v>
      </c>
      <c r="H651" s="8">
        <f t="shared" si="10"/>
        <v>19000</v>
      </c>
      <c r="I651" s="10">
        <v>4</v>
      </c>
    </row>
    <row r="652" spans="1:9" ht="15.75" thickBot="1" x14ac:dyDescent="0.3">
      <c r="A652" s="1">
        <v>43800</v>
      </c>
      <c r="B652" s="8" t="s">
        <v>6</v>
      </c>
      <c r="C652" t="s">
        <v>7</v>
      </c>
      <c r="D652" t="s">
        <v>174</v>
      </c>
      <c r="E652" t="s">
        <v>13</v>
      </c>
      <c r="F652" s="9">
        <v>389.95</v>
      </c>
      <c r="G652" s="6">
        <v>13000</v>
      </c>
      <c r="H652" s="8">
        <f t="shared" si="10"/>
        <v>13000</v>
      </c>
      <c r="I652" s="10">
        <v>2</v>
      </c>
    </row>
    <row r="653" spans="1:9" ht="15.75" thickBot="1" x14ac:dyDescent="0.3">
      <c r="A653" s="1">
        <v>43800</v>
      </c>
      <c r="B653" s="8" t="s">
        <v>6</v>
      </c>
      <c r="C653" t="s">
        <v>7</v>
      </c>
      <c r="D653" t="s">
        <v>175</v>
      </c>
      <c r="E653" t="s">
        <v>10</v>
      </c>
      <c r="F653" s="9">
        <v>62880.67</v>
      </c>
      <c r="G653" s="6">
        <v>2706000</v>
      </c>
      <c r="H653" s="8">
        <f t="shared" si="10"/>
        <v>2706</v>
      </c>
      <c r="I653" s="10">
        <v>4</v>
      </c>
    </row>
    <row r="654" spans="1:9" ht="15.75" thickBot="1" x14ac:dyDescent="0.3">
      <c r="A654" s="1">
        <v>43800</v>
      </c>
      <c r="B654" s="8" t="s">
        <v>6</v>
      </c>
      <c r="C654" t="s">
        <v>7</v>
      </c>
      <c r="D654" t="s">
        <v>175</v>
      </c>
      <c r="E654" t="s">
        <v>11</v>
      </c>
      <c r="F654" s="9">
        <v>1292.24</v>
      </c>
      <c r="G654" s="5">
        <v>0</v>
      </c>
      <c r="H654" s="8">
        <f t="shared" si="10"/>
        <v>0</v>
      </c>
      <c r="I654" s="10">
        <v>9</v>
      </c>
    </row>
    <row r="655" spans="1:9" ht="15.75" thickBot="1" x14ac:dyDescent="0.3">
      <c r="A655" s="1">
        <v>43800</v>
      </c>
      <c r="B655" s="8" t="s">
        <v>6</v>
      </c>
      <c r="C655" t="s">
        <v>7</v>
      </c>
      <c r="D655" t="s">
        <v>175</v>
      </c>
      <c r="E655" t="s">
        <v>13</v>
      </c>
      <c r="F655" s="9">
        <v>-558.11</v>
      </c>
      <c r="G655" s="5">
        <v>0</v>
      </c>
      <c r="H655" s="8">
        <f t="shared" si="10"/>
        <v>0</v>
      </c>
      <c r="I655" s="10">
        <v>1</v>
      </c>
    </row>
    <row r="656" spans="1:9" ht="15.75" thickBot="1" x14ac:dyDescent="0.3">
      <c r="A656" s="1">
        <v>43466</v>
      </c>
      <c r="B656" s="8" t="s">
        <v>6</v>
      </c>
      <c r="C656" t="s">
        <v>7</v>
      </c>
      <c r="D656" t="s">
        <v>176</v>
      </c>
      <c r="E656" t="s">
        <v>10</v>
      </c>
      <c r="F656" s="9">
        <v>83152.75</v>
      </c>
      <c r="G656" s="6">
        <v>3421000</v>
      </c>
      <c r="H656" s="8">
        <f t="shared" si="10"/>
        <v>3421</v>
      </c>
      <c r="I656" s="10">
        <v>7</v>
      </c>
    </row>
    <row r="657" spans="1:9" ht="15.75" thickBot="1" x14ac:dyDescent="0.3">
      <c r="A657" s="1">
        <v>43466</v>
      </c>
      <c r="B657" s="8" t="s">
        <v>6</v>
      </c>
      <c r="C657" t="s">
        <v>7</v>
      </c>
      <c r="D657" t="s">
        <v>176</v>
      </c>
      <c r="E657" t="s">
        <v>11</v>
      </c>
      <c r="F657" s="9">
        <v>163.13999999999999</v>
      </c>
      <c r="G657" s="5">
        <v>0</v>
      </c>
      <c r="H657" s="8">
        <f t="shared" si="10"/>
        <v>0</v>
      </c>
      <c r="I657" s="10">
        <v>2</v>
      </c>
    </row>
    <row r="658" spans="1:9" ht="15.75" thickBot="1" x14ac:dyDescent="0.3">
      <c r="A658" s="1">
        <v>43466</v>
      </c>
      <c r="B658" s="8" t="s">
        <v>6</v>
      </c>
      <c r="C658" t="s">
        <v>7</v>
      </c>
      <c r="D658" t="s">
        <v>177</v>
      </c>
      <c r="E658" t="s">
        <v>15</v>
      </c>
      <c r="F658" s="9">
        <v>100</v>
      </c>
      <c r="G658" s="4">
        <v>0</v>
      </c>
      <c r="H658" s="8">
        <f t="shared" si="10"/>
        <v>0</v>
      </c>
      <c r="I658" s="10">
        <v>1</v>
      </c>
    </row>
    <row r="659" spans="1:9" ht="15.75" thickBot="1" x14ac:dyDescent="0.3">
      <c r="A659" s="1">
        <v>43800</v>
      </c>
      <c r="B659" s="8" t="s">
        <v>6</v>
      </c>
      <c r="C659" t="s">
        <v>7</v>
      </c>
      <c r="D659" t="s">
        <v>177</v>
      </c>
      <c r="E659" t="s">
        <v>10</v>
      </c>
      <c r="F659" s="9">
        <v>227706.07</v>
      </c>
      <c r="G659" s="6">
        <v>8262240.3329999996</v>
      </c>
      <c r="H659" s="8">
        <f t="shared" si="10"/>
        <v>8262.2403329999997</v>
      </c>
      <c r="I659" s="10">
        <v>332</v>
      </c>
    </row>
    <row r="660" spans="1:9" ht="15.75" thickBot="1" x14ac:dyDescent="0.3">
      <c r="A660" s="1">
        <v>43800</v>
      </c>
      <c r="B660" s="8" t="s">
        <v>6</v>
      </c>
      <c r="C660" t="s">
        <v>7</v>
      </c>
      <c r="D660" t="s">
        <v>177</v>
      </c>
      <c r="E660" t="s">
        <v>11</v>
      </c>
      <c r="F660" s="9">
        <v>25701.66</v>
      </c>
      <c r="G660" s="7">
        <v>535512.04500000004</v>
      </c>
      <c r="H660" s="8">
        <f t="shared" si="10"/>
        <v>535512.04500000004</v>
      </c>
      <c r="I660" s="10">
        <v>27</v>
      </c>
    </row>
    <row r="661" spans="1:9" ht="15.75" thickBot="1" x14ac:dyDescent="0.3">
      <c r="A661" s="1">
        <v>43800</v>
      </c>
      <c r="B661" s="8" t="s">
        <v>6</v>
      </c>
      <c r="C661" t="s">
        <v>7</v>
      </c>
      <c r="D661" t="s">
        <v>177</v>
      </c>
      <c r="E661" t="s">
        <v>13</v>
      </c>
      <c r="F661" s="9">
        <v>9460.8700000000008</v>
      </c>
      <c r="G661" s="6">
        <v>304000</v>
      </c>
      <c r="H661" s="8">
        <f t="shared" si="10"/>
        <v>304000</v>
      </c>
      <c r="I661" s="10">
        <v>9</v>
      </c>
    </row>
    <row r="662" spans="1:9" ht="15.75" thickBot="1" x14ac:dyDescent="0.3">
      <c r="A662" s="1">
        <v>43800</v>
      </c>
      <c r="B662" s="8" t="s">
        <v>6</v>
      </c>
      <c r="C662" t="s">
        <v>7</v>
      </c>
      <c r="D662" t="s">
        <v>178</v>
      </c>
      <c r="E662" t="s">
        <v>15</v>
      </c>
      <c r="F662" s="9">
        <v>1025</v>
      </c>
      <c r="G662" s="4">
        <v>0</v>
      </c>
      <c r="H662" s="8">
        <f t="shared" si="10"/>
        <v>0</v>
      </c>
      <c r="I662" s="10">
        <v>2</v>
      </c>
    </row>
    <row r="663" spans="1:9" ht="15.75" thickBot="1" x14ac:dyDescent="0.3">
      <c r="A663" s="1">
        <v>43466</v>
      </c>
      <c r="B663" s="8" t="s">
        <v>6</v>
      </c>
      <c r="C663" t="s">
        <v>7</v>
      </c>
      <c r="D663" t="s">
        <v>178</v>
      </c>
      <c r="E663" t="s">
        <v>10</v>
      </c>
      <c r="F663" s="9">
        <v>43048.56</v>
      </c>
      <c r="G663" s="6">
        <v>1280968.2450000001</v>
      </c>
      <c r="H663" s="8">
        <f t="shared" si="10"/>
        <v>1280.968245</v>
      </c>
      <c r="I663" s="10">
        <v>102</v>
      </c>
    </row>
    <row r="664" spans="1:9" ht="15.75" thickBot="1" x14ac:dyDescent="0.3">
      <c r="A664" s="1">
        <v>43466</v>
      </c>
      <c r="B664" s="8" t="s">
        <v>6</v>
      </c>
      <c r="C664" t="s">
        <v>7</v>
      </c>
      <c r="D664" t="s">
        <v>179</v>
      </c>
      <c r="E664" t="s">
        <v>15</v>
      </c>
      <c r="F664" s="9">
        <v>1025</v>
      </c>
      <c r="G664" s="4">
        <v>0</v>
      </c>
      <c r="H664" s="8">
        <f t="shared" si="10"/>
        <v>0</v>
      </c>
      <c r="I664" s="10">
        <v>2</v>
      </c>
    </row>
    <row r="665" spans="1:9" ht="15.75" thickBot="1" x14ac:dyDescent="0.3">
      <c r="A665" s="1">
        <v>43466</v>
      </c>
      <c r="B665" s="8" t="s">
        <v>6</v>
      </c>
      <c r="C665" t="s">
        <v>7</v>
      </c>
      <c r="D665" t="s">
        <v>179</v>
      </c>
      <c r="E665" t="s">
        <v>10</v>
      </c>
      <c r="F665" s="9">
        <v>95747.41</v>
      </c>
      <c r="G665" s="6">
        <v>2714237.22</v>
      </c>
      <c r="H665" s="8">
        <f t="shared" si="10"/>
        <v>2714.23722</v>
      </c>
      <c r="I665" s="10">
        <v>164</v>
      </c>
    </row>
    <row r="666" spans="1:9" ht="15.75" thickBot="1" x14ac:dyDescent="0.3">
      <c r="A666" s="1">
        <v>43800</v>
      </c>
      <c r="B666" s="8" t="s">
        <v>6</v>
      </c>
      <c r="C666" t="s">
        <v>7</v>
      </c>
      <c r="D666" t="s">
        <v>179</v>
      </c>
      <c r="E666" t="s">
        <v>11</v>
      </c>
      <c r="F666" s="9">
        <v>503.24</v>
      </c>
      <c r="G666" s="4">
        <v>7</v>
      </c>
      <c r="H666" s="8">
        <f t="shared" si="10"/>
        <v>7</v>
      </c>
      <c r="I666" s="10">
        <v>1</v>
      </c>
    </row>
    <row r="667" spans="1:9" ht="15.75" thickBot="1" x14ac:dyDescent="0.3">
      <c r="A667" s="1">
        <v>43800</v>
      </c>
      <c r="B667" s="8" t="s">
        <v>6</v>
      </c>
      <c r="C667" t="s">
        <v>7</v>
      </c>
      <c r="D667" t="s">
        <v>180</v>
      </c>
      <c r="E667" t="s">
        <v>11</v>
      </c>
      <c r="F667" s="9">
        <v>6367.56</v>
      </c>
      <c r="G667" s="4">
        <v>83</v>
      </c>
      <c r="H667" s="8">
        <f t="shared" si="10"/>
        <v>83</v>
      </c>
      <c r="I667" s="10">
        <v>1</v>
      </c>
    </row>
    <row r="668" spans="1:9" ht="15.75" thickBot="1" x14ac:dyDescent="0.3">
      <c r="A668" s="1">
        <v>43800</v>
      </c>
      <c r="B668" s="8" t="s">
        <v>6</v>
      </c>
      <c r="C668" t="s">
        <v>7</v>
      </c>
      <c r="D668" t="s">
        <v>181</v>
      </c>
      <c r="E668" t="s">
        <v>9</v>
      </c>
      <c r="F668" s="9">
        <v>53916.22</v>
      </c>
      <c r="G668" s="4">
        <v>1816</v>
      </c>
      <c r="H668" s="8">
        <f t="shared" si="10"/>
        <v>1816</v>
      </c>
      <c r="I668" s="10">
        <v>46</v>
      </c>
    </row>
    <row r="669" spans="1:9" ht="15.75" thickBot="1" x14ac:dyDescent="0.3">
      <c r="A669" s="1">
        <v>43800</v>
      </c>
      <c r="B669" s="8" t="s">
        <v>6</v>
      </c>
      <c r="C669" t="s">
        <v>7</v>
      </c>
      <c r="D669" t="s">
        <v>181</v>
      </c>
      <c r="E669" t="s">
        <v>15</v>
      </c>
      <c r="F669" s="9">
        <v>4069.76</v>
      </c>
      <c r="G669" s="4">
        <v>93</v>
      </c>
      <c r="H669" s="8">
        <f t="shared" si="10"/>
        <v>93</v>
      </c>
      <c r="I669" s="10">
        <v>13</v>
      </c>
    </row>
    <row r="670" spans="1:9" ht="15.75" thickBot="1" x14ac:dyDescent="0.3">
      <c r="A670" s="1">
        <v>43466</v>
      </c>
      <c r="B670" s="8" t="s">
        <v>6</v>
      </c>
      <c r="C670" t="s">
        <v>7</v>
      </c>
      <c r="D670" t="s">
        <v>181</v>
      </c>
      <c r="E670" t="s">
        <v>10</v>
      </c>
      <c r="F670" s="9">
        <v>98135.32</v>
      </c>
      <c r="G670" s="7">
        <v>2632152.8509999998</v>
      </c>
      <c r="H670" s="8">
        <f t="shared" si="10"/>
        <v>2632.1528509999998</v>
      </c>
      <c r="I670" s="10">
        <v>217</v>
      </c>
    </row>
    <row r="671" spans="1:9" ht="15.75" thickBot="1" x14ac:dyDescent="0.3">
      <c r="A671" s="1">
        <v>43466</v>
      </c>
      <c r="B671" s="8" t="s">
        <v>6</v>
      </c>
      <c r="C671" t="s">
        <v>7</v>
      </c>
      <c r="D671" t="s">
        <v>181</v>
      </c>
      <c r="E671" t="s">
        <v>17</v>
      </c>
      <c r="F671" s="9">
        <v>356.52</v>
      </c>
      <c r="G671" s="4">
        <v>11</v>
      </c>
      <c r="H671" s="8">
        <f t="shared" si="10"/>
        <v>11</v>
      </c>
      <c r="I671" s="10">
        <v>1</v>
      </c>
    </row>
    <row r="672" spans="1:9" ht="15.75" thickBot="1" x14ac:dyDescent="0.3">
      <c r="A672" s="1">
        <v>43466</v>
      </c>
      <c r="B672" s="8" t="s">
        <v>6</v>
      </c>
      <c r="C672" t="s">
        <v>7</v>
      </c>
      <c r="D672" t="s">
        <v>181</v>
      </c>
      <c r="E672" t="s">
        <v>11</v>
      </c>
      <c r="F672" s="9">
        <v>1947.5</v>
      </c>
      <c r="G672" s="4">
        <v>44</v>
      </c>
      <c r="H672" s="8">
        <f t="shared" si="10"/>
        <v>44</v>
      </c>
      <c r="I672" s="10">
        <v>9</v>
      </c>
    </row>
    <row r="673" spans="1:9" ht="15.75" thickBot="1" x14ac:dyDescent="0.3">
      <c r="A673" s="1">
        <v>43800</v>
      </c>
      <c r="B673" s="8" t="s">
        <v>6</v>
      </c>
      <c r="C673" t="s">
        <v>7</v>
      </c>
      <c r="D673" t="s">
        <v>182</v>
      </c>
      <c r="E673" t="s">
        <v>9</v>
      </c>
      <c r="F673" s="9">
        <v>18829.150000000001</v>
      </c>
      <c r="G673" s="4">
        <v>590</v>
      </c>
      <c r="H673" s="8">
        <f t="shared" si="10"/>
        <v>590</v>
      </c>
      <c r="I673" s="10">
        <v>15</v>
      </c>
    </row>
    <row r="674" spans="1:9" ht="15.75" thickBot="1" x14ac:dyDescent="0.3">
      <c r="A674" s="1">
        <v>43800</v>
      </c>
      <c r="B674" s="8" t="s">
        <v>6</v>
      </c>
      <c r="C674" t="s">
        <v>7</v>
      </c>
      <c r="D674" t="s">
        <v>182</v>
      </c>
      <c r="E674" t="s">
        <v>15</v>
      </c>
      <c r="F674" s="9">
        <v>808.72</v>
      </c>
      <c r="G674" s="4">
        <v>4</v>
      </c>
      <c r="H674" s="8">
        <f t="shared" si="10"/>
        <v>4</v>
      </c>
      <c r="I674" s="10">
        <v>6</v>
      </c>
    </row>
    <row r="675" spans="1:9" ht="15.75" thickBot="1" x14ac:dyDescent="0.3">
      <c r="A675" s="1">
        <v>43800</v>
      </c>
      <c r="B675" s="8" t="s">
        <v>6</v>
      </c>
      <c r="C675" t="s">
        <v>7</v>
      </c>
      <c r="D675" t="s">
        <v>182</v>
      </c>
      <c r="E675" t="s">
        <v>10</v>
      </c>
      <c r="F675" s="9">
        <v>137010.72</v>
      </c>
      <c r="G675" s="6">
        <v>5356297.0130000003</v>
      </c>
      <c r="H675" s="8">
        <f t="shared" si="10"/>
        <v>5356.2970130000003</v>
      </c>
      <c r="I675" s="10">
        <v>473</v>
      </c>
    </row>
    <row r="676" spans="1:9" ht="15.75" thickBot="1" x14ac:dyDescent="0.3">
      <c r="A676" s="1">
        <v>43800</v>
      </c>
      <c r="B676" s="8" t="s">
        <v>6</v>
      </c>
      <c r="C676" t="s">
        <v>7</v>
      </c>
      <c r="D676" t="s">
        <v>182</v>
      </c>
      <c r="E676" t="s">
        <v>17</v>
      </c>
      <c r="F676" s="9">
        <v>291.24</v>
      </c>
      <c r="G676" s="4">
        <v>7</v>
      </c>
      <c r="H676" s="8">
        <f t="shared" si="10"/>
        <v>7</v>
      </c>
      <c r="I676" s="10">
        <v>1</v>
      </c>
    </row>
    <row r="677" spans="1:9" ht="15.75" thickBot="1" x14ac:dyDescent="0.3">
      <c r="A677" s="1">
        <v>43466</v>
      </c>
      <c r="B677" s="8" t="s">
        <v>6</v>
      </c>
      <c r="C677" t="s">
        <v>7</v>
      </c>
      <c r="D677" t="s">
        <v>182</v>
      </c>
      <c r="E677" t="s">
        <v>11</v>
      </c>
      <c r="F677" s="9">
        <v>10687.12</v>
      </c>
      <c r="G677" s="4">
        <v>347</v>
      </c>
      <c r="H677" s="8">
        <f t="shared" si="10"/>
        <v>347</v>
      </c>
      <c r="I677" s="10">
        <v>6</v>
      </c>
    </row>
    <row r="678" spans="1:9" ht="15.75" thickBot="1" x14ac:dyDescent="0.3">
      <c r="A678" s="1">
        <v>43466</v>
      </c>
      <c r="B678" s="8" t="s">
        <v>6</v>
      </c>
      <c r="C678" t="s">
        <v>7</v>
      </c>
      <c r="D678" t="s">
        <v>182</v>
      </c>
      <c r="E678" t="s">
        <v>13</v>
      </c>
      <c r="F678" s="9">
        <v>266.73</v>
      </c>
      <c r="G678" s="6">
        <v>11000</v>
      </c>
      <c r="H678" s="8">
        <f t="shared" si="10"/>
        <v>11000</v>
      </c>
      <c r="I678" s="10">
        <v>1</v>
      </c>
    </row>
    <row r="679" spans="1:9" ht="15.75" thickBot="1" x14ac:dyDescent="0.3">
      <c r="A679" s="1">
        <v>43466</v>
      </c>
      <c r="B679" s="8" t="s">
        <v>6</v>
      </c>
      <c r="C679" t="s">
        <v>7</v>
      </c>
      <c r="D679" t="s">
        <v>183</v>
      </c>
      <c r="E679" t="s">
        <v>15</v>
      </c>
      <c r="F679" s="9">
        <v>156</v>
      </c>
      <c r="G679" s="4">
        <v>0</v>
      </c>
      <c r="H679" s="8">
        <f t="shared" si="10"/>
        <v>0</v>
      </c>
      <c r="I679" s="10">
        <v>1</v>
      </c>
    </row>
    <row r="680" spans="1:9" ht="15.75" thickBot="1" x14ac:dyDescent="0.3">
      <c r="A680" s="1">
        <v>43800</v>
      </c>
      <c r="B680" s="8" t="s">
        <v>6</v>
      </c>
      <c r="C680" t="s">
        <v>7</v>
      </c>
      <c r="D680" t="s">
        <v>183</v>
      </c>
      <c r="E680" t="s">
        <v>10</v>
      </c>
      <c r="F680" s="9">
        <v>141909.23000000001</v>
      </c>
      <c r="G680" s="7">
        <v>4615672.9610000001</v>
      </c>
      <c r="H680" s="8">
        <f t="shared" si="10"/>
        <v>4615.6729610000002</v>
      </c>
      <c r="I680" s="10">
        <v>486</v>
      </c>
    </row>
    <row r="681" spans="1:9" ht="15.75" thickBot="1" x14ac:dyDescent="0.3">
      <c r="A681" s="1">
        <v>43800</v>
      </c>
      <c r="B681" s="8" t="s">
        <v>6</v>
      </c>
      <c r="C681" t="s">
        <v>7</v>
      </c>
      <c r="D681" t="s">
        <v>183</v>
      </c>
      <c r="E681" t="s">
        <v>11</v>
      </c>
      <c r="F681" s="9">
        <v>602.4</v>
      </c>
      <c r="G681" s="4">
        <v>20</v>
      </c>
      <c r="H681" s="8">
        <f t="shared" si="10"/>
        <v>20</v>
      </c>
      <c r="I681" s="10">
        <v>1</v>
      </c>
    </row>
    <row r="682" spans="1:9" ht="15.75" thickBot="1" x14ac:dyDescent="0.3">
      <c r="A682" s="1">
        <v>43800</v>
      </c>
      <c r="B682" s="8" t="s">
        <v>6</v>
      </c>
      <c r="C682" t="s">
        <v>7</v>
      </c>
      <c r="D682" t="s">
        <v>183</v>
      </c>
      <c r="E682" t="s">
        <v>13</v>
      </c>
      <c r="F682" s="9">
        <v>682.85</v>
      </c>
      <c r="G682" s="6">
        <v>21000</v>
      </c>
      <c r="H682" s="8">
        <f t="shared" si="10"/>
        <v>21000</v>
      </c>
      <c r="I682" s="10">
        <v>4</v>
      </c>
    </row>
    <row r="683" spans="1:9" ht="15.75" thickBot="1" x14ac:dyDescent="0.3">
      <c r="A683" s="1">
        <v>43800</v>
      </c>
      <c r="B683" s="8" t="s">
        <v>6</v>
      </c>
      <c r="C683" t="s">
        <v>7</v>
      </c>
      <c r="D683" t="s">
        <v>184</v>
      </c>
      <c r="E683" t="s">
        <v>9</v>
      </c>
      <c r="F683" s="9">
        <v>11002.88</v>
      </c>
      <c r="G683" s="4">
        <v>384</v>
      </c>
      <c r="H683" s="8">
        <f t="shared" si="10"/>
        <v>384</v>
      </c>
      <c r="I683" s="10">
        <v>4</v>
      </c>
    </row>
    <row r="684" spans="1:9" ht="15.75" thickBot="1" x14ac:dyDescent="0.3">
      <c r="A684" s="1">
        <v>43466</v>
      </c>
      <c r="B684" s="8" t="s">
        <v>6</v>
      </c>
      <c r="C684" t="s">
        <v>7</v>
      </c>
      <c r="D684" t="s">
        <v>184</v>
      </c>
      <c r="E684" t="s">
        <v>15</v>
      </c>
      <c r="F684" s="9">
        <v>5007.8900000000003</v>
      </c>
      <c r="G684" s="4">
        <v>55</v>
      </c>
      <c r="H684" s="8">
        <f t="shared" si="10"/>
        <v>55</v>
      </c>
      <c r="I684" s="10">
        <v>7</v>
      </c>
    </row>
    <row r="685" spans="1:9" ht="15.75" thickBot="1" x14ac:dyDescent="0.3">
      <c r="A685" s="1">
        <v>43466</v>
      </c>
      <c r="B685" s="8" t="s">
        <v>6</v>
      </c>
      <c r="C685" t="s">
        <v>7</v>
      </c>
      <c r="D685" t="s">
        <v>184</v>
      </c>
      <c r="E685" t="s">
        <v>10</v>
      </c>
      <c r="F685" s="9">
        <v>155105.46</v>
      </c>
      <c r="G685" s="6">
        <v>4713257.3530000001</v>
      </c>
      <c r="H685" s="8">
        <f t="shared" si="10"/>
        <v>4713.257353</v>
      </c>
      <c r="I685" s="10">
        <v>427</v>
      </c>
    </row>
    <row r="686" spans="1:9" ht="15.75" thickBot="1" x14ac:dyDescent="0.3">
      <c r="A686" s="1">
        <v>43466</v>
      </c>
      <c r="B686" s="8" t="s">
        <v>6</v>
      </c>
      <c r="C686" t="s">
        <v>7</v>
      </c>
      <c r="D686" t="s">
        <v>184</v>
      </c>
      <c r="E686" t="s">
        <v>11</v>
      </c>
      <c r="F686" s="9">
        <v>14333.58</v>
      </c>
      <c r="G686" s="7">
        <v>22380.557000000001</v>
      </c>
      <c r="H686" s="8">
        <f t="shared" si="10"/>
        <v>22380.557000000001</v>
      </c>
      <c r="I686" s="10">
        <v>8</v>
      </c>
    </row>
    <row r="687" spans="1:9" ht="15.75" thickBot="1" x14ac:dyDescent="0.3">
      <c r="A687" s="1">
        <v>43800</v>
      </c>
      <c r="B687" s="8" t="s">
        <v>6</v>
      </c>
      <c r="C687" t="s">
        <v>7</v>
      </c>
      <c r="D687" t="s">
        <v>184</v>
      </c>
      <c r="E687" t="s">
        <v>13</v>
      </c>
      <c r="F687" s="9">
        <v>613.54999999999995</v>
      </c>
      <c r="G687" s="6">
        <v>19000</v>
      </c>
      <c r="H687" s="8">
        <f t="shared" si="10"/>
        <v>19000</v>
      </c>
      <c r="I687" s="10">
        <v>3</v>
      </c>
    </row>
    <row r="688" spans="1:9" ht="15.75" thickBot="1" x14ac:dyDescent="0.3">
      <c r="A688" s="1">
        <v>43800</v>
      </c>
      <c r="B688" s="8" t="s">
        <v>6</v>
      </c>
      <c r="C688" t="s">
        <v>7</v>
      </c>
      <c r="D688" t="s">
        <v>185</v>
      </c>
      <c r="E688" t="s">
        <v>10</v>
      </c>
      <c r="F688" s="9">
        <v>127023.95</v>
      </c>
      <c r="G688" s="6">
        <v>7292000</v>
      </c>
      <c r="H688" s="8">
        <f t="shared" si="10"/>
        <v>7292</v>
      </c>
      <c r="I688" s="10">
        <v>1</v>
      </c>
    </row>
    <row r="689" spans="1:9" ht="15.75" thickBot="1" x14ac:dyDescent="0.3">
      <c r="A689" s="1">
        <v>43800</v>
      </c>
      <c r="B689" s="8" t="s">
        <v>6</v>
      </c>
      <c r="C689" t="s">
        <v>7</v>
      </c>
      <c r="D689" t="s">
        <v>186</v>
      </c>
      <c r="E689" t="s">
        <v>9</v>
      </c>
      <c r="F689" s="9">
        <v>11547.96</v>
      </c>
      <c r="G689" s="4">
        <v>53</v>
      </c>
      <c r="H689" s="8">
        <f t="shared" si="10"/>
        <v>53</v>
      </c>
      <c r="I689" s="10">
        <v>2</v>
      </c>
    </row>
    <row r="690" spans="1:9" ht="15.75" thickBot="1" x14ac:dyDescent="0.3">
      <c r="A690" s="1">
        <v>43800</v>
      </c>
      <c r="B690" s="8" t="s">
        <v>6</v>
      </c>
      <c r="C690" t="s">
        <v>7</v>
      </c>
      <c r="D690" t="s">
        <v>186</v>
      </c>
      <c r="E690" t="s">
        <v>10</v>
      </c>
      <c r="F690" s="9">
        <v>84782.42</v>
      </c>
      <c r="G690" s="6">
        <v>2950837.9640000002</v>
      </c>
      <c r="H690" s="8">
        <f t="shared" si="10"/>
        <v>2950.8379640000003</v>
      </c>
      <c r="I690" s="10">
        <v>208</v>
      </c>
    </row>
    <row r="691" spans="1:9" ht="15.75" thickBot="1" x14ac:dyDescent="0.3">
      <c r="A691" s="1">
        <v>43466</v>
      </c>
      <c r="B691" s="8" t="s">
        <v>6</v>
      </c>
      <c r="C691" t="s">
        <v>7</v>
      </c>
      <c r="D691" t="s">
        <v>186</v>
      </c>
      <c r="E691" t="s">
        <v>11</v>
      </c>
      <c r="F691" s="9">
        <v>56</v>
      </c>
      <c r="G691" s="4">
        <v>0</v>
      </c>
      <c r="H691" s="8">
        <f t="shared" si="10"/>
        <v>0</v>
      </c>
      <c r="I691" s="10">
        <v>1</v>
      </c>
    </row>
    <row r="692" spans="1:9" ht="15.75" thickBot="1" x14ac:dyDescent="0.3">
      <c r="A692" s="1">
        <v>43466</v>
      </c>
      <c r="B692" s="8" t="s">
        <v>6</v>
      </c>
      <c r="C692" t="s">
        <v>7</v>
      </c>
      <c r="D692" t="s">
        <v>186</v>
      </c>
      <c r="E692" t="s">
        <v>13</v>
      </c>
      <c r="F692" s="9">
        <v>144.72999999999999</v>
      </c>
      <c r="G692" s="6">
        <v>3000</v>
      </c>
      <c r="H692" s="8">
        <f t="shared" si="10"/>
        <v>3000</v>
      </c>
      <c r="I692" s="10">
        <v>1</v>
      </c>
    </row>
    <row r="693" spans="1:9" ht="15.75" thickBot="1" x14ac:dyDescent="0.3">
      <c r="A693" s="1">
        <v>43466</v>
      </c>
      <c r="B693" s="8" t="s">
        <v>6</v>
      </c>
      <c r="C693" t="s">
        <v>7</v>
      </c>
      <c r="D693" t="s">
        <v>187</v>
      </c>
      <c r="E693" t="s">
        <v>9</v>
      </c>
      <c r="F693" s="9">
        <v>1001.56</v>
      </c>
      <c r="G693" s="4">
        <v>33</v>
      </c>
      <c r="H693" s="8">
        <f t="shared" si="10"/>
        <v>33</v>
      </c>
      <c r="I693" s="10">
        <v>1</v>
      </c>
    </row>
    <row r="694" spans="1:9" ht="15.75" thickBot="1" x14ac:dyDescent="0.3">
      <c r="A694" s="1">
        <v>43800</v>
      </c>
      <c r="B694" s="8" t="s">
        <v>6</v>
      </c>
      <c r="C694" t="s">
        <v>7</v>
      </c>
      <c r="D694" t="s">
        <v>187</v>
      </c>
      <c r="E694" t="s">
        <v>10</v>
      </c>
      <c r="F694" s="9">
        <v>40820.949999999997</v>
      </c>
      <c r="G694" s="6">
        <v>2167420</v>
      </c>
      <c r="H694" s="8">
        <f t="shared" si="10"/>
        <v>2167.42</v>
      </c>
      <c r="I694" s="10">
        <v>265</v>
      </c>
    </row>
    <row r="695" spans="1:9" ht="15.75" thickBot="1" x14ac:dyDescent="0.3">
      <c r="A695" s="1">
        <v>43800</v>
      </c>
      <c r="B695" s="8" t="s">
        <v>6</v>
      </c>
      <c r="C695" t="s">
        <v>7</v>
      </c>
      <c r="D695" t="s">
        <v>187</v>
      </c>
      <c r="E695" t="s">
        <v>11</v>
      </c>
      <c r="F695" s="9">
        <v>3767.04</v>
      </c>
      <c r="G695" s="4">
        <v>72</v>
      </c>
      <c r="H695" s="8">
        <f t="shared" si="10"/>
        <v>72</v>
      </c>
      <c r="I695" s="10">
        <v>3</v>
      </c>
    </row>
    <row r="696" spans="1:9" ht="15.75" thickBot="1" x14ac:dyDescent="0.3">
      <c r="A696" s="1">
        <v>43800</v>
      </c>
      <c r="B696" s="8" t="s">
        <v>6</v>
      </c>
      <c r="C696" t="s">
        <v>7</v>
      </c>
      <c r="D696" t="s">
        <v>187</v>
      </c>
      <c r="E696" t="s">
        <v>13</v>
      </c>
      <c r="F696" s="9">
        <v>144.72999999999999</v>
      </c>
      <c r="G696" s="6">
        <v>3000</v>
      </c>
      <c r="H696" s="8">
        <f t="shared" si="10"/>
        <v>3000</v>
      </c>
      <c r="I696" s="10">
        <v>1</v>
      </c>
    </row>
    <row r="697" spans="1:9" ht="15.75" thickBot="1" x14ac:dyDescent="0.3">
      <c r="A697" s="1">
        <v>43800</v>
      </c>
      <c r="B697" s="8" t="s">
        <v>6</v>
      </c>
      <c r="C697" t="s">
        <v>7</v>
      </c>
      <c r="D697" t="s">
        <v>188</v>
      </c>
      <c r="E697" t="s">
        <v>15</v>
      </c>
      <c r="F697" s="9">
        <v>111606.76</v>
      </c>
      <c r="G697" s="6">
        <v>2255000</v>
      </c>
      <c r="H697" s="8">
        <f t="shared" si="10"/>
        <v>2255000</v>
      </c>
      <c r="I697" s="10">
        <v>1</v>
      </c>
    </row>
    <row r="698" spans="1:9" ht="15.75" thickBot="1" x14ac:dyDescent="0.3">
      <c r="A698" s="1">
        <v>43466</v>
      </c>
      <c r="B698" s="8" t="s">
        <v>6</v>
      </c>
      <c r="C698" t="s">
        <v>7</v>
      </c>
      <c r="D698" t="s">
        <v>189</v>
      </c>
      <c r="E698" t="s">
        <v>9</v>
      </c>
      <c r="F698" s="9">
        <v>94692</v>
      </c>
      <c r="G698" s="4">
        <v>3100</v>
      </c>
      <c r="H698" s="8">
        <f t="shared" si="10"/>
        <v>3100</v>
      </c>
      <c r="I698" s="10">
        <v>1</v>
      </c>
    </row>
    <row r="699" spans="1:9" ht="15.75" thickBot="1" x14ac:dyDescent="0.3">
      <c r="A699" s="1">
        <v>43466</v>
      </c>
      <c r="B699" s="8" t="s">
        <v>6</v>
      </c>
      <c r="C699" t="s">
        <v>7</v>
      </c>
      <c r="D699" t="s">
        <v>189</v>
      </c>
      <c r="E699" t="s">
        <v>10</v>
      </c>
      <c r="F699" s="9">
        <v>18264.95</v>
      </c>
      <c r="G699" s="6">
        <v>14384649.652000001</v>
      </c>
      <c r="H699" s="8">
        <f t="shared" si="10"/>
        <v>14384.649652</v>
      </c>
      <c r="I699" s="10">
        <v>1390</v>
      </c>
    </row>
    <row r="700" spans="1:9" ht="15.75" thickBot="1" x14ac:dyDescent="0.3">
      <c r="A700" s="1">
        <v>43466</v>
      </c>
      <c r="B700" s="8" t="s">
        <v>6</v>
      </c>
      <c r="C700" t="s">
        <v>7</v>
      </c>
      <c r="D700" t="s">
        <v>189</v>
      </c>
      <c r="E700" t="s">
        <v>11</v>
      </c>
      <c r="F700" s="9">
        <v>2096.0300000000002</v>
      </c>
      <c r="G700" s="7">
        <v>24006</v>
      </c>
      <c r="H700" s="8">
        <f t="shared" si="10"/>
        <v>24006</v>
      </c>
      <c r="I700" s="10">
        <v>24</v>
      </c>
    </row>
    <row r="701" spans="1:9" ht="15.75" thickBot="1" x14ac:dyDescent="0.3">
      <c r="A701" s="1">
        <v>43800</v>
      </c>
      <c r="B701" s="8" t="s">
        <v>6</v>
      </c>
      <c r="C701" t="s">
        <v>7</v>
      </c>
      <c r="D701" t="s">
        <v>189</v>
      </c>
      <c r="E701" t="s">
        <v>13</v>
      </c>
      <c r="F701" s="9">
        <v>0</v>
      </c>
      <c r="G701" s="6">
        <v>97951.620999999999</v>
      </c>
      <c r="H701" s="8">
        <f t="shared" si="10"/>
        <v>97951.620999999999</v>
      </c>
      <c r="I701" s="10">
        <v>9</v>
      </c>
    </row>
    <row r="702" spans="1:9" ht="15.75" thickBot="1" x14ac:dyDescent="0.3">
      <c r="A702" s="1">
        <v>43800</v>
      </c>
      <c r="B702" s="8" t="s">
        <v>6</v>
      </c>
      <c r="C702" t="s">
        <v>7</v>
      </c>
      <c r="D702" t="s">
        <v>190</v>
      </c>
      <c r="E702" t="s">
        <v>10</v>
      </c>
      <c r="F702" s="9">
        <v>50570.11</v>
      </c>
      <c r="G702" s="6">
        <v>9856703.0940000005</v>
      </c>
      <c r="H702" s="8">
        <f t="shared" si="10"/>
        <v>9856.7030940000004</v>
      </c>
      <c r="I702" s="10">
        <v>1049</v>
      </c>
    </row>
    <row r="703" spans="1:9" ht="15.75" thickBot="1" x14ac:dyDescent="0.3">
      <c r="A703" s="1">
        <v>43800</v>
      </c>
      <c r="B703" s="8" t="s">
        <v>6</v>
      </c>
      <c r="C703" t="s">
        <v>7</v>
      </c>
      <c r="D703" t="s">
        <v>190</v>
      </c>
      <c r="E703" t="s">
        <v>11</v>
      </c>
      <c r="F703" s="9">
        <v>15038.98</v>
      </c>
      <c r="G703" s="4">
        <v>438</v>
      </c>
      <c r="H703" s="8">
        <f t="shared" si="10"/>
        <v>438</v>
      </c>
      <c r="I703" s="10">
        <v>8</v>
      </c>
    </row>
    <row r="704" spans="1:9" ht="15.75" thickBot="1" x14ac:dyDescent="0.3">
      <c r="A704" s="1">
        <v>43800</v>
      </c>
      <c r="B704" s="8" t="s">
        <v>6</v>
      </c>
      <c r="C704" t="s">
        <v>7</v>
      </c>
      <c r="D704" t="s">
        <v>191</v>
      </c>
      <c r="E704" t="s">
        <v>10</v>
      </c>
      <c r="F704" s="9">
        <v>82405.259999999995</v>
      </c>
      <c r="G704" s="6">
        <v>16254144.342</v>
      </c>
      <c r="H704" s="8">
        <f t="shared" si="10"/>
        <v>16254.144342</v>
      </c>
      <c r="I704" s="10">
        <v>1554</v>
      </c>
    </row>
    <row r="705" spans="1:9" ht="15.75" thickBot="1" x14ac:dyDescent="0.3">
      <c r="A705" s="1">
        <v>43466</v>
      </c>
      <c r="B705" s="8" t="s">
        <v>6</v>
      </c>
      <c r="C705" t="s">
        <v>7</v>
      </c>
      <c r="D705" t="s">
        <v>191</v>
      </c>
      <c r="E705" t="s">
        <v>11</v>
      </c>
      <c r="F705" s="9">
        <v>9568.1200000000008</v>
      </c>
      <c r="G705" s="7">
        <v>27266.789000000001</v>
      </c>
      <c r="H705" s="8">
        <f t="shared" si="10"/>
        <v>27266.789000000001</v>
      </c>
      <c r="I705" s="10">
        <v>31</v>
      </c>
    </row>
    <row r="706" spans="1:9" ht="15.75" thickBot="1" x14ac:dyDescent="0.3">
      <c r="A706" s="1">
        <v>43466</v>
      </c>
      <c r="B706" s="8" t="s">
        <v>6</v>
      </c>
      <c r="C706" t="s">
        <v>7</v>
      </c>
      <c r="D706" t="s">
        <v>191</v>
      </c>
      <c r="E706" t="s">
        <v>13</v>
      </c>
      <c r="F706" s="9">
        <v>388.28</v>
      </c>
      <c r="G706" s="6">
        <v>102340</v>
      </c>
      <c r="H706" s="8">
        <f t="shared" ref="H706:H769" si="11">IF(ISNUMBER(SEARCH("Domestic customer", E706)),G706/1000,G706)</f>
        <v>102340</v>
      </c>
      <c r="I706" s="10">
        <v>12</v>
      </c>
    </row>
    <row r="707" spans="1:9" ht="15.75" thickBot="1" x14ac:dyDescent="0.3">
      <c r="A707" s="1">
        <v>43466</v>
      </c>
      <c r="B707" s="8" t="s">
        <v>6</v>
      </c>
      <c r="C707" t="s">
        <v>7</v>
      </c>
      <c r="D707" t="s">
        <v>192</v>
      </c>
      <c r="E707" t="s">
        <v>10</v>
      </c>
      <c r="F707" s="9">
        <v>-637631.07999999996</v>
      </c>
      <c r="G707" s="6">
        <v>4518102.2750000004</v>
      </c>
      <c r="H707" s="8">
        <f t="shared" si="11"/>
        <v>4518.1022750000002</v>
      </c>
      <c r="I707" s="10">
        <v>864</v>
      </c>
    </row>
    <row r="708" spans="1:9" ht="15.75" thickBot="1" x14ac:dyDescent="0.3">
      <c r="A708" s="1">
        <v>43800</v>
      </c>
      <c r="B708" s="8" t="s">
        <v>6</v>
      </c>
      <c r="C708" t="s">
        <v>7</v>
      </c>
      <c r="D708" t="s">
        <v>192</v>
      </c>
      <c r="E708" t="s">
        <v>11</v>
      </c>
      <c r="F708" s="9">
        <v>489.42</v>
      </c>
      <c r="G708" s="5">
        <v>0</v>
      </c>
      <c r="H708" s="8">
        <f t="shared" si="11"/>
        <v>0</v>
      </c>
      <c r="I708" s="10">
        <v>6</v>
      </c>
    </row>
    <row r="709" spans="1:9" ht="15.75" thickBot="1" x14ac:dyDescent="0.3">
      <c r="A709" s="1">
        <v>43800</v>
      </c>
      <c r="B709" s="8" t="s">
        <v>6</v>
      </c>
      <c r="C709" t="s">
        <v>7</v>
      </c>
      <c r="D709" t="s">
        <v>192</v>
      </c>
      <c r="E709" t="s">
        <v>13</v>
      </c>
      <c r="F709" s="9">
        <v>461.67</v>
      </c>
      <c r="G709" s="6">
        <v>34615.161</v>
      </c>
      <c r="H709" s="8">
        <f t="shared" si="11"/>
        <v>34615.161</v>
      </c>
      <c r="I709" s="10">
        <v>3</v>
      </c>
    </row>
    <row r="710" spans="1:9" ht="15.75" thickBot="1" x14ac:dyDescent="0.3">
      <c r="A710" s="1">
        <v>43800</v>
      </c>
      <c r="B710" s="8" t="s">
        <v>6</v>
      </c>
      <c r="C710" t="s">
        <v>7</v>
      </c>
      <c r="D710" t="s">
        <v>193</v>
      </c>
      <c r="E710" t="s">
        <v>10</v>
      </c>
      <c r="F710" s="9">
        <v>-30461.55</v>
      </c>
      <c r="G710" s="6">
        <v>14257222.947000001</v>
      </c>
      <c r="H710" s="8">
        <f t="shared" si="11"/>
        <v>14257.222947</v>
      </c>
      <c r="I710" s="10">
        <v>1431</v>
      </c>
    </row>
    <row r="711" spans="1:9" ht="15.75" thickBot="1" x14ac:dyDescent="0.3">
      <c r="A711" s="1">
        <v>43800</v>
      </c>
      <c r="B711" s="8" t="s">
        <v>6</v>
      </c>
      <c r="C711" t="s">
        <v>7</v>
      </c>
      <c r="D711" t="s">
        <v>193</v>
      </c>
      <c r="E711" t="s">
        <v>11</v>
      </c>
      <c r="F711" s="9">
        <v>6199.32</v>
      </c>
      <c r="G711" s="6">
        <v>11025</v>
      </c>
      <c r="H711" s="8">
        <f t="shared" si="11"/>
        <v>11025</v>
      </c>
      <c r="I711" s="10">
        <v>77</v>
      </c>
    </row>
    <row r="712" spans="1:9" ht="15.75" thickBot="1" x14ac:dyDescent="0.3">
      <c r="A712" s="1">
        <v>43466</v>
      </c>
      <c r="B712" s="8" t="s">
        <v>6</v>
      </c>
      <c r="C712" t="s">
        <v>7</v>
      </c>
      <c r="D712" t="s">
        <v>193</v>
      </c>
      <c r="E712" t="s">
        <v>13</v>
      </c>
      <c r="F712" s="9">
        <v>2840.95</v>
      </c>
      <c r="G712" s="6">
        <v>459805.23599999998</v>
      </c>
      <c r="H712" s="8">
        <f t="shared" si="11"/>
        <v>459805.23599999998</v>
      </c>
      <c r="I712" s="10">
        <v>49</v>
      </c>
    </row>
    <row r="713" spans="1:9" ht="15.75" thickBot="1" x14ac:dyDescent="0.3">
      <c r="A713" s="1">
        <v>43466</v>
      </c>
      <c r="B713" s="8" t="s">
        <v>6</v>
      </c>
      <c r="C713" t="s">
        <v>7</v>
      </c>
      <c r="D713" t="s">
        <v>194</v>
      </c>
      <c r="E713" t="s">
        <v>15</v>
      </c>
      <c r="F713" s="9">
        <v>2057.7600000000002</v>
      </c>
      <c r="G713" s="4">
        <v>68</v>
      </c>
      <c r="H713" s="8">
        <f t="shared" si="11"/>
        <v>68</v>
      </c>
      <c r="I713" s="10">
        <v>2</v>
      </c>
    </row>
    <row r="714" spans="1:9" ht="15.75" thickBot="1" x14ac:dyDescent="0.3">
      <c r="A714" s="1">
        <v>43466</v>
      </c>
      <c r="B714" s="8" t="s">
        <v>6</v>
      </c>
      <c r="C714" t="s">
        <v>7</v>
      </c>
      <c r="D714" t="s">
        <v>194</v>
      </c>
      <c r="E714" t="s">
        <v>10</v>
      </c>
      <c r="F714" s="9">
        <v>507063</v>
      </c>
      <c r="G714" s="6">
        <v>12244379.308</v>
      </c>
      <c r="H714" s="8">
        <f t="shared" si="11"/>
        <v>12244.379308</v>
      </c>
      <c r="I714" s="10">
        <v>1345</v>
      </c>
    </row>
    <row r="715" spans="1:9" ht="15.75" thickBot="1" x14ac:dyDescent="0.3">
      <c r="A715" s="1">
        <v>43800</v>
      </c>
      <c r="B715" s="8" t="s">
        <v>6</v>
      </c>
      <c r="C715" t="s">
        <v>7</v>
      </c>
      <c r="D715" t="s">
        <v>194</v>
      </c>
      <c r="E715" t="s">
        <v>11</v>
      </c>
      <c r="F715" s="9">
        <v>373.2</v>
      </c>
      <c r="G715" s="4">
        <v>10</v>
      </c>
      <c r="H715" s="8">
        <f t="shared" si="11"/>
        <v>10</v>
      </c>
      <c r="I715" s="10">
        <v>1</v>
      </c>
    </row>
    <row r="716" spans="1:9" ht="15.75" thickBot="1" x14ac:dyDescent="0.3">
      <c r="A716" s="1">
        <v>43800</v>
      </c>
      <c r="B716" s="8" t="s">
        <v>6</v>
      </c>
      <c r="C716" t="s">
        <v>7</v>
      </c>
      <c r="D716" t="s">
        <v>194</v>
      </c>
      <c r="E716" t="s">
        <v>13</v>
      </c>
      <c r="F716" s="9">
        <v>56</v>
      </c>
      <c r="G716" s="6">
        <v>96655.982999999993</v>
      </c>
      <c r="H716" s="8">
        <f t="shared" si="11"/>
        <v>96655.982999999993</v>
      </c>
      <c r="I716" s="10">
        <v>9</v>
      </c>
    </row>
    <row r="717" spans="1:9" ht="15.75" thickBot="1" x14ac:dyDescent="0.3">
      <c r="A717" s="1">
        <v>43800</v>
      </c>
      <c r="B717" s="8" t="s">
        <v>6</v>
      </c>
      <c r="C717" t="s">
        <v>7</v>
      </c>
      <c r="D717" t="s">
        <v>195</v>
      </c>
      <c r="E717" t="s">
        <v>15</v>
      </c>
      <c r="F717" s="9">
        <v>419.44</v>
      </c>
      <c r="G717" s="4">
        <v>10</v>
      </c>
      <c r="H717" s="8">
        <f t="shared" si="11"/>
        <v>10</v>
      </c>
      <c r="I717" s="10">
        <v>1</v>
      </c>
    </row>
    <row r="718" spans="1:9" ht="15.75" thickBot="1" x14ac:dyDescent="0.3">
      <c r="A718" s="1">
        <v>43800</v>
      </c>
      <c r="B718" s="8" t="s">
        <v>6</v>
      </c>
      <c r="C718" t="s">
        <v>7</v>
      </c>
      <c r="D718" t="s">
        <v>195</v>
      </c>
      <c r="E718" t="s">
        <v>10</v>
      </c>
      <c r="F718" s="9">
        <v>-50057.77</v>
      </c>
      <c r="G718" s="6">
        <v>-91158136.856000006</v>
      </c>
      <c r="H718" s="8">
        <f t="shared" si="11"/>
        <v>-91158.136856000012</v>
      </c>
      <c r="I718" s="10">
        <v>925</v>
      </c>
    </row>
    <row r="719" spans="1:9" ht="15.75" thickBot="1" x14ac:dyDescent="0.3">
      <c r="A719" s="1">
        <v>43466</v>
      </c>
      <c r="B719" s="8" t="s">
        <v>6</v>
      </c>
      <c r="C719" t="s">
        <v>7</v>
      </c>
      <c r="D719" t="s">
        <v>195</v>
      </c>
      <c r="E719" t="s">
        <v>11</v>
      </c>
      <c r="F719" s="9">
        <v>1060.4100000000001</v>
      </c>
      <c r="G719" s="5">
        <v>0</v>
      </c>
      <c r="H719" s="8">
        <f t="shared" si="11"/>
        <v>0</v>
      </c>
      <c r="I719" s="10">
        <v>13</v>
      </c>
    </row>
    <row r="720" spans="1:9" ht="15.75" thickBot="1" x14ac:dyDescent="0.3">
      <c r="A720" s="1">
        <v>43466</v>
      </c>
      <c r="B720" s="8" t="s">
        <v>6</v>
      </c>
      <c r="C720" t="s">
        <v>7</v>
      </c>
      <c r="D720" t="s">
        <v>195</v>
      </c>
      <c r="E720" t="s">
        <v>13</v>
      </c>
      <c r="F720" s="9">
        <v>491.36</v>
      </c>
      <c r="G720" s="6">
        <v>-128398.48299999999</v>
      </c>
      <c r="H720" s="8">
        <f t="shared" si="11"/>
        <v>-128398.48299999999</v>
      </c>
      <c r="I720" s="10">
        <v>13</v>
      </c>
    </row>
    <row r="721" spans="1:9" ht="15.75" thickBot="1" x14ac:dyDescent="0.3">
      <c r="A721" s="1">
        <v>43466</v>
      </c>
      <c r="B721" s="8" t="s">
        <v>6</v>
      </c>
      <c r="C721" t="s">
        <v>7</v>
      </c>
      <c r="D721" t="s">
        <v>196</v>
      </c>
      <c r="E721" t="s">
        <v>9</v>
      </c>
      <c r="F721" s="9">
        <v>1648.55</v>
      </c>
      <c r="G721" s="4">
        <v>53</v>
      </c>
      <c r="H721" s="8">
        <f t="shared" si="11"/>
        <v>53</v>
      </c>
      <c r="I721" s="10">
        <v>1</v>
      </c>
    </row>
    <row r="722" spans="1:9" ht="15.75" thickBot="1" x14ac:dyDescent="0.3">
      <c r="A722" s="1">
        <v>43800</v>
      </c>
      <c r="B722" s="8" t="s">
        <v>6</v>
      </c>
      <c r="C722" t="s">
        <v>7</v>
      </c>
      <c r="D722" t="s">
        <v>196</v>
      </c>
      <c r="E722" t="s">
        <v>15</v>
      </c>
      <c r="F722" s="9">
        <v>5407.57</v>
      </c>
      <c r="G722" s="7">
        <v>49014.701999999997</v>
      </c>
      <c r="H722" s="8">
        <f t="shared" si="11"/>
        <v>49014.701999999997</v>
      </c>
      <c r="I722" s="10">
        <v>3</v>
      </c>
    </row>
    <row r="723" spans="1:9" ht="15.75" thickBot="1" x14ac:dyDescent="0.3">
      <c r="A723" s="1">
        <v>43800</v>
      </c>
      <c r="B723" s="8" t="s">
        <v>6</v>
      </c>
      <c r="C723" t="s">
        <v>7</v>
      </c>
      <c r="D723" t="s">
        <v>196</v>
      </c>
      <c r="E723" t="s">
        <v>10</v>
      </c>
      <c r="F723" s="9">
        <v>-407699.12</v>
      </c>
      <c r="G723" s="6">
        <v>10228765.851</v>
      </c>
      <c r="H723" s="8">
        <f t="shared" si="11"/>
        <v>10228.765851</v>
      </c>
      <c r="I723" s="10">
        <v>1234</v>
      </c>
    </row>
    <row r="724" spans="1:9" ht="15.75" thickBot="1" x14ac:dyDescent="0.3">
      <c r="A724" s="1">
        <v>43800</v>
      </c>
      <c r="B724" s="8" t="s">
        <v>6</v>
      </c>
      <c r="C724" t="s">
        <v>7</v>
      </c>
      <c r="D724" t="s">
        <v>196</v>
      </c>
      <c r="E724" t="s">
        <v>11</v>
      </c>
      <c r="F724" s="9">
        <v>407.85</v>
      </c>
      <c r="G724" s="5">
        <v>0</v>
      </c>
      <c r="H724" s="8">
        <f t="shared" si="11"/>
        <v>0</v>
      </c>
      <c r="I724" s="10">
        <v>5</v>
      </c>
    </row>
    <row r="725" spans="1:9" ht="15.75" thickBot="1" x14ac:dyDescent="0.3">
      <c r="A725" s="1">
        <v>43800</v>
      </c>
      <c r="B725" s="8" t="s">
        <v>6</v>
      </c>
      <c r="C725" t="s">
        <v>7</v>
      </c>
      <c r="D725" t="s">
        <v>196</v>
      </c>
      <c r="E725" t="s">
        <v>13</v>
      </c>
      <c r="F725" s="9">
        <v>-604.79</v>
      </c>
      <c r="G725" s="6">
        <v>-265978.549</v>
      </c>
      <c r="H725" s="8">
        <f t="shared" si="11"/>
        <v>-265978.549</v>
      </c>
      <c r="I725" s="10">
        <v>21</v>
      </c>
    </row>
    <row r="726" spans="1:9" ht="15.75" thickBot="1" x14ac:dyDescent="0.3">
      <c r="A726" s="1">
        <v>43466</v>
      </c>
      <c r="B726" s="8" t="s">
        <v>6</v>
      </c>
      <c r="C726" t="s">
        <v>7</v>
      </c>
      <c r="D726" t="s">
        <v>197</v>
      </c>
      <c r="E726" t="s">
        <v>9</v>
      </c>
      <c r="F726" s="9">
        <v>3568.6</v>
      </c>
      <c r="G726" s="4">
        <v>120</v>
      </c>
      <c r="H726" s="8">
        <f t="shared" si="11"/>
        <v>120</v>
      </c>
      <c r="I726" s="10">
        <v>3</v>
      </c>
    </row>
    <row r="727" spans="1:9" ht="15.75" thickBot="1" x14ac:dyDescent="0.3">
      <c r="A727" s="1">
        <v>43466</v>
      </c>
      <c r="B727" s="8" t="s">
        <v>6</v>
      </c>
      <c r="C727" t="s">
        <v>7</v>
      </c>
      <c r="D727" t="s">
        <v>197</v>
      </c>
      <c r="E727" t="s">
        <v>15</v>
      </c>
      <c r="F727" s="9">
        <v>14938.77</v>
      </c>
      <c r="G727" s="4">
        <v>369</v>
      </c>
      <c r="H727" s="8">
        <f t="shared" si="11"/>
        <v>369</v>
      </c>
      <c r="I727" s="10">
        <v>24</v>
      </c>
    </row>
    <row r="728" spans="1:9" ht="15.75" thickBot="1" x14ac:dyDescent="0.3">
      <c r="A728" s="1">
        <v>43466</v>
      </c>
      <c r="B728" s="8" t="s">
        <v>6</v>
      </c>
      <c r="C728" t="s">
        <v>7</v>
      </c>
      <c r="D728" t="s">
        <v>197</v>
      </c>
      <c r="E728" t="s">
        <v>10</v>
      </c>
      <c r="F728" s="9">
        <v>97380.36</v>
      </c>
      <c r="G728" s="7">
        <v>70577835.385000005</v>
      </c>
      <c r="H728" s="8">
        <f t="shared" si="11"/>
        <v>70577.835384999998</v>
      </c>
      <c r="I728" s="10">
        <v>6233</v>
      </c>
    </row>
    <row r="729" spans="1:9" ht="15.75" thickBot="1" x14ac:dyDescent="0.3">
      <c r="A729" s="1">
        <v>43800</v>
      </c>
      <c r="B729" s="8" t="s">
        <v>6</v>
      </c>
      <c r="C729" t="s">
        <v>7</v>
      </c>
      <c r="D729" t="s">
        <v>197</v>
      </c>
      <c r="E729" t="s">
        <v>11</v>
      </c>
      <c r="F729" s="9">
        <v>42531.4</v>
      </c>
      <c r="G729" s="4">
        <v>1013</v>
      </c>
      <c r="H729" s="8">
        <f t="shared" si="11"/>
        <v>1013</v>
      </c>
      <c r="I729" s="10">
        <v>27</v>
      </c>
    </row>
    <row r="730" spans="1:9" ht="15.75" thickBot="1" x14ac:dyDescent="0.3">
      <c r="A730" s="1">
        <v>43800</v>
      </c>
      <c r="B730" s="8" t="s">
        <v>6</v>
      </c>
      <c r="C730" t="s">
        <v>7</v>
      </c>
      <c r="D730" t="s">
        <v>197</v>
      </c>
      <c r="E730" t="s">
        <v>13</v>
      </c>
      <c r="F730" s="9">
        <v>722.99</v>
      </c>
      <c r="G730" s="7">
        <v>115134.243</v>
      </c>
      <c r="H730" s="8">
        <f t="shared" si="11"/>
        <v>115134.243</v>
      </c>
      <c r="I730" s="10">
        <v>22</v>
      </c>
    </row>
    <row r="731" spans="1:9" ht="15.75" thickBot="1" x14ac:dyDescent="0.3">
      <c r="A731" s="1">
        <v>43800</v>
      </c>
      <c r="B731" s="8" t="s">
        <v>6</v>
      </c>
      <c r="C731" t="s">
        <v>7</v>
      </c>
      <c r="D731" t="s">
        <v>198</v>
      </c>
      <c r="E731" t="s">
        <v>9</v>
      </c>
      <c r="F731" s="9">
        <v>1044.19</v>
      </c>
      <c r="G731" s="4">
        <v>9</v>
      </c>
      <c r="H731" s="8">
        <f t="shared" si="11"/>
        <v>9</v>
      </c>
      <c r="I731" s="10">
        <v>1</v>
      </c>
    </row>
    <row r="732" spans="1:9" ht="15.75" thickBot="1" x14ac:dyDescent="0.3">
      <c r="A732" s="1">
        <v>43800</v>
      </c>
      <c r="B732" s="8" t="s">
        <v>6</v>
      </c>
      <c r="C732" t="s">
        <v>7</v>
      </c>
      <c r="D732" t="s">
        <v>198</v>
      </c>
      <c r="E732" t="s">
        <v>10</v>
      </c>
      <c r="F732" s="9">
        <v>37081.040000000001</v>
      </c>
      <c r="G732" s="6">
        <v>1314155.6669999999</v>
      </c>
      <c r="H732" s="8">
        <f t="shared" si="11"/>
        <v>1314.155667</v>
      </c>
      <c r="I732" s="10">
        <v>55</v>
      </c>
    </row>
    <row r="733" spans="1:9" ht="15.75" thickBot="1" x14ac:dyDescent="0.3">
      <c r="A733" s="1">
        <v>43466</v>
      </c>
      <c r="B733" s="8" t="s">
        <v>6</v>
      </c>
      <c r="C733" t="s">
        <v>7</v>
      </c>
      <c r="D733" t="s">
        <v>198</v>
      </c>
      <c r="E733" t="s">
        <v>11</v>
      </c>
      <c r="F733" s="9">
        <v>1968.95</v>
      </c>
      <c r="G733" s="6">
        <v>30155.667000000001</v>
      </c>
      <c r="H733" s="8">
        <f t="shared" si="11"/>
        <v>30155.667000000001</v>
      </c>
      <c r="I733" s="10">
        <v>11</v>
      </c>
    </row>
    <row r="734" spans="1:9" ht="15.75" thickBot="1" x14ac:dyDescent="0.3">
      <c r="A734" s="1">
        <v>43466</v>
      </c>
      <c r="B734" s="8" t="s">
        <v>6</v>
      </c>
      <c r="C734" t="s">
        <v>7</v>
      </c>
      <c r="D734" t="s">
        <v>199</v>
      </c>
      <c r="E734" t="s">
        <v>9</v>
      </c>
      <c r="F734" s="9">
        <v>43913.16</v>
      </c>
      <c r="G734" s="4">
        <v>663</v>
      </c>
      <c r="H734" s="8">
        <f t="shared" si="11"/>
        <v>663</v>
      </c>
      <c r="I734" s="10">
        <v>3</v>
      </c>
    </row>
    <row r="735" spans="1:9" ht="15.75" thickBot="1" x14ac:dyDescent="0.3">
      <c r="A735" s="1">
        <v>43466</v>
      </c>
      <c r="B735" s="8" t="s">
        <v>6</v>
      </c>
      <c r="C735" t="s">
        <v>7</v>
      </c>
      <c r="D735" t="s">
        <v>199</v>
      </c>
      <c r="E735" t="s">
        <v>10</v>
      </c>
      <c r="F735" s="9">
        <v>108296.49</v>
      </c>
      <c r="G735" s="6">
        <v>3754871.1</v>
      </c>
      <c r="H735" s="8">
        <f t="shared" si="11"/>
        <v>3754.8711000000003</v>
      </c>
      <c r="I735" s="10">
        <v>123</v>
      </c>
    </row>
    <row r="736" spans="1:9" ht="15.75" thickBot="1" x14ac:dyDescent="0.3">
      <c r="A736" s="1">
        <v>43800</v>
      </c>
      <c r="B736" s="8" t="s">
        <v>6</v>
      </c>
      <c r="C736" t="s">
        <v>7</v>
      </c>
      <c r="D736" t="s">
        <v>199</v>
      </c>
      <c r="E736" t="s">
        <v>11</v>
      </c>
      <c r="F736" s="9">
        <v>21553.55</v>
      </c>
      <c r="G736" s="7">
        <v>770034</v>
      </c>
      <c r="H736" s="8">
        <f t="shared" si="11"/>
        <v>770034</v>
      </c>
      <c r="I736" s="10">
        <v>20</v>
      </c>
    </row>
    <row r="737" spans="1:9" ht="15.75" thickBot="1" x14ac:dyDescent="0.3">
      <c r="A737" s="1">
        <v>43800</v>
      </c>
      <c r="B737" s="8" t="s">
        <v>6</v>
      </c>
      <c r="C737" t="s">
        <v>7</v>
      </c>
      <c r="D737" t="s">
        <v>199</v>
      </c>
      <c r="E737" t="s">
        <v>13</v>
      </c>
      <c r="F737" s="9">
        <v>6999.98</v>
      </c>
      <c r="G737" s="6">
        <v>326000</v>
      </c>
      <c r="H737" s="8">
        <f t="shared" si="11"/>
        <v>326000</v>
      </c>
      <c r="I737" s="10">
        <v>1</v>
      </c>
    </row>
    <row r="738" spans="1:9" ht="15.75" thickBot="1" x14ac:dyDescent="0.3">
      <c r="A738" s="1">
        <v>43800</v>
      </c>
      <c r="B738" s="8" t="s">
        <v>6</v>
      </c>
      <c r="C738" t="s">
        <v>7</v>
      </c>
      <c r="D738" t="s">
        <v>200</v>
      </c>
      <c r="E738" t="s">
        <v>9</v>
      </c>
      <c r="F738" s="9">
        <v>11086.72</v>
      </c>
      <c r="G738" s="4">
        <v>396</v>
      </c>
      <c r="H738" s="8">
        <f t="shared" si="11"/>
        <v>396</v>
      </c>
      <c r="I738" s="10">
        <v>2</v>
      </c>
    </row>
    <row r="739" spans="1:9" ht="15.75" thickBot="1" x14ac:dyDescent="0.3">
      <c r="A739" s="1">
        <v>43800</v>
      </c>
      <c r="B739" s="8" t="s">
        <v>6</v>
      </c>
      <c r="C739" t="s">
        <v>7</v>
      </c>
      <c r="D739" t="s">
        <v>200</v>
      </c>
      <c r="E739" t="s">
        <v>15</v>
      </c>
      <c r="F739" s="9">
        <v>5613.44</v>
      </c>
      <c r="G739" s="4">
        <v>129</v>
      </c>
      <c r="H739" s="8">
        <f t="shared" si="11"/>
        <v>129</v>
      </c>
      <c r="I739" s="10">
        <v>15</v>
      </c>
    </row>
    <row r="740" spans="1:9" ht="15.75" thickBot="1" x14ac:dyDescent="0.3">
      <c r="A740" s="1">
        <v>43466</v>
      </c>
      <c r="B740" s="8" t="s">
        <v>6</v>
      </c>
      <c r="C740" t="s">
        <v>7</v>
      </c>
      <c r="D740" t="s">
        <v>200</v>
      </c>
      <c r="E740" t="s">
        <v>10</v>
      </c>
      <c r="F740" s="9">
        <v>238842.84</v>
      </c>
      <c r="G740" s="6">
        <v>8287034.6289999997</v>
      </c>
      <c r="H740" s="8">
        <f t="shared" si="11"/>
        <v>8287.0346289999998</v>
      </c>
      <c r="I740" s="10">
        <v>1087</v>
      </c>
    </row>
    <row r="741" spans="1:9" ht="15.75" thickBot="1" x14ac:dyDescent="0.3">
      <c r="A741" s="1">
        <v>43466</v>
      </c>
      <c r="B741" s="8" t="s">
        <v>6</v>
      </c>
      <c r="C741" t="s">
        <v>7</v>
      </c>
      <c r="D741" t="s">
        <v>200</v>
      </c>
      <c r="E741" t="s">
        <v>11</v>
      </c>
      <c r="F741" s="9">
        <v>13428.12</v>
      </c>
      <c r="G741" s="4">
        <v>383</v>
      </c>
      <c r="H741" s="8">
        <f t="shared" si="11"/>
        <v>383</v>
      </c>
      <c r="I741" s="10">
        <v>13</v>
      </c>
    </row>
    <row r="742" spans="1:9" ht="15.75" thickBot="1" x14ac:dyDescent="0.3">
      <c r="A742" s="1">
        <v>43466</v>
      </c>
      <c r="B742" s="8" t="s">
        <v>6</v>
      </c>
      <c r="C742" t="s">
        <v>7</v>
      </c>
      <c r="D742" t="s">
        <v>200</v>
      </c>
      <c r="E742" t="s">
        <v>13</v>
      </c>
      <c r="F742" s="9">
        <v>555.61</v>
      </c>
      <c r="G742" s="6">
        <v>19000</v>
      </c>
      <c r="H742" s="8">
        <f t="shared" si="11"/>
        <v>19000</v>
      </c>
      <c r="I742" s="10">
        <v>3</v>
      </c>
    </row>
    <row r="743" spans="1:9" ht="15.75" thickBot="1" x14ac:dyDescent="0.3">
      <c r="A743" s="1">
        <v>43800</v>
      </c>
      <c r="B743" s="8" t="s">
        <v>6</v>
      </c>
      <c r="C743" t="s">
        <v>7</v>
      </c>
      <c r="D743" t="s">
        <v>201</v>
      </c>
      <c r="E743" t="s">
        <v>10</v>
      </c>
      <c r="F743" s="9">
        <v>33358.81</v>
      </c>
      <c r="G743" s="6">
        <v>1008000</v>
      </c>
      <c r="H743" s="8">
        <f t="shared" si="11"/>
        <v>1008</v>
      </c>
      <c r="I743" s="10">
        <v>92</v>
      </c>
    </row>
    <row r="744" spans="1:9" ht="15.75" thickBot="1" x14ac:dyDescent="0.3">
      <c r="A744" s="1">
        <v>43800</v>
      </c>
      <c r="B744" s="8" t="s">
        <v>6</v>
      </c>
      <c r="C744" t="s">
        <v>7</v>
      </c>
      <c r="D744" t="s">
        <v>201</v>
      </c>
      <c r="E744" t="s">
        <v>11</v>
      </c>
      <c r="F744" s="9">
        <v>1262.71</v>
      </c>
      <c r="G744" s="7">
        <v>10019</v>
      </c>
      <c r="H744" s="8">
        <f t="shared" si="11"/>
        <v>10019</v>
      </c>
      <c r="I744" s="10">
        <v>6</v>
      </c>
    </row>
    <row r="745" spans="1:9" ht="15.75" thickBot="1" x14ac:dyDescent="0.3">
      <c r="A745" s="1">
        <v>43800</v>
      </c>
      <c r="B745" s="8" t="s">
        <v>6</v>
      </c>
      <c r="C745" t="s">
        <v>7</v>
      </c>
      <c r="D745" t="s">
        <v>201</v>
      </c>
      <c r="E745" t="s">
        <v>13</v>
      </c>
      <c r="F745" s="9">
        <v>301.16000000000003</v>
      </c>
      <c r="G745" s="6">
        <v>12000</v>
      </c>
      <c r="H745" s="8">
        <f t="shared" si="11"/>
        <v>12000</v>
      </c>
      <c r="I745" s="10">
        <v>1</v>
      </c>
    </row>
    <row r="746" spans="1:9" ht="15.75" thickBot="1" x14ac:dyDescent="0.3">
      <c r="A746" s="1">
        <v>43800</v>
      </c>
      <c r="B746" s="8" t="s">
        <v>6</v>
      </c>
      <c r="C746" t="s">
        <v>7</v>
      </c>
      <c r="D746" t="s">
        <v>202</v>
      </c>
      <c r="E746" t="s">
        <v>9</v>
      </c>
      <c r="F746" s="9">
        <v>137.96</v>
      </c>
      <c r="G746" s="4">
        <v>3</v>
      </c>
      <c r="H746" s="8">
        <f t="shared" si="11"/>
        <v>3</v>
      </c>
      <c r="I746" s="10">
        <v>1</v>
      </c>
    </row>
    <row r="747" spans="1:9" ht="15.75" thickBot="1" x14ac:dyDescent="0.3">
      <c r="A747" s="1">
        <v>43466</v>
      </c>
      <c r="B747" s="8" t="s">
        <v>6</v>
      </c>
      <c r="C747" t="s">
        <v>7</v>
      </c>
      <c r="D747" t="s">
        <v>202</v>
      </c>
      <c r="E747" t="s">
        <v>15</v>
      </c>
      <c r="F747" s="9">
        <v>512</v>
      </c>
      <c r="G747" s="4">
        <v>0</v>
      </c>
      <c r="H747" s="8">
        <f t="shared" si="11"/>
        <v>0</v>
      </c>
      <c r="I747" s="10">
        <v>3</v>
      </c>
    </row>
    <row r="748" spans="1:9" ht="15.75" thickBot="1" x14ac:dyDescent="0.3">
      <c r="A748" s="1">
        <v>43466</v>
      </c>
      <c r="B748" s="8" t="s">
        <v>6</v>
      </c>
      <c r="C748" t="s">
        <v>7</v>
      </c>
      <c r="D748" t="s">
        <v>202</v>
      </c>
      <c r="E748" t="s">
        <v>10</v>
      </c>
      <c r="F748" s="9">
        <v>80605.45</v>
      </c>
      <c r="G748" s="6">
        <v>2555999.9160000002</v>
      </c>
      <c r="H748" s="8">
        <f t="shared" si="11"/>
        <v>2555.9999160000002</v>
      </c>
      <c r="I748" s="10">
        <v>246</v>
      </c>
    </row>
    <row r="749" spans="1:9" ht="15.75" thickBot="1" x14ac:dyDescent="0.3">
      <c r="A749" s="1">
        <v>43466</v>
      </c>
      <c r="B749" s="8" t="s">
        <v>6</v>
      </c>
      <c r="C749" t="s">
        <v>7</v>
      </c>
      <c r="D749" t="s">
        <v>202</v>
      </c>
      <c r="E749" t="s">
        <v>11</v>
      </c>
      <c r="F749" s="9">
        <v>1450.24</v>
      </c>
      <c r="G749" s="7">
        <v>6031</v>
      </c>
      <c r="H749" s="8">
        <f t="shared" si="11"/>
        <v>6031</v>
      </c>
      <c r="I749" s="10">
        <v>5</v>
      </c>
    </row>
    <row r="750" spans="1:9" ht="15.75" thickBot="1" x14ac:dyDescent="0.3">
      <c r="A750" s="1">
        <v>43800</v>
      </c>
      <c r="B750" s="8" t="s">
        <v>6</v>
      </c>
      <c r="C750" t="s">
        <v>7</v>
      </c>
      <c r="D750" t="s">
        <v>202</v>
      </c>
      <c r="E750" t="s">
        <v>13</v>
      </c>
      <c r="F750" s="9">
        <v>168.53</v>
      </c>
      <c r="G750" s="6">
        <v>7000</v>
      </c>
      <c r="H750" s="8">
        <f t="shared" si="11"/>
        <v>7000</v>
      </c>
      <c r="I750" s="10">
        <v>1</v>
      </c>
    </row>
    <row r="751" spans="1:9" ht="15.75" thickBot="1" x14ac:dyDescent="0.3">
      <c r="A751" s="1">
        <v>43800</v>
      </c>
      <c r="B751" s="8" t="s">
        <v>6</v>
      </c>
      <c r="C751" t="s">
        <v>7</v>
      </c>
      <c r="D751" t="s">
        <v>203</v>
      </c>
      <c r="E751" t="s">
        <v>9</v>
      </c>
      <c r="F751" s="9">
        <v>1046.92</v>
      </c>
      <c r="G751" s="4">
        <v>31</v>
      </c>
      <c r="H751" s="8">
        <f t="shared" si="11"/>
        <v>31</v>
      </c>
      <c r="I751" s="10">
        <v>2</v>
      </c>
    </row>
    <row r="752" spans="1:9" ht="15.75" thickBot="1" x14ac:dyDescent="0.3">
      <c r="A752" s="1">
        <v>43800</v>
      </c>
      <c r="B752" s="8" t="s">
        <v>6</v>
      </c>
      <c r="C752" t="s">
        <v>7</v>
      </c>
      <c r="D752" t="s">
        <v>203</v>
      </c>
      <c r="E752" t="s">
        <v>15</v>
      </c>
      <c r="F752" s="9">
        <v>122.6</v>
      </c>
      <c r="G752" s="4">
        <v>1</v>
      </c>
      <c r="H752" s="8">
        <f t="shared" si="11"/>
        <v>1</v>
      </c>
      <c r="I752" s="10">
        <v>1</v>
      </c>
    </row>
    <row r="753" spans="1:9" ht="15.75" thickBot="1" x14ac:dyDescent="0.3">
      <c r="A753" s="1">
        <v>43800</v>
      </c>
      <c r="B753" s="8" t="s">
        <v>6</v>
      </c>
      <c r="C753" t="s">
        <v>7</v>
      </c>
      <c r="D753" t="s">
        <v>203</v>
      </c>
      <c r="E753" t="s">
        <v>10</v>
      </c>
      <c r="F753" s="9">
        <v>182425.51</v>
      </c>
      <c r="G753" s="6">
        <v>5400899.1359999999</v>
      </c>
      <c r="H753" s="8">
        <f t="shared" si="11"/>
        <v>5400.899136</v>
      </c>
      <c r="I753" s="10">
        <v>581</v>
      </c>
    </row>
    <row r="754" spans="1:9" ht="15.75" thickBot="1" x14ac:dyDescent="0.3">
      <c r="A754" s="1">
        <v>43466</v>
      </c>
      <c r="B754" s="8" t="s">
        <v>6</v>
      </c>
      <c r="C754" t="s">
        <v>7</v>
      </c>
      <c r="D754" t="s">
        <v>203</v>
      </c>
      <c r="E754" t="s">
        <v>11</v>
      </c>
      <c r="F754" s="9">
        <v>6126.61</v>
      </c>
      <c r="G754" s="4">
        <v>122</v>
      </c>
      <c r="H754" s="8">
        <f t="shared" si="11"/>
        <v>122</v>
      </c>
      <c r="I754" s="10">
        <v>12</v>
      </c>
    </row>
    <row r="755" spans="1:9" ht="15.75" thickBot="1" x14ac:dyDescent="0.3">
      <c r="A755" s="1">
        <v>43466</v>
      </c>
      <c r="B755" s="8" t="s">
        <v>6</v>
      </c>
      <c r="C755" t="s">
        <v>7</v>
      </c>
      <c r="D755" t="s">
        <v>203</v>
      </c>
      <c r="E755" t="s">
        <v>13</v>
      </c>
      <c r="F755" s="9">
        <v>1963.61</v>
      </c>
      <c r="G755" s="6">
        <v>59000</v>
      </c>
      <c r="H755" s="8">
        <f t="shared" si="11"/>
        <v>59000</v>
      </c>
      <c r="I755" s="10">
        <v>6</v>
      </c>
    </row>
    <row r="756" spans="1:9" ht="15.75" thickBot="1" x14ac:dyDescent="0.3">
      <c r="A756" s="1">
        <v>43466</v>
      </c>
      <c r="B756" s="8" t="s">
        <v>6</v>
      </c>
      <c r="C756" t="s">
        <v>7</v>
      </c>
      <c r="D756" t="s">
        <v>204</v>
      </c>
      <c r="E756" t="s">
        <v>9</v>
      </c>
      <c r="F756" s="9">
        <v>26296.07</v>
      </c>
      <c r="G756" s="7">
        <v>102107.424</v>
      </c>
      <c r="H756" s="8">
        <f t="shared" si="11"/>
        <v>102107.424</v>
      </c>
      <c r="I756" s="10">
        <v>29</v>
      </c>
    </row>
    <row r="757" spans="1:9" ht="15.75" thickBot="1" x14ac:dyDescent="0.3">
      <c r="A757" s="1">
        <v>43800</v>
      </c>
      <c r="B757" s="8" t="s">
        <v>6</v>
      </c>
      <c r="C757" t="s">
        <v>7</v>
      </c>
      <c r="D757" t="s">
        <v>204</v>
      </c>
      <c r="E757" t="s">
        <v>15</v>
      </c>
      <c r="F757" s="9">
        <v>1563.82</v>
      </c>
      <c r="G757" s="4">
        <v>39</v>
      </c>
      <c r="H757" s="8">
        <f t="shared" si="11"/>
        <v>39</v>
      </c>
      <c r="I757" s="10">
        <v>6</v>
      </c>
    </row>
    <row r="758" spans="1:9" ht="15.75" thickBot="1" x14ac:dyDescent="0.3">
      <c r="A758" s="1">
        <v>43800</v>
      </c>
      <c r="B758" s="8" t="s">
        <v>6</v>
      </c>
      <c r="C758" t="s">
        <v>7</v>
      </c>
      <c r="D758" t="s">
        <v>204</v>
      </c>
      <c r="E758" t="s">
        <v>10</v>
      </c>
      <c r="F758" s="9">
        <v>420802.55</v>
      </c>
      <c r="G758" s="7">
        <v>18361304.463</v>
      </c>
      <c r="H758" s="8">
        <f t="shared" si="11"/>
        <v>18361.304463</v>
      </c>
      <c r="I758" s="10">
        <v>1160</v>
      </c>
    </row>
    <row r="759" spans="1:9" ht="15.75" thickBot="1" x14ac:dyDescent="0.3">
      <c r="A759" s="1">
        <v>43800</v>
      </c>
      <c r="B759" s="8" t="s">
        <v>6</v>
      </c>
      <c r="C759" t="s">
        <v>7</v>
      </c>
      <c r="D759" t="s">
        <v>204</v>
      </c>
      <c r="E759" t="s">
        <v>17</v>
      </c>
      <c r="F759" s="9">
        <v>6558.62</v>
      </c>
      <c r="G759" s="4">
        <v>240</v>
      </c>
      <c r="H759" s="8">
        <f t="shared" si="11"/>
        <v>240</v>
      </c>
      <c r="I759" s="10">
        <v>2</v>
      </c>
    </row>
    <row r="760" spans="1:9" ht="15.75" thickBot="1" x14ac:dyDescent="0.3">
      <c r="A760" s="1">
        <v>43800</v>
      </c>
      <c r="B760" s="8" t="s">
        <v>6</v>
      </c>
      <c r="C760" t="s">
        <v>7</v>
      </c>
      <c r="D760" t="s">
        <v>204</v>
      </c>
      <c r="E760" t="s">
        <v>11</v>
      </c>
      <c r="F760" s="9">
        <v>38102.6</v>
      </c>
      <c r="G760" s="7">
        <v>157097.66500000001</v>
      </c>
      <c r="H760" s="8">
        <f t="shared" si="11"/>
        <v>157097.66500000001</v>
      </c>
      <c r="I760" s="10">
        <v>29</v>
      </c>
    </row>
    <row r="761" spans="1:9" ht="15.75" thickBot="1" x14ac:dyDescent="0.3">
      <c r="A761" s="1">
        <v>43466</v>
      </c>
      <c r="B761" s="8" t="s">
        <v>6</v>
      </c>
      <c r="C761" t="s">
        <v>7</v>
      </c>
      <c r="D761" t="s">
        <v>204</v>
      </c>
      <c r="E761" t="s">
        <v>13</v>
      </c>
      <c r="F761" s="9">
        <v>1176.27</v>
      </c>
      <c r="G761" s="6">
        <v>48000</v>
      </c>
      <c r="H761" s="8">
        <f t="shared" si="11"/>
        <v>48000</v>
      </c>
      <c r="I761" s="10">
        <v>5</v>
      </c>
    </row>
    <row r="762" spans="1:9" ht="15.75" thickBot="1" x14ac:dyDescent="0.3">
      <c r="A762" s="1">
        <v>43466</v>
      </c>
      <c r="B762" s="8" t="s">
        <v>6</v>
      </c>
      <c r="C762" t="s">
        <v>7</v>
      </c>
      <c r="D762" t="s">
        <v>205</v>
      </c>
      <c r="E762" t="s">
        <v>10</v>
      </c>
      <c r="F762" s="9">
        <v>105086.72</v>
      </c>
      <c r="G762" s="6">
        <v>3522939.6069999998</v>
      </c>
      <c r="H762" s="8">
        <f t="shared" si="11"/>
        <v>3522.9396069999998</v>
      </c>
      <c r="I762" s="10">
        <v>331</v>
      </c>
    </row>
    <row r="763" spans="1:9" ht="15.75" thickBot="1" x14ac:dyDescent="0.3">
      <c r="A763" s="1">
        <v>43466</v>
      </c>
      <c r="B763" s="8" t="s">
        <v>6</v>
      </c>
      <c r="C763" t="s">
        <v>7</v>
      </c>
      <c r="D763" t="s">
        <v>205</v>
      </c>
      <c r="E763" t="s">
        <v>13</v>
      </c>
      <c r="F763" s="9">
        <v>500.04</v>
      </c>
      <c r="G763" s="6">
        <v>18000</v>
      </c>
      <c r="H763" s="8">
        <f t="shared" si="11"/>
        <v>18000</v>
      </c>
      <c r="I763" s="10">
        <v>1</v>
      </c>
    </row>
    <row r="764" spans="1:9" ht="15.75" thickBot="1" x14ac:dyDescent="0.3">
      <c r="A764" s="1">
        <v>43800</v>
      </c>
      <c r="B764" s="8" t="s">
        <v>6</v>
      </c>
      <c r="C764" t="s">
        <v>7</v>
      </c>
      <c r="D764" t="s">
        <v>206</v>
      </c>
      <c r="E764" t="s">
        <v>15</v>
      </c>
      <c r="F764" s="9">
        <v>1155.9000000000001</v>
      </c>
      <c r="G764" s="4">
        <v>14</v>
      </c>
      <c r="H764" s="8">
        <f t="shared" si="11"/>
        <v>14</v>
      </c>
      <c r="I764" s="10">
        <v>2</v>
      </c>
    </row>
    <row r="765" spans="1:9" ht="15.75" thickBot="1" x14ac:dyDescent="0.3">
      <c r="A765" s="1">
        <v>43800</v>
      </c>
      <c r="B765" s="8" t="s">
        <v>6</v>
      </c>
      <c r="C765" t="s">
        <v>7</v>
      </c>
      <c r="D765" t="s">
        <v>206</v>
      </c>
      <c r="E765" t="s">
        <v>10</v>
      </c>
      <c r="F765" s="9">
        <v>185221.96</v>
      </c>
      <c r="G765" s="6">
        <v>5901239.4929999998</v>
      </c>
      <c r="H765" s="8">
        <f t="shared" si="11"/>
        <v>5901.239493</v>
      </c>
      <c r="I765" s="10">
        <v>488</v>
      </c>
    </row>
    <row r="766" spans="1:9" ht="15.75" thickBot="1" x14ac:dyDescent="0.3">
      <c r="A766" s="1">
        <v>43800</v>
      </c>
      <c r="B766" s="8" t="s">
        <v>6</v>
      </c>
      <c r="C766" t="s">
        <v>7</v>
      </c>
      <c r="D766" t="s">
        <v>206</v>
      </c>
      <c r="E766" t="s">
        <v>11</v>
      </c>
      <c r="F766" s="9">
        <v>1056.8699999999999</v>
      </c>
      <c r="G766" s="6">
        <v>29000</v>
      </c>
      <c r="H766" s="8">
        <f t="shared" si="11"/>
        <v>29000</v>
      </c>
      <c r="I766" s="10">
        <v>5</v>
      </c>
    </row>
    <row r="767" spans="1:9" ht="15.75" thickBot="1" x14ac:dyDescent="0.3">
      <c r="A767" s="1">
        <v>43800</v>
      </c>
      <c r="B767" s="8" t="s">
        <v>6</v>
      </c>
      <c r="C767" t="s">
        <v>7</v>
      </c>
      <c r="D767" t="s">
        <v>206</v>
      </c>
      <c r="E767" t="s">
        <v>13</v>
      </c>
      <c r="F767" s="9">
        <v>858.27</v>
      </c>
      <c r="G767" s="6">
        <v>30172</v>
      </c>
      <c r="H767" s="8">
        <f t="shared" si="11"/>
        <v>30172</v>
      </c>
      <c r="I767" s="10">
        <v>3</v>
      </c>
    </row>
    <row r="768" spans="1:9" ht="15.75" thickBot="1" x14ac:dyDescent="0.3">
      <c r="A768" s="1">
        <v>43466</v>
      </c>
      <c r="B768" s="8" t="s">
        <v>6</v>
      </c>
      <c r="C768" t="s">
        <v>7</v>
      </c>
      <c r="D768" t="s">
        <v>207</v>
      </c>
      <c r="E768" t="s">
        <v>9</v>
      </c>
      <c r="F768" s="9">
        <v>40694.15</v>
      </c>
      <c r="G768" s="4">
        <v>1210</v>
      </c>
      <c r="H768" s="8">
        <f t="shared" si="11"/>
        <v>1210</v>
      </c>
      <c r="I768" s="10">
        <v>2</v>
      </c>
    </row>
    <row r="769" spans="1:9" ht="15.75" thickBot="1" x14ac:dyDescent="0.3">
      <c r="A769" s="1">
        <v>43466</v>
      </c>
      <c r="B769" s="8" t="s">
        <v>6</v>
      </c>
      <c r="C769" t="s">
        <v>7</v>
      </c>
      <c r="D769" t="s">
        <v>207</v>
      </c>
      <c r="E769" t="s">
        <v>10</v>
      </c>
      <c r="F769" s="9">
        <v>11038.08</v>
      </c>
      <c r="G769" s="6">
        <v>511000</v>
      </c>
      <c r="H769" s="8">
        <f t="shared" si="11"/>
        <v>511</v>
      </c>
      <c r="I769" s="10">
        <v>1</v>
      </c>
    </row>
    <row r="770" spans="1:9" ht="15.75" thickBot="1" x14ac:dyDescent="0.3">
      <c r="A770" s="1">
        <v>43466</v>
      </c>
      <c r="B770" s="8" t="s">
        <v>6</v>
      </c>
      <c r="C770" t="s">
        <v>7</v>
      </c>
      <c r="D770" t="s">
        <v>207</v>
      </c>
      <c r="E770" t="s">
        <v>11</v>
      </c>
      <c r="F770" s="9">
        <v>10344.969999999999</v>
      </c>
      <c r="G770" s="4">
        <v>317</v>
      </c>
      <c r="H770" s="8">
        <f t="shared" ref="H770:H833" si="12">IF(ISNUMBER(SEARCH("Domestic customer", E770)),G770/1000,G770)</f>
        <v>317</v>
      </c>
      <c r="I770" s="10">
        <v>2</v>
      </c>
    </row>
    <row r="771" spans="1:9" ht="15.75" thickBot="1" x14ac:dyDescent="0.3">
      <c r="A771" s="1">
        <v>43800</v>
      </c>
      <c r="B771" s="8" t="s">
        <v>6</v>
      </c>
      <c r="C771" t="s">
        <v>7</v>
      </c>
      <c r="D771" t="s">
        <v>208</v>
      </c>
      <c r="E771" t="s">
        <v>9</v>
      </c>
      <c r="F771" s="9">
        <v>5455.04</v>
      </c>
      <c r="G771" s="4">
        <v>172</v>
      </c>
      <c r="H771" s="8">
        <f t="shared" si="12"/>
        <v>172</v>
      </c>
      <c r="I771" s="10">
        <v>7</v>
      </c>
    </row>
    <row r="772" spans="1:9" ht="15.75" thickBot="1" x14ac:dyDescent="0.3">
      <c r="A772" s="1">
        <v>43800</v>
      </c>
      <c r="B772" s="8" t="s">
        <v>6</v>
      </c>
      <c r="C772" t="s">
        <v>7</v>
      </c>
      <c r="D772" t="s">
        <v>208</v>
      </c>
      <c r="E772" t="s">
        <v>15</v>
      </c>
      <c r="F772" s="9">
        <v>1713.24</v>
      </c>
      <c r="G772" s="4">
        <v>57</v>
      </c>
      <c r="H772" s="8">
        <f t="shared" si="12"/>
        <v>57</v>
      </c>
      <c r="I772" s="10">
        <v>2</v>
      </c>
    </row>
    <row r="773" spans="1:9" ht="15.75" thickBot="1" x14ac:dyDescent="0.3">
      <c r="A773" s="1">
        <v>43800</v>
      </c>
      <c r="B773" s="8" t="s">
        <v>6</v>
      </c>
      <c r="C773" t="s">
        <v>7</v>
      </c>
      <c r="D773" t="s">
        <v>208</v>
      </c>
      <c r="E773" t="s">
        <v>10</v>
      </c>
      <c r="F773" s="9">
        <v>40006.699999999997</v>
      </c>
      <c r="G773" s="7">
        <v>1176504.8500000001</v>
      </c>
      <c r="H773" s="8">
        <f t="shared" si="12"/>
        <v>1176.50485</v>
      </c>
      <c r="I773" s="10">
        <v>151</v>
      </c>
    </row>
    <row r="774" spans="1:9" ht="15.75" thickBot="1" x14ac:dyDescent="0.3">
      <c r="A774" s="1">
        <v>43800</v>
      </c>
      <c r="B774" s="8" t="s">
        <v>6</v>
      </c>
      <c r="C774" t="s">
        <v>7</v>
      </c>
      <c r="D774" t="s">
        <v>208</v>
      </c>
      <c r="E774" t="s">
        <v>11</v>
      </c>
      <c r="F774" s="9">
        <v>1650.68</v>
      </c>
      <c r="G774" s="4">
        <v>49</v>
      </c>
      <c r="H774" s="8">
        <f t="shared" si="12"/>
        <v>49</v>
      </c>
      <c r="I774" s="10">
        <v>3</v>
      </c>
    </row>
    <row r="775" spans="1:9" ht="15.75" thickBot="1" x14ac:dyDescent="0.3">
      <c r="A775" s="1">
        <v>43466</v>
      </c>
      <c r="B775" s="8" t="s">
        <v>6</v>
      </c>
      <c r="C775" t="s">
        <v>7</v>
      </c>
      <c r="D775" t="s">
        <v>208</v>
      </c>
      <c r="E775" t="s">
        <v>13</v>
      </c>
      <c r="F775" s="9">
        <v>983.13</v>
      </c>
      <c r="G775" s="6">
        <v>31000</v>
      </c>
      <c r="H775" s="8">
        <f t="shared" si="12"/>
        <v>31000</v>
      </c>
      <c r="I775" s="10">
        <v>4</v>
      </c>
    </row>
    <row r="776" spans="1:9" ht="15.75" thickBot="1" x14ac:dyDescent="0.3">
      <c r="A776" s="1">
        <v>43466</v>
      </c>
      <c r="B776" s="8" t="s">
        <v>6</v>
      </c>
      <c r="C776" t="s">
        <v>7</v>
      </c>
      <c r="D776" t="s">
        <v>209</v>
      </c>
      <c r="E776" t="s">
        <v>11</v>
      </c>
      <c r="F776" s="9">
        <v>81.569999999999993</v>
      </c>
      <c r="G776" s="5">
        <v>0</v>
      </c>
      <c r="H776" s="8">
        <f t="shared" si="12"/>
        <v>0</v>
      </c>
      <c r="I776" s="10">
        <v>1</v>
      </c>
    </row>
    <row r="777" spans="1:9" ht="15.75" thickBot="1" x14ac:dyDescent="0.3">
      <c r="A777" s="1">
        <v>43466</v>
      </c>
      <c r="B777" s="8" t="s">
        <v>6</v>
      </c>
      <c r="C777" t="s">
        <v>7</v>
      </c>
      <c r="D777" t="s">
        <v>210</v>
      </c>
      <c r="E777" t="s">
        <v>15</v>
      </c>
      <c r="F777" s="9">
        <v>6561.53</v>
      </c>
      <c r="G777" s="4">
        <v>519</v>
      </c>
      <c r="H777" s="8">
        <f t="shared" si="12"/>
        <v>519</v>
      </c>
      <c r="I777" s="10">
        <v>11</v>
      </c>
    </row>
    <row r="778" spans="1:9" ht="15.75" thickBot="1" x14ac:dyDescent="0.3">
      <c r="A778" s="1">
        <v>43800</v>
      </c>
      <c r="B778" s="8" t="s">
        <v>6</v>
      </c>
      <c r="C778" t="s">
        <v>7</v>
      </c>
      <c r="D778" t="s">
        <v>210</v>
      </c>
      <c r="E778" t="s">
        <v>10</v>
      </c>
      <c r="F778" s="9">
        <v>6330.14</v>
      </c>
      <c r="G778" s="6">
        <v>6080906.7649999997</v>
      </c>
      <c r="H778" s="8">
        <f t="shared" si="12"/>
        <v>6080.9067649999997</v>
      </c>
      <c r="I778" s="10">
        <v>488</v>
      </c>
    </row>
    <row r="779" spans="1:9" ht="15.75" thickBot="1" x14ac:dyDescent="0.3">
      <c r="A779" s="1">
        <v>43800</v>
      </c>
      <c r="B779" s="8" t="s">
        <v>6</v>
      </c>
      <c r="C779" t="s">
        <v>7</v>
      </c>
      <c r="D779" t="s">
        <v>210</v>
      </c>
      <c r="E779" t="s">
        <v>11</v>
      </c>
      <c r="F779" s="9">
        <v>4836.17</v>
      </c>
      <c r="G779" s="4">
        <v>20</v>
      </c>
      <c r="H779" s="8">
        <f t="shared" si="12"/>
        <v>20</v>
      </c>
      <c r="I779" s="10">
        <v>4</v>
      </c>
    </row>
    <row r="780" spans="1:9" ht="15.75" thickBot="1" x14ac:dyDescent="0.3">
      <c r="A780" s="1">
        <v>43800</v>
      </c>
      <c r="B780" s="8" t="s">
        <v>6</v>
      </c>
      <c r="C780" t="s">
        <v>7</v>
      </c>
      <c r="D780" t="s">
        <v>211</v>
      </c>
      <c r="E780" t="s">
        <v>15</v>
      </c>
      <c r="F780" s="9">
        <v>22351.34</v>
      </c>
      <c r="G780" s="4">
        <v>3797</v>
      </c>
      <c r="H780" s="8">
        <f t="shared" si="12"/>
        <v>3797</v>
      </c>
      <c r="I780" s="10">
        <v>43</v>
      </c>
    </row>
    <row r="781" spans="1:9" ht="15.75" thickBot="1" x14ac:dyDescent="0.3">
      <c r="A781" s="1">
        <v>43800</v>
      </c>
      <c r="B781" s="8" t="s">
        <v>6</v>
      </c>
      <c r="C781" t="s">
        <v>7</v>
      </c>
      <c r="D781" t="s">
        <v>211</v>
      </c>
      <c r="E781" t="s">
        <v>10</v>
      </c>
      <c r="F781" s="9">
        <v>-128991.76</v>
      </c>
      <c r="G781" s="6">
        <v>17779594.559</v>
      </c>
      <c r="H781" s="8">
        <f t="shared" si="12"/>
        <v>17779.594559000001</v>
      </c>
      <c r="I781" s="10">
        <v>1581</v>
      </c>
    </row>
    <row r="782" spans="1:9" ht="15.75" thickBot="1" x14ac:dyDescent="0.3">
      <c r="A782" s="1">
        <v>43466</v>
      </c>
      <c r="B782" s="8" t="s">
        <v>6</v>
      </c>
      <c r="C782" t="s">
        <v>7</v>
      </c>
      <c r="D782" t="s">
        <v>211</v>
      </c>
      <c r="E782" t="s">
        <v>17</v>
      </c>
      <c r="F782" s="9">
        <v>1992.31</v>
      </c>
      <c r="G782" s="4">
        <v>67</v>
      </c>
      <c r="H782" s="8">
        <f t="shared" si="12"/>
        <v>67</v>
      </c>
      <c r="I782" s="10">
        <v>3</v>
      </c>
    </row>
    <row r="783" spans="1:9" ht="15.75" thickBot="1" x14ac:dyDescent="0.3">
      <c r="A783" s="1">
        <v>43466</v>
      </c>
      <c r="B783" s="8" t="s">
        <v>6</v>
      </c>
      <c r="C783" t="s">
        <v>7</v>
      </c>
      <c r="D783" t="s">
        <v>211</v>
      </c>
      <c r="E783" t="s">
        <v>11</v>
      </c>
      <c r="F783" s="9">
        <v>31126.86</v>
      </c>
      <c r="G783" s="4">
        <v>1049</v>
      </c>
      <c r="H783" s="8">
        <f t="shared" si="12"/>
        <v>1049</v>
      </c>
      <c r="I783" s="10">
        <v>5</v>
      </c>
    </row>
    <row r="784" spans="1:9" ht="15.75" thickBot="1" x14ac:dyDescent="0.3">
      <c r="A784" s="1">
        <v>43466</v>
      </c>
      <c r="B784" s="8" t="s">
        <v>6</v>
      </c>
      <c r="C784" t="s">
        <v>7</v>
      </c>
      <c r="D784" t="s">
        <v>211</v>
      </c>
      <c r="E784" t="s">
        <v>13</v>
      </c>
      <c r="F784" s="9">
        <v>0</v>
      </c>
      <c r="G784" s="7">
        <v>105897.19</v>
      </c>
      <c r="H784" s="8">
        <f t="shared" si="12"/>
        <v>105897.19</v>
      </c>
      <c r="I784" s="10">
        <v>12</v>
      </c>
    </row>
    <row r="785" spans="1:9" ht="15.75" thickBot="1" x14ac:dyDescent="0.3">
      <c r="A785" s="1">
        <v>43800</v>
      </c>
      <c r="B785" s="8" t="s">
        <v>6</v>
      </c>
      <c r="C785" t="s">
        <v>7</v>
      </c>
      <c r="D785" t="s">
        <v>212</v>
      </c>
      <c r="E785" t="s">
        <v>9</v>
      </c>
      <c r="F785" s="9">
        <v>-19127.36</v>
      </c>
      <c r="G785" s="4">
        <v>-723</v>
      </c>
      <c r="H785" s="8">
        <f t="shared" si="12"/>
        <v>-723</v>
      </c>
      <c r="I785" s="10">
        <v>1</v>
      </c>
    </row>
    <row r="786" spans="1:9" ht="15.75" thickBot="1" x14ac:dyDescent="0.3">
      <c r="A786" s="1">
        <v>43800</v>
      </c>
      <c r="B786" s="8" t="s">
        <v>6</v>
      </c>
      <c r="C786" t="s">
        <v>7</v>
      </c>
      <c r="D786" t="s">
        <v>212</v>
      </c>
      <c r="E786" t="s">
        <v>10</v>
      </c>
      <c r="F786" s="9">
        <v>2045.33</v>
      </c>
      <c r="G786" s="6">
        <v>73015.316000000006</v>
      </c>
      <c r="H786" s="8">
        <f t="shared" si="12"/>
        <v>73.015316000000013</v>
      </c>
      <c r="I786" s="10">
        <v>10</v>
      </c>
    </row>
    <row r="787" spans="1:9" ht="15.75" thickBot="1" x14ac:dyDescent="0.3">
      <c r="A787" s="1">
        <v>43800</v>
      </c>
      <c r="B787" s="8" t="s">
        <v>6</v>
      </c>
      <c r="C787" t="s">
        <v>7</v>
      </c>
      <c r="D787" t="s">
        <v>212</v>
      </c>
      <c r="E787" t="s">
        <v>11</v>
      </c>
      <c r="F787" s="9">
        <v>165.28</v>
      </c>
      <c r="G787" s="4">
        <v>4</v>
      </c>
      <c r="H787" s="8">
        <f t="shared" si="12"/>
        <v>4</v>
      </c>
      <c r="I787" s="10">
        <v>1</v>
      </c>
    </row>
    <row r="788" spans="1:9" ht="15.75" thickBot="1" x14ac:dyDescent="0.3">
      <c r="A788" s="1">
        <v>43800</v>
      </c>
      <c r="B788" s="8" t="s">
        <v>6</v>
      </c>
      <c r="C788" t="s">
        <v>7</v>
      </c>
      <c r="D788" t="s">
        <v>213</v>
      </c>
      <c r="E788" t="s">
        <v>9</v>
      </c>
      <c r="F788" s="9">
        <v>400749.33</v>
      </c>
      <c r="G788" s="4">
        <v>12312</v>
      </c>
      <c r="H788" s="8">
        <f t="shared" si="12"/>
        <v>12312</v>
      </c>
      <c r="I788" s="10">
        <v>146</v>
      </c>
    </row>
    <row r="789" spans="1:9" ht="15.75" thickBot="1" x14ac:dyDescent="0.3">
      <c r="A789" s="1">
        <v>43466</v>
      </c>
      <c r="B789" s="8" t="s">
        <v>6</v>
      </c>
      <c r="C789" t="s">
        <v>7</v>
      </c>
      <c r="D789" t="s">
        <v>213</v>
      </c>
      <c r="E789" t="s">
        <v>15</v>
      </c>
      <c r="F789" s="9">
        <v>43855.44</v>
      </c>
      <c r="G789" s="7">
        <v>81146.481</v>
      </c>
      <c r="H789" s="8">
        <f t="shared" si="12"/>
        <v>81146.481</v>
      </c>
      <c r="I789" s="10">
        <v>18</v>
      </c>
    </row>
    <row r="790" spans="1:9" ht="15.75" thickBot="1" x14ac:dyDescent="0.3">
      <c r="A790" s="1">
        <v>43466</v>
      </c>
      <c r="B790" s="8" t="s">
        <v>6</v>
      </c>
      <c r="C790" t="s">
        <v>7</v>
      </c>
      <c r="D790" t="s">
        <v>213</v>
      </c>
      <c r="E790" t="s">
        <v>10</v>
      </c>
      <c r="F790" s="9">
        <v>712680.2</v>
      </c>
      <c r="G790" s="7">
        <v>37997907.141999997</v>
      </c>
      <c r="H790" s="8">
        <f t="shared" si="12"/>
        <v>37997.907141999996</v>
      </c>
      <c r="I790" s="10">
        <v>1960</v>
      </c>
    </row>
    <row r="791" spans="1:9" ht="15.75" thickBot="1" x14ac:dyDescent="0.3">
      <c r="A791" s="1">
        <v>43466</v>
      </c>
      <c r="B791" s="8" t="s">
        <v>6</v>
      </c>
      <c r="C791" t="s">
        <v>7</v>
      </c>
      <c r="D791" t="s">
        <v>213</v>
      </c>
      <c r="E791" t="s">
        <v>17</v>
      </c>
      <c r="F791" s="9">
        <v>3228.36</v>
      </c>
      <c r="G791" s="4">
        <v>23</v>
      </c>
      <c r="H791" s="8">
        <f t="shared" si="12"/>
        <v>23</v>
      </c>
      <c r="I791" s="10">
        <v>1</v>
      </c>
    </row>
    <row r="792" spans="1:9" ht="15.75" thickBot="1" x14ac:dyDescent="0.3">
      <c r="A792" s="1">
        <v>43800</v>
      </c>
      <c r="B792" s="8" t="s">
        <v>6</v>
      </c>
      <c r="C792" t="s">
        <v>7</v>
      </c>
      <c r="D792" t="s">
        <v>213</v>
      </c>
      <c r="E792" t="s">
        <v>11</v>
      </c>
      <c r="F792" s="9">
        <v>405078.53</v>
      </c>
      <c r="G792" s="7">
        <v>38170922.707000002</v>
      </c>
      <c r="H792" s="8">
        <f t="shared" si="12"/>
        <v>38170922.707000002</v>
      </c>
      <c r="I792" s="10">
        <v>78</v>
      </c>
    </row>
    <row r="793" spans="1:9" ht="15.75" thickBot="1" x14ac:dyDescent="0.3">
      <c r="A793" s="1">
        <v>43800</v>
      </c>
      <c r="B793" s="8" t="s">
        <v>6</v>
      </c>
      <c r="C793" t="s">
        <v>7</v>
      </c>
      <c r="D793" t="s">
        <v>213</v>
      </c>
      <c r="E793" t="s">
        <v>13</v>
      </c>
      <c r="F793" s="9">
        <v>22843.58</v>
      </c>
      <c r="G793" s="7">
        <v>510289.46600000001</v>
      </c>
      <c r="H793" s="8">
        <f t="shared" si="12"/>
        <v>510289.46600000001</v>
      </c>
      <c r="I793" s="10">
        <v>20</v>
      </c>
    </row>
    <row r="794" spans="1:9" ht="15.75" thickBot="1" x14ac:dyDescent="0.3">
      <c r="A794" s="1">
        <v>43800</v>
      </c>
      <c r="B794" s="8" t="s">
        <v>6</v>
      </c>
      <c r="C794" t="s">
        <v>7</v>
      </c>
      <c r="D794" t="s">
        <v>214</v>
      </c>
      <c r="E794" t="s">
        <v>9</v>
      </c>
      <c r="F794" s="9">
        <v>100</v>
      </c>
      <c r="G794" s="4">
        <v>0</v>
      </c>
      <c r="H794" s="8">
        <f t="shared" si="12"/>
        <v>0</v>
      </c>
      <c r="I794" s="10">
        <v>1</v>
      </c>
    </row>
    <row r="795" spans="1:9" ht="15.75" thickBot="1" x14ac:dyDescent="0.3">
      <c r="A795" s="1">
        <v>43800</v>
      </c>
      <c r="B795" s="8" t="s">
        <v>6</v>
      </c>
      <c r="C795" t="s">
        <v>7</v>
      </c>
      <c r="D795" t="s">
        <v>214</v>
      </c>
      <c r="E795" t="s">
        <v>15</v>
      </c>
      <c r="F795" s="9">
        <v>5795.2</v>
      </c>
      <c r="G795" s="4">
        <v>658</v>
      </c>
      <c r="H795" s="8">
        <f t="shared" si="12"/>
        <v>658</v>
      </c>
      <c r="I795" s="10">
        <v>1</v>
      </c>
    </row>
    <row r="796" spans="1:9" ht="15.75" thickBot="1" x14ac:dyDescent="0.3">
      <c r="A796" s="1">
        <v>43466</v>
      </c>
      <c r="B796" s="8" t="s">
        <v>6</v>
      </c>
      <c r="C796" t="s">
        <v>7</v>
      </c>
      <c r="D796" t="s">
        <v>214</v>
      </c>
      <c r="E796" t="s">
        <v>10</v>
      </c>
      <c r="F796" s="9">
        <v>124510.78</v>
      </c>
      <c r="G796" s="6">
        <v>4118574.2990000001</v>
      </c>
      <c r="H796" s="8">
        <f t="shared" si="12"/>
        <v>4118.5742989999999</v>
      </c>
      <c r="I796" s="10">
        <v>262</v>
      </c>
    </row>
    <row r="797" spans="1:9" ht="15.75" thickBot="1" x14ac:dyDescent="0.3">
      <c r="A797" s="1">
        <v>43466</v>
      </c>
      <c r="B797" s="8" t="s">
        <v>6</v>
      </c>
      <c r="C797" t="s">
        <v>7</v>
      </c>
      <c r="D797" t="s">
        <v>214</v>
      </c>
      <c r="E797" t="s">
        <v>11</v>
      </c>
      <c r="F797" s="9">
        <v>667</v>
      </c>
      <c r="G797" s="4">
        <v>13</v>
      </c>
      <c r="H797" s="8">
        <f t="shared" si="12"/>
        <v>13</v>
      </c>
      <c r="I797" s="10">
        <v>3</v>
      </c>
    </row>
    <row r="798" spans="1:9" ht="15.75" thickBot="1" x14ac:dyDescent="0.3">
      <c r="A798" s="1">
        <v>43466</v>
      </c>
      <c r="B798" s="8" t="s">
        <v>6</v>
      </c>
      <c r="C798" t="s">
        <v>7</v>
      </c>
      <c r="D798" t="s">
        <v>214</v>
      </c>
      <c r="E798" t="s">
        <v>13</v>
      </c>
      <c r="F798" s="9">
        <v>1350.27</v>
      </c>
      <c r="G798" s="6">
        <v>42945.1</v>
      </c>
      <c r="H798" s="8">
        <f t="shared" si="12"/>
        <v>42945.1</v>
      </c>
      <c r="I798" s="10">
        <v>4</v>
      </c>
    </row>
    <row r="799" spans="1:9" ht="15.75" thickBot="1" x14ac:dyDescent="0.3">
      <c r="A799" s="1">
        <v>43800</v>
      </c>
      <c r="B799" s="8" t="s">
        <v>6</v>
      </c>
      <c r="C799" t="s">
        <v>7</v>
      </c>
      <c r="D799" t="s">
        <v>215</v>
      </c>
      <c r="E799" t="s">
        <v>9</v>
      </c>
      <c r="F799" s="9">
        <v>3269.12</v>
      </c>
      <c r="G799" s="4">
        <v>116</v>
      </c>
      <c r="H799" s="8">
        <f t="shared" si="12"/>
        <v>116</v>
      </c>
      <c r="I799" s="10">
        <v>1</v>
      </c>
    </row>
    <row r="800" spans="1:9" ht="15.75" thickBot="1" x14ac:dyDescent="0.3">
      <c r="A800" s="1">
        <v>43800</v>
      </c>
      <c r="B800" s="8" t="s">
        <v>6</v>
      </c>
      <c r="C800" t="s">
        <v>7</v>
      </c>
      <c r="D800" t="s">
        <v>215</v>
      </c>
      <c r="E800" t="s">
        <v>15</v>
      </c>
      <c r="F800" s="9">
        <v>9352.56</v>
      </c>
      <c r="G800" s="4">
        <v>101</v>
      </c>
      <c r="H800" s="8">
        <f t="shared" si="12"/>
        <v>101</v>
      </c>
      <c r="I800" s="10">
        <v>2</v>
      </c>
    </row>
    <row r="801" spans="1:9" ht="15.75" thickBot="1" x14ac:dyDescent="0.3">
      <c r="A801" s="1">
        <v>43800</v>
      </c>
      <c r="B801" s="8" t="s">
        <v>6</v>
      </c>
      <c r="C801" t="s">
        <v>7</v>
      </c>
      <c r="D801" t="s">
        <v>215</v>
      </c>
      <c r="E801" t="s">
        <v>10</v>
      </c>
      <c r="F801" s="9">
        <v>79443.56</v>
      </c>
      <c r="G801" s="6">
        <v>3571712.3</v>
      </c>
      <c r="H801" s="8">
        <f t="shared" si="12"/>
        <v>3571.7122999999997</v>
      </c>
      <c r="I801" s="10">
        <v>36</v>
      </c>
    </row>
    <row r="802" spans="1:9" ht="15.75" thickBot="1" x14ac:dyDescent="0.3">
      <c r="A802" s="1">
        <v>43800</v>
      </c>
      <c r="B802" s="8" t="s">
        <v>6</v>
      </c>
      <c r="C802" t="s">
        <v>7</v>
      </c>
      <c r="D802" t="s">
        <v>215</v>
      </c>
      <c r="E802" t="s">
        <v>13</v>
      </c>
      <c r="F802" s="9">
        <v>60.96</v>
      </c>
      <c r="G802" s="6">
        <v>4088.7</v>
      </c>
      <c r="H802" s="8">
        <f t="shared" si="12"/>
        <v>4088.7</v>
      </c>
      <c r="I802" s="10">
        <v>1</v>
      </c>
    </row>
    <row r="803" spans="1:9" ht="15.75" thickBot="1" x14ac:dyDescent="0.3">
      <c r="A803" s="1">
        <v>43466</v>
      </c>
      <c r="B803" s="8" t="s">
        <v>6</v>
      </c>
      <c r="C803" t="s">
        <v>7</v>
      </c>
      <c r="D803" t="s">
        <v>216</v>
      </c>
      <c r="E803" t="s">
        <v>9</v>
      </c>
      <c r="F803" s="9">
        <v>575.08000000000004</v>
      </c>
      <c r="G803" s="4">
        <v>19</v>
      </c>
      <c r="H803" s="8">
        <f t="shared" si="12"/>
        <v>19</v>
      </c>
      <c r="I803" s="10">
        <v>1</v>
      </c>
    </row>
    <row r="804" spans="1:9" ht="15.75" thickBot="1" x14ac:dyDescent="0.3">
      <c r="A804" s="1">
        <v>43466</v>
      </c>
      <c r="B804" s="8" t="s">
        <v>6</v>
      </c>
      <c r="C804" t="s">
        <v>7</v>
      </c>
      <c r="D804" t="s">
        <v>216</v>
      </c>
      <c r="E804" t="s">
        <v>10</v>
      </c>
      <c r="F804" s="9">
        <v>38486.639999999999</v>
      </c>
      <c r="G804" s="6">
        <v>1219629.943</v>
      </c>
      <c r="H804" s="8">
        <f t="shared" si="12"/>
        <v>1219.6299429999999</v>
      </c>
      <c r="I804" s="10">
        <v>88</v>
      </c>
    </row>
    <row r="805" spans="1:9" ht="15.75" thickBot="1" x14ac:dyDescent="0.3">
      <c r="A805" s="1">
        <v>43466</v>
      </c>
      <c r="B805" s="8" t="s">
        <v>6</v>
      </c>
      <c r="C805" t="s">
        <v>7</v>
      </c>
      <c r="D805" t="s">
        <v>216</v>
      </c>
      <c r="E805" t="s">
        <v>11</v>
      </c>
      <c r="F805" s="9">
        <v>7920.5</v>
      </c>
      <c r="G805" s="4">
        <v>195</v>
      </c>
      <c r="H805" s="8">
        <f t="shared" si="12"/>
        <v>195</v>
      </c>
      <c r="I805" s="10">
        <v>1</v>
      </c>
    </row>
    <row r="806" spans="1:9" ht="15.75" thickBot="1" x14ac:dyDescent="0.3">
      <c r="A806" s="1">
        <v>43800</v>
      </c>
      <c r="B806" s="8" t="s">
        <v>6</v>
      </c>
      <c r="C806" t="s">
        <v>7</v>
      </c>
      <c r="D806" t="s">
        <v>216</v>
      </c>
      <c r="E806" t="s">
        <v>13</v>
      </c>
      <c r="F806" s="9">
        <v>503.38</v>
      </c>
      <c r="G806" s="6">
        <v>19000</v>
      </c>
      <c r="H806" s="8">
        <f t="shared" si="12"/>
        <v>19000</v>
      </c>
      <c r="I806" s="10">
        <v>1</v>
      </c>
    </row>
    <row r="807" spans="1:9" ht="15.75" thickBot="1" x14ac:dyDescent="0.3">
      <c r="A807" s="1">
        <v>43800</v>
      </c>
      <c r="B807" s="8" t="s">
        <v>6</v>
      </c>
      <c r="C807" t="s">
        <v>7</v>
      </c>
      <c r="D807" t="s">
        <v>217</v>
      </c>
      <c r="E807" t="s">
        <v>10</v>
      </c>
      <c r="F807" s="9">
        <v>76653.440000000002</v>
      </c>
      <c r="G807" s="6">
        <v>2726728.0929999999</v>
      </c>
      <c r="H807" s="8">
        <f t="shared" si="12"/>
        <v>2726.7280929999997</v>
      </c>
      <c r="I807" s="10">
        <v>170</v>
      </c>
    </row>
    <row r="808" spans="1:9" ht="15.75" thickBot="1" x14ac:dyDescent="0.3">
      <c r="A808" s="1">
        <v>43800</v>
      </c>
      <c r="B808" s="8" t="s">
        <v>6</v>
      </c>
      <c r="C808" t="s">
        <v>7</v>
      </c>
      <c r="D808" t="s">
        <v>217</v>
      </c>
      <c r="E808" t="s">
        <v>11</v>
      </c>
      <c r="F808" s="9">
        <v>1412.24</v>
      </c>
      <c r="G808" s="6">
        <v>29643</v>
      </c>
      <c r="H808" s="8">
        <f t="shared" si="12"/>
        <v>29643</v>
      </c>
      <c r="I808" s="10">
        <v>8</v>
      </c>
    </row>
    <row r="809" spans="1:9" ht="15.75" thickBot="1" x14ac:dyDescent="0.3">
      <c r="A809" s="1">
        <v>43800</v>
      </c>
      <c r="B809" s="8" t="s">
        <v>6</v>
      </c>
      <c r="C809" t="s">
        <v>7</v>
      </c>
      <c r="D809" t="s">
        <v>218</v>
      </c>
      <c r="E809" t="s">
        <v>15</v>
      </c>
      <c r="F809" s="9">
        <v>6305.86</v>
      </c>
      <c r="G809" s="4">
        <v>229</v>
      </c>
      <c r="H809" s="8">
        <f t="shared" si="12"/>
        <v>229</v>
      </c>
      <c r="I809" s="10">
        <v>4</v>
      </c>
    </row>
    <row r="810" spans="1:9" ht="15.75" thickBot="1" x14ac:dyDescent="0.3">
      <c r="A810" s="1">
        <v>43466</v>
      </c>
      <c r="B810" s="8" t="s">
        <v>6</v>
      </c>
      <c r="C810" t="s">
        <v>7</v>
      </c>
      <c r="D810" t="s">
        <v>218</v>
      </c>
      <c r="E810" t="s">
        <v>10</v>
      </c>
      <c r="F810" s="9">
        <v>220934.99</v>
      </c>
      <c r="G810" s="6">
        <v>14836904.293</v>
      </c>
      <c r="H810" s="8">
        <f t="shared" si="12"/>
        <v>14836.904293</v>
      </c>
      <c r="I810" s="10">
        <v>1187</v>
      </c>
    </row>
    <row r="811" spans="1:9" ht="15.75" thickBot="1" x14ac:dyDescent="0.3">
      <c r="A811" s="1">
        <v>43466</v>
      </c>
      <c r="B811" s="8" t="s">
        <v>6</v>
      </c>
      <c r="C811" t="s">
        <v>7</v>
      </c>
      <c r="D811" t="s">
        <v>218</v>
      </c>
      <c r="E811" t="s">
        <v>11</v>
      </c>
      <c r="F811" s="9">
        <v>13133.32</v>
      </c>
      <c r="G811" s="7">
        <v>25036.23</v>
      </c>
      <c r="H811" s="8">
        <f t="shared" si="12"/>
        <v>25036.23</v>
      </c>
      <c r="I811" s="10">
        <v>25</v>
      </c>
    </row>
    <row r="812" spans="1:9" ht="15.75" thickBot="1" x14ac:dyDescent="0.3">
      <c r="A812" s="1">
        <v>43466</v>
      </c>
      <c r="B812" s="8" t="s">
        <v>6</v>
      </c>
      <c r="C812" t="s">
        <v>7</v>
      </c>
      <c r="D812" t="s">
        <v>218</v>
      </c>
      <c r="E812" t="s">
        <v>13</v>
      </c>
      <c r="F812" s="9">
        <v>1668.29</v>
      </c>
      <c r="G812" s="7">
        <v>72004</v>
      </c>
      <c r="H812" s="8">
        <f t="shared" si="12"/>
        <v>72004</v>
      </c>
      <c r="I812" s="10">
        <v>7</v>
      </c>
    </row>
    <row r="813" spans="1:9" ht="15.75" thickBot="1" x14ac:dyDescent="0.3">
      <c r="A813" s="1">
        <v>43800</v>
      </c>
      <c r="B813" s="8" t="s">
        <v>6</v>
      </c>
      <c r="C813" t="s">
        <v>7</v>
      </c>
      <c r="D813" t="s">
        <v>219</v>
      </c>
      <c r="E813" t="s">
        <v>9</v>
      </c>
      <c r="F813" s="9">
        <v>2228.21</v>
      </c>
      <c r="G813" s="4">
        <v>53</v>
      </c>
      <c r="H813" s="8">
        <f t="shared" si="12"/>
        <v>53</v>
      </c>
      <c r="I813" s="10">
        <v>4</v>
      </c>
    </row>
    <row r="814" spans="1:9" ht="15.75" thickBot="1" x14ac:dyDescent="0.3">
      <c r="A814" s="1">
        <v>43800</v>
      </c>
      <c r="B814" s="8" t="s">
        <v>6</v>
      </c>
      <c r="C814" t="s">
        <v>7</v>
      </c>
      <c r="D814" t="s">
        <v>219</v>
      </c>
      <c r="E814" t="s">
        <v>15</v>
      </c>
      <c r="F814" s="9">
        <v>45081.279999999999</v>
      </c>
      <c r="G814" s="4">
        <v>1492</v>
      </c>
      <c r="H814" s="8">
        <f t="shared" si="12"/>
        <v>1492</v>
      </c>
      <c r="I814" s="10">
        <v>20</v>
      </c>
    </row>
    <row r="815" spans="1:9" ht="15.75" thickBot="1" x14ac:dyDescent="0.3">
      <c r="A815" s="1">
        <v>43800</v>
      </c>
      <c r="B815" s="8" t="s">
        <v>6</v>
      </c>
      <c r="C815" t="s">
        <v>7</v>
      </c>
      <c r="D815" t="s">
        <v>219</v>
      </c>
      <c r="E815" t="s">
        <v>10</v>
      </c>
      <c r="F815" s="9">
        <v>247746.87</v>
      </c>
      <c r="G815" s="7">
        <v>48164101.074000001</v>
      </c>
      <c r="H815" s="8">
        <f t="shared" si="12"/>
        <v>48164.101073999998</v>
      </c>
      <c r="I815" s="10">
        <v>4420</v>
      </c>
    </row>
    <row r="816" spans="1:9" ht="15.75" thickBot="1" x14ac:dyDescent="0.3">
      <c r="A816" s="1">
        <v>43800</v>
      </c>
      <c r="B816" s="8" t="s">
        <v>6</v>
      </c>
      <c r="C816" t="s">
        <v>7</v>
      </c>
      <c r="D816" t="s">
        <v>219</v>
      </c>
      <c r="E816" t="s">
        <v>11</v>
      </c>
      <c r="F816" s="9">
        <v>20814.419999999998</v>
      </c>
      <c r="G816" s="4">
        <v>480</v>
      </c>
      <c r="H816" s="8">
        <f t="shared" si="12"/>
        <v>480</v>
      </c>
      <c r="I816" s="10">
        <v>31</v>
      </c>
    </row>
    <row r="817" spans="1:9" ht="15.75" thickBot="1" x14ac:dyDescent="0.3">
      <c r="A817" s="1">
        <v>43466</v>
      </c>
      <c r="B817" s="8" t="s">
        <v>6</v>
      </c>
      <c r="C817" t="s">
        <v>7</v>
      </c>
      <c r="D817" t="s">
        <v>219</v>
      </c>
      <c r="E817" t="s">
        <v>13</v>
      </c>
      <c r="F817" s="9">
        <v>1559.45</v>
      </c>
      <c r="G817" s="6">
        <v>222000</v>
      </c>
      <c r="H817" s="8">
        <f t="shared" si="12"/>
        <v>222000</v>
      </c>
      <c r="I817" s="10">
        <v>21</v>
      </c>
    </row>
    <row r="818" spans="1:9" ht="15.75" thickBot="1" x14ac:dyDescent="0.3">
      <c r="A818" s="1">
        <v>43466</v>
      </c>
      <c r="B818" s="8" t="s">
        <v>6</v>
      </c>
      <c r="C818" t="s">
        <v>7</v>
      </c>
      <c r="D818" t="s">
        <v>220</v>
      </c>
      <c r="E818" t="s">
        <v>15</v>
      </c>
      <c r="F818" s="9">
        <v>612</v>
      </c>
      <c r="G818" s="4">
        <v>0</v>
      </c>
      <c r="H818" s="8">
        <f t="shared" si="12"/>
        <v>0</v>
      </c>
      <c r="I818" s="10">
        <v>4</v>
      </c>
    </row>
    <row r="819" spans="1:9" ht="15.75" thickBot="1" x14ac:dyDescent="0.3">
      <c r="A819" s="1">
        <v>43466</v>
      </c>
      <c r="B819" s="8" t="s">
        <v>6</v>
      </c>
      <c r="C819" t="s">
        <v>7</v>
      </c>
      <c r="D819" t="s">
        <v>220</v>
      </c>
      <c r="E819" t="s">
        <v>10</v>
      </c>
      <c r="F819" s="9">
        <v>67257.570000000007</v>
      </c>
      <c r="G819" s="6">
        <v>2449404.1540000001</v>
      </c>
      <c r="H819" s="8">
        <f t="shared" si="12"/>
        <v>2449.4041540000003</v>
      </c>
      <c r="I819" s="10">
        <v>237</v>
      </c>
    </row>
    <row r="820" spans="1:9" ht="15.75" thickBot="1" x14ac:dyDescent="0.3">
      <c r="A820" s="1">
        <v>43800</v>
      </c>
      <c r="B820" s="8" t="s">
        <v>6</v>
      </c>
      <c r="C820" t="s">
        <v>7</v>
      </c>
      <c r="D820" t="s">
        <v>220</v>
      </c>
      <c r="E820" t="s">
        <v>11</v>
      </c>
      <c r="F820" s="9">
        <v>3508.05</v>
      </c>
      <c r="G820" s="4">
        <v>114</v>
      </c>
      <c r="H820" s="8">
        <f t="shared" si="12"/>
        <v>114</v>
      </c>
      <c r="I820" s="10">
        <v>3</v>
      </c>
    </row>
    <row r="821" spans="1:9" ht="15.75" thickBot="1" x14ac:dyDescent="0.3">
      <c r="A821" s="1">
        <v>43800</v>
      </c>
      <c r="B821" s="8" t="s">
        <v>6</v>
      </c>
      <c r="C821" t="s">
        <v>7</v>
      </c>
      <c r="D821" t="s">
        <v>220</v>
      </c>
      <c r="E821" t="s">
        <v>13</v>
      </c>
      <c r="F821" s="9">
        <v>430.25</v>
      </c>
      <c r="G821" s="6">
        <v>16000</v>
      </c>
      <c r="H821" s="8">
        <f t="shared" si="12"/>
        <v>16000</v>
      </c>
      <c r="I821" s="10">
        <v>1</v>
      </c>
    </row>
    <row r="822" spans="1:9" ht="15.75" thickBot="1" x14ac:dyDescent="0.3">
      <c r="A822" s="1">
        <v>43800</v>
      </c>
      <c r="B822" s="8" t="s">
        <v>6</v>
      </c>
      <c r="C822" t="s">
        <v>7</v>
      </c>
      <c r="D822" t="s">
        <v>221</v>
      </c>
      <c r="E822" t="s">
        <v>9</v>
      </c>
      <c r="F822" s="9">
        <v>41225.18</v>
      </c>
      <c r="G822" s="4">
        <v>1122</v>
      </c>
      <c r="H822" s="8">
        <f t="shared" si="12"/>
        <v>1122</v>
      </c>
      <c r="I822" s="10">
        <v>13</v>
      </c>
    </row>
    <row r="823" spans="1:9" ht="15.75" thickBot="1" x14ac:dyDescent="0.3">
      <c r="A823" s="1">
        <v>43800</v>
      </c>
      <c r="B823" s="8" t="s">
        <v>6</v>
      </c>
      <c r="C823" t="s">
        <v>7</v>
      </c>
      <c r="D823" t="s">
        <v>221</v>
      </c>
      <c r="E823" t="s">
        <v>15</v>
      </c>
      <c r="F823" s="9">
        <v>30177.82</v>
      </c>
      <c r="G823" s="4">
        <v>479</v>
      </c>
      <c r="H823" s="8">
        <f t="shared" si="12"/>
        <v>479</v>
      </c>
      <c r="I823" s="10">
        <v>59</v>
      </c>
    </row>
    <row r="824" spans="1:9" ht="15.75" thickBot="1" x14ac:dyDescent="0.3">
      <c r="A824" s="1">
        <v>43466</v>
      </c>
      <c r="B824" s="8" t="s">
        <v>6</v>
      </c>
      <c r="C824" t="s">
        <v>7</v>
      </c>
      <c r="D824" t="s">
        <v>221</v>
      </c>
      <c r="E824" t="s">
        <v>10</v>
      </c>
      <c r="F824" s="9">
        <v>952047.99</v>
      </c>
      <c r="G824" s="6">
        <v>34920331.064000003</v>
      </c>
      <c r="H824" s="8">
        <f t="shared" si="12"/>
        <v>34920.331064000005</v>
      </c>
      <c r="I824" s="10">
        <v>3346</v>
      </c>
    </row>
    <row r="825" spans="1:9" ht="15.75" thickBot="1" x14ac:dyDescent="0.3">
      <c r="A825" s="1">
        <v>43466</v>
      </c>
      <c r="B825" s="8" t="s">
        <v>6</v>
      </c>
      <c r="C825" t="s">
        <v>7</v>
      </c>
      <c r="D825" t="s">
        <v>221</v>
      </c>
      <c r="E825" t="s">
        <v>11</v>
      </c>
      <c r="F825" s="9">
        <v>29957.97</v>
      </c>
      <c r="G825" s="4">
        <v>777</v>
      </c>
      <c r="H825" s="8">
        <f t="shared" si="12"/>
        <v>777</v>
      </c>
      <c r="I825" s="10">
        <v>14</v>
      </c>
    </row>
    <row r="826" spans="1:9" ht="15.75" thickBot="1" x14ac:dyDescent="0.3">
      <c r="A826" s="1">
        <v>43466</v>
      </c>
      <c r="B826" s="8" t="s">
        <v>6</v>
      </c>
      <c r="C826" t="s">
        <v>7</v>
      </c>
      <c r="D826" t="s">
        <v>221</v>
      </c>
      <c r="E826" t="s">
        <v>13</v>
      </c>
      <c r="F826" s="9">
        <v>9054.73</v>
      </c>
      <c r="G826" s="6">
        <v>305836.79999999999</v>
      </c>
      <c r="H826" s="8">
        <f t="shared" si="12"/>
        <v>305836.79999999999</v>
      </c>
      <c r="I826" s="10">
        <v>25</v>
      </c>
    </row>
    <row r="827" spans="1:9" ht="15.75" thickBot="1" x14ac:dyDescent="0.3">
      <c r="A827" s="1">
        <v>43800</v>
      </c>
      <c r="B827" s="8" t="s">
        <v>6</v>
      </c>
      <c r="C827" t="s">
        <v>7</v>
      </c>
      <c r="D827" t="s">
        <v>222</v>
      </c>
      <c r="E827" t="s">
        <v>10</v>
      </c>
      <c r="F827" s="9">
        <v>15726.69</v>
      </c>
      <c r="G827" s="6">
        <v>609000</v>
      </c>
      <c r="H827" s="8">
        <f t="shared" si="12"/>
        <v>609</v>
      </c>
      <c r="I827" s="10">
        <v>1</v>
      </c>
    </row>
    <row r="828" spans="1:9" ht="15.75" thickBot="1" x14ac:dyDescent="0.3">
      <c r="A828" s="1">
        <v>43800</v>
      </c>
      <c r="B828" s="8" t="s">
        <v>6</v>
      </c>
      <c r="C828" t="s">
        <v>7</v>
      </c>
      <c r="D828" t="s">
        <v>222</v>
      </c>
      <c r="E828" t="s">
        <v>11</v>
      </c>
      <c r="F828" s="9">
        <v>4182.46</v>
      </c>
      <c r="G828" s="4">
        <v>30</v>
      </c>
      <c r="H828" s="8">
        <f t="shared" si="12"/>
        <v>30</v>
      </c>
      <c r="I828" s="10">
        <v>35</v>
      </c>
    </row>
    <row r="829" spans="1:9" ht="15.75" thickBot="1" x14ac:dyDescent="0.3">
      <c r="A829" s="1">
        <v>43800</v>
      </c>
      <c r="B829" s="8" t="s">
        <v>6</v>
      </c>
      <c r="C829" t="s">
        <v>7</v>
      </c>
      <c r="D829" t="s">
        <v>223</v>
      </c>
      <c r="E829" t="s">
        <v>11</v>
      </c>
      <c r="F829" s="9">
        <v>2794.36</v>
      </c>
      <c r="G829" s="4">
        <v>73</v>
      </c>
      <c r="H829" s="8">
        <f t="shared" si="12"/>
        <v>73</v>
      </c>
      <c r="I829" s="10">
        <v>1</v>
      </c>
    </row>
    <row r="830" spans="1:9" ht="15.75" thickBot="1" x14ac:dyDescent="0.3">
      <c r="A830" s="1">
        <v>43800</v>
      </c>
      <c r="B830" s="8" t="s">
        <v>6</v>
      </c>
      <c r="C830" t="s">
        <v>7</v>
      </c>
      <c r="D830" t="s">
        <v>224</v>
      </c>
      <c r="E830" t="s">
        <v>9</v>
      </c>
      <c r="F830" s="9">
        <v>103642.64</v>
      </c>
      <c r="G830" s="7">
        <v>4563.76</v>
      </c>
      <c r="H830" s="8">
        <f t="shared" si="12"/>
        <v>4563.76</v>
      </c>
      <c r="I830" s="10">
        <v>29</v>
      </c>
    </row>
    <row r="831" spans="1:9" ht="15.75" thickBot="1" x14ac:dyDescent="0.3">
      <c r="A831" s="1">
        <v>43466</v>
      </c>
      <c r="B831" s="8" t="s">
        <v>6</v>
      </c>
      <c r="C831" t="s">
        <v>7</v>
      </c>
      <c r="D831" t="s">
        <v>224</v>
      </c>
      <c r="E831" t="s">
        <v>15</v>
      </c>
      <c r="F831" s="9">
        <v>54365.45</v>
      </c>
      <c r="G831" s="4">
        <v>1609</v>
      </c>
      <c r="H831" s="8">
        <f t="shared" si="12"/>
        <v>1609</v>
      </c>
      <c r="I831" s="10">
        <v>33</v>
      </c>
    </row>
    <row r="832" spans="1:9" ht="15.75" thickBot="1" x14ac:dyDescent="0.3">
      <c r="A832" s="1">
        <v>43466</v>
      </c>
      <c r="B832" s="8" t="s">
        <v>6</v>
      </c>
      <c r="C832" t="s">
        <v>7</v>
      </c>
      <c r="D832" t="s">
        <v>224</v>
      </c>
      <c r="E832" t="s">
        <v>10</v>
      </c>
      <c r="F832" s="9">
        <v>1159370.96</v>
      </c>
      <c r="G832" s="7">
        <v>50938666.164999999</v>
      </c>
      <c r="H832" s="8">
        <f t="shared" si="12"/>
        <v>50938.666165000002</v>
      </c>
      <c r="I832" s="10">
        <v>4973</v>
      </c>
    </row>
    <row r="833" spans="1:9" ht="15.75" thickBot="1" x14ac:dyDescent="0.3">
      <c r="A833" s="1">
        <v>43466</v>
      </c>
      <c r="B833" s="8" t="s">
        <v>6</v>
      </c>
      <c r="C833" t="s">
        <v>7</v>
      </c>
      <c r="D833" t="s">
        <v>224</v>
      </c>
      <c r="E833" t="s">
        <v>17</v>
      </c>
      <c r="F833" s="9">
        <v>19966.560000000001</v>
      </c>
      <c r="G833" s="4">
        <v>608</v>
      </c>
      <c r="H833" s="8">
        <f t="shared" si="12"/>
        <v>608</v>
      </c>
      <c r="I833" s="10">
        <v>3</v>
      </c>
    </row>
    <row r="834" spans="1:9" ht="15.75" thickBot="1" x14ac:dyDescent="0.3">
      <c r="A834" s="1">
        <v>43800</v>
      </c>
      <c r="B834" s="8" t="s">
        <v>6</v>
      </c>
      <c r="C834" t="s">
        <v>7</v>
      </c>
      <c r="D834" t="s">
        <v>224</v>
      </c>
      <c r="E834" t="s">
        <v>11</v>
      </c>
      <c r="F834" s="9">
        <v>49421.34</v>
      </c>
      <c r="G834" s="7">
        <v>567849.59499999997</v>
      </c>
      <c r="H834" s="8">
        <f t="shared" ref="H834:H897" si="13">IF(ISNUMBER(SEARCH("Domestic customer", E834)),G834/1000,G834)</f>
        <v>567849.59499999997</v>
      </c>
      <c r="I834" s="10">
        <v>69</v>
      </c>
    </row>
    <row r="835" spans="1:9" ht="15.75" thickBot="1" x14ac:dyDescent="0.3">
      <c r="A835" s="1">
        <v>43800</v>
      </c>
      <c r="B835" s="8" t="s">
        <v>6</v>
      </c>
      <c r="C835" t="s">
        <v>7</v>
      </c>
      <c r="D835" t="s">
        <v>224</v>
      </c>
      <c r="E835" t="s">
        <v>13</v>
      </c>
      <c r="F835" s="9">
        <v>2023.57</v>
      </c>
      <c r="G835" s="7">
        <v>50006</v>
      </c>
      <c r="H835" s="8">
        <f t="shared" si="13"/>
        <v>50006</v>
      </c>
      <c r="I835" s="10">
        <v>11</v>
      </c>
    </row>
    <row r="836" spans="1:9" ht="15.75" thickBot="1" x14ac:dyDescent="0.3">
      <c r="A836" s="1">
        <v>43800</v>
      </c>
      <c r="B836" s="8" t="s">
        <v>6</v>
      </c>
      <c r="C836" t="s">
        <v>7</v>
      </c>
      <c r="D836" t="s">
        <v>225</v>
      </c>
      <c r="E836" t="s">
        <v>17</v>
      </c>
      <c r="F836" s="9">
        <v>82011.95</v>
      </c>
      <c r="G836" s="4">
        <v>2920</v>
      </c>
      <c r="H836" s="8">
        <f t="shared" si="13"/>
        <v>2920</v>
      </c>
      <c r="I836" s="10">
        <v>1</v>
      </c>
    </row>
    <row r="837" spans="1:9" ht="15.75" thickBot="1" x14ac:dyDescent="0.3">
      <c r="A837" s="1">
        <v>43800</v>
      </c>
      <c r="B837" s="8" t="s">
        <v>6</v>
      </c>
      <c r="C837" t="s">
        <v>7</v>
      </c>
      <c r="D837" t="s">
        <v>225</v>
      </c>
      <c r="E837" t="s">
        <v>11</v>
      </c>
      <c r="F837" s="9">
        <v>6769.42</v>
      </c>
      <c r="G837" s="4">
        <v>0</v>
      </c>
      <c r="H837" s="8">
        <f t="shared" si="13"/>
        <v>0</v>
      </c>
      <c r="I837" s="10">
        <v>73</v>
      </c>
    </row>
    <row r="838" spans="1:9" ht="15.75" thickBot="1" x14ac:dyDescent="0.3">
      <c r="A838" s="1">
        <v>43466</v>
      </c>
      <c r="B838" s="8" t="s">
        <v>6</v>
      </c>
      <c r="C838" t="s">
        <v>7</v>
      </c>
      <c r="D838" t="s">
        <v>226</v>
      </c>
      <c r="E838" t="s">
        <v>9</v>
      </c>
      <c r="F838" s="9">
        <v>3179.54</v>
      </c>
      <c r="G838" s="4">
        <v>88</v>
      </c>
      <c r="H838" s="8">
        <f t="shared" si="13"/>
        <v>88</v>
      </c>
      <c r="I838" s="10">
        <v>3</v>
      </c>
    </row>
    <row r="839" spans="1:9" ht="15.75" thickBot="1" x14ac:dyDescent="0.3">
      <c r="A839" s="1">
        <v>43466</v>
      </c>
      <c r="B839" s="8" t="s">
        <v>6</v>
      </c>
      <c r="C839" t="s">
        <v>7</v>
      </c>
      <c r="D839" t="s">
        <v>226</v>
      </c>
      <c r="E839" t="s">
        <v>15</v>
      </c>
      <c r="F839" s="9">
        <v>11466.74</v>
      </c>
      <c r="G839" s="7">
        <v>35079.247000000003</v>
      </c>
      <c r="H839" s="8">
        <f t="shared" si="13"/>
        <v>35079.247000000003</v>
      </c>
      <c r="I839" s="10">
        <v>9</v>
      </c>
    </row>
    <row r="840" spans="1:9" ht="15.75" thickBot="1" x14ac:dyDescent="0.3">
      <c r="A840" s="1">
        <v>43466</v>
      </c>
      <c r="B840" s="8" t="s">
        <v>6</v>
      </c>
      <c r="C840" t="s">
        <v>7</v>
      </c>
      <c r="D840" t="s">
        <v>226</v>
      </c>
      <c r="E840" t="s">
        <v>10</v>
      </c>
      <c r="F840" s="9">
        <v>477418.64</v>
      </c>
      <c r="G840" s="6">
        <v>17197947.375999998</v>
      </c>
      <c r="H840" s="8">
        <f t="shared" si="13"/>
        <v>17197.947376</v>
      </c>
      <c r="I840" s="10">
        <v>1629</v>
      </c>
    </row>
    <row r="841" spans="1:9" ht="15.75" thickBot="1" x14ac:dyDescent="0.3">
      <c r="A841" s="1">
        <v>43800</v>
      </c>
      <c r="B841" s="8" t="s">
        <v>6</v>
      </c>
      <c r="C841" t="s">
        <v>7</v>
      </c>
      <c r="D841" t="s">
        <v>226</v>
      </c>
      <c r="E841" t="s">
        <v>11</v>
      </c>
      <c r="F841" s="9">
        <v>154582.75</v>
      </c>
      <c r="G841" s="7">
        <v>252083.24600000001</v>
      </c>
      <c r="H841" s="8">
        <f t="shared" si="13"/>
        <v>252083.24600000001</v>
      </c>
      <c r="I841" s="10">
        <v>48</v>
      </c>
    </row>
    <row r="842" spans="1:9" ht="15.75" thickBot="1" x14ac:dyDescent="0.3">
      <c r="A842" s="1">
        <v>43800</v>
      </c>
      <c r="B842" s="8" t="s">
        <v>6</v>
      </c>
      <c r="C842" t="s">
        <v>7</v>
      </c>
      <c r="D842" t="s">
        <v>226</v>
      </c>
      <c r="E842" t="s">
        <v>13</v>
      </c>
      <c r="F842" s="9">
        <v>2632.98</v>
      </c>
      <c r="G842" s="6">
        <v>78000</v>
      </c>
      <c r="H842" s="8">
        <f t="shared" si="13"/>
        <v>78000</v>
      </c>
      <c r="I842" s="10">
        <v>7</v>
      </c>
    </row>
    <row r="843" spans="1:9" ht="15.75" thickBot="1" x14ac:dyDescent="0.3">
      <c r="A843" s="1">
        <v>43800</v>
      </c>
      <c r="B843" s="8" t="s">
        <v>6</v>
      </c>
      <c r="C843" t="s">
        <v>7</v>
      </c>
      <c r="D843" t="s">
        <v>227</v>
      </c>
      <c r="E843" t="s">
        <v>15</v>
      </c>
      <c r="F843" s="9">
        <v>400</v>
      </c>
      <c r="G843" s="6">
        <v>0</v>
      </c>
      <c r="H843" s="8">
        <f t="shared" si="13"/>
        <v>0</v>
      </c>
      <c r="I843" s="10">
        <v>1</v>
      </c>
    </row>
    <row r="844" spans="1:9" ht="15.75" thickBot="1" x14ac:dyDescent="0.3">
      <c r="A844" s="1">
        <v>43800</v>
      </c>
      <c r="B844" s="8" t="s">
        <v>6</v>
      </c>
      <c r="C844" t="s">
        <v>7</v>
      </c>
      <c r="D844" t="s">
        <v>227</v>
      </c>
      <c r="E844" t="s">
        <v>10</v>
      </c>
      <c r="F844" s="9">
        <v>121434.29</v>
      </c>
      <c r="G844" s="6">
        <v>4393696.3020000001</v>
      </c>
      <c r="H844" s="8">
        <f t="shared" si="13"/>
        <v>4393.6963020000003</v>
      </c>
      <c r="I844" s="10">
        <v>388</v>
      </c>
    </row>
    <row r="845" spans="1:9" ht="15.75" thickBot="1" x14ac:dyDescent="0.3">
      <c r="A845" s="1">
        <v>43466</v>
      </c>
      <c r="B845" s="8" t="s">
        <v>6</v>
      </c>
      <c r="C845" t="s">
        <v>7</v>
      </c>
      <c r="D845" t="s">
        <v>227</v>
      </c>
      <c r="E845" t="s">
        <v>11</v>
      </c>
      <c r="F845" s="9">
        <v>81.569999999999993</v>
      </c>
      <c r="G845" s="5">
        <v>0</v>
      </c>
      <c r="H845" s="8">
        <f t="shared" si="13"/>
        <v>0</v>
      </c>
      <c r="I845" s="10">
        <v>1</v>
      </c>
    </row>
    <row r="846" spans="1:9" ht="15.75" thickBot="1" x14ac:dyDescent="0.3">
      <c r="A846" s="1">
        <v>43466</v>
      </c>
      <c r="B846" s="8" t="s">
        <v>6</v>
      </c>
      <c r="C846" t="s">
        <v>7</v>
      </c>
      <c r="D846" t="s">
        <v>227</v>
      </c>
      <c r="E846" t="s">
        <v>13</v>
      </c>
      <c r="F846" s="9">
        <v>3193.65</v>
      </c>
      <c r="G846" s="6">
        <v>112000</v>
      </c>
      <c r="H846" s="8">
        <f t="shared" si="13"/>
        <v>112000</v>
      </c>
      <c r="I846" s="10">
        <v>7</v>
      </c>
    </row>
    <row r="847" spans="1:9" ht="15.75" thickBot="1" x14ac:dyDescent="0.3">
      <c r="A847" s="1">
        <v>43466</v>
      </c>
      <c r="B847" s="8" t="s">
        <v>6</v>
      </c>
      <c r="C847" t="s">
        <v>7</v>
      </c>
      <c r="D847" t="s">
        <v>228</v>
      </c>
      <c r="E847" t="s">
        <v>9</v>
      </c>
      <c r="F847" s="9">
        <v>10424.200000000001</v>
      </c>
      <c r="G847" s="4">
        <v>335</v>
      </c>
      <c r="H847" s="8">
        <f t="shared" si="13"/>
        <v>335</v>
      </c>
      <c r="I847" s="10">
        <v>16</v>
      </c>
    </row>
    <row r="848" spans="1:9" ht="15.75" thickBot="1" x14ac:dyDescent="0.3">
      <c r="A848" s="1">
        <v>43800</v>
      </c>
      <c r="B848" s="8" t="s">
        <v>6</v>
      </c>
      <c r="C848" t="s">
        <v>7</v>
      </c>
      <c r="D848" t="s">
        <v>228</v>
      </c>
      <c r="E848" t="s">
        <v>15</v>
      </c>
      <c r="F848" s="9">
        <v>3875.83</v>
      </c>
      <c r="G848" s="4">
        <v>132</v>
      </c>
      <c r="H848" s="8">
        <f t="shared" si="13"/>
        <v>132</v>
      </c>
      <c r="I848" s="10">
        <v>2</v>
      </c>
    </row>
    <row r="849" spans="1:9" ht="15.75" thickBot="1" x14ac:dyDescent="0.3">
      <c r="A849" s="1">
        <v>43800</v>
      </c>
      <c r="B849" s="8" t="s">
        <v>6</v>
      </c>
      <c r="C849" t="s">
        <v>7</v>
      </c>
      <c r="D849" t="s">
        <v>228</v>
      </c>
      <c r="E849" t="s">
        <v>10</v>
      </c>
      <c r="F849" s="9">
        <v>234422.38</v>
      </c>
      <c r="G849" s="7">
        <v>8571001.2050000001</v>
      </c>
      <c r="H849" s="8">
        <f t="shared" si="13"/>
        <v>8571.0012050000005</v>
      </c>
      <c r="I849" s="10">
        <v>878</v>
      </c>
    </row>
    <row r="850" spans="1:9" ht="15.75" thickBot="1" x14ac:dyDescent="0.3">
      <c r="A850" s="1">
        <v>43800</v>
      </c>
      <c r="B850" s="8" t="s">
        <v>6</v>
      </c>
      <c r="C850" t="s">
        <v>7</v>
      </c>
      <c r="D850" t="s">
        <v>228</v>
      </c>
      <c r="E850" t="s">
        <v>17</v>
      </c>
      <c r="F850" s="9">
        <v>3184.56</v>
      </c>
      <c r="G850" s="4">
        <v>58</v>
      </c>
      <c r="H850" s="8">
        <f t="shared" si="13"/>
        <v>58</v>
      </c>
      <c r="I850" s="10">
        <v>1</v>
      </c>
    </row>
    <row r="851" spans="1:9" ht="15.75" thickBot="1" x14ac:dyDescent="0.3">
      <c r="A851" s="1">
        <v>43800</v>
      </c>
      <c r="B851" s="8" t="s">
        <v>6</v>
      </c>
      <c r="C851" t="s">
        <v>7</v>
      </c>
      <c r="D851" t="s">
        <v>228</v>
      </c>
      <c r="E851" t="s">
        <v>11</v>
      </c>
      <c r="F851" s="9">
        <v>9656.2199999999993</v>
      </c>
      <c r="G851" s="7">
        <v>17238.291000000001</v>
      </c>
      <c r="H851" s="8">
        <f t="shared" si="13"/>
        <v>17238.291000000001</v>
      </c>
      <c r="I851" s="10">
        <v>21</v>
      </c>
    </row>
    <row r="852" spans="1:9" ht="15.75" thickBot="1" x14ac:dyDescent="0.3">
      <c r="A852" s="1">
        <v>43466</v>
      </c>
      <c r="B852" s="8" t="s">
        <v>6</v>
      </c>
      <c r="C852" t="s">
        <v>7</v>
      </c>
      <c r="D852" t="s">
        <v>228</v>
      </c>
      <c r="E852" t="s">
        <v>13</v>
      </c>
      <c r="F852" s="9">
        <v>1102.0999999999999</v>
      </c>
      <c r="G852" s="6">
        <v>39467.199999999997</v>
      </c>
      <c r="H852" s="8">
        <f t="shared" si="13"/>
        <v>39467.199999999997</v>
      </c>
      <c r="I852" s="10">
        <v>4</v>
      </c>
    </row>
    <row r="853" spans="1:9" ht="15.75" thickBot="1" x14ac:dyDescent="0.3">
      <c r="A853" s="1">
        <v>43466</v>
      </c>
      <c r="B853" s="8" t="s">
        <v>6</v>
      </c>
      <c r="C853" t="s">
        <v>7</v>
      </c>
      <c r="D853" t="s">
        <v>229</v>
      </c>
      <c r="E853" t="s">
        <v>9</v>
      </c>
      <c r="F853" s="9">
        <v>6874.94</v>
      </c>
      <c r="G853" s="4">
        <v>234</v>
      </c>
      <c r="H853" s="8">
        <f t="shared" si="13"/>
        <v>234</v>
      </c>
      <c r="I853" s="10">
        <v>4</v>
      </c>
    </row>
    <row r="854" spans="1:9" ht="15.75" thickBot="1" x14ac:dyDescent="0.3">
      <c r="A854" s="1">
        <v>43466</v>
      </c>
      <c r="B854" s="8" t="s">
        <v>6</v>
      </c>
      <c r="C854" t="s">
        <v>7</v>
      </c>
      <c r="D854" t="s">
        <v>229</v>
      </c>
      <c r="E854" t="s">
        <v>15</v>
      </c>
      <c r="F854" s="9">
        <v>410.01</v>
      </c>
      <c r="G854" s="6">
        <v>15000</v>
      </c>
      <c r="H854" s="8">
        <f t="shared" si="13"/>
        <v>15000</v>
      </c>
      <c r="I854" s="10">
        <v>2</v>
      </c>
    </row>
    <row r="855" spans="1:9" ht="15.75" thickBot="1" x14ac:dyDescent="0.3">
      <c r="A855" s="1">
        <v>43800</v>
      </c>
      <c r="B855" s="8" t="s">
        <v>6</v>
      </c>
      <c r="C855" t="s">
        <v>7</v>
      </c>
      <c r="D855" t="s">
        <v>229</v>
      </c>
      <c r="E855" t="s">
        <v>10</v>
      </c>
      <c r="F855" s="9">
        <v>21601.42</v>
      </c>
      <c r="G855" s="6">
        <v>11121518.498</v>
      </c>
      <c r="H855" s="8">
        <f t="shared" si="13"/>
        <v>11121.518497999999</v>
      </c>
      <c r="I855" s="10">
        <v>1229</v>
      </c>
    </row>
    <row r="856" spans="1:9" ht="15.75" thickBot="1" x14ac:dyDescent="0.3">
      <c r="A856" s="1">
        <v>43800</v>
      </c>
      <c r="B856" s="8" t="s">
        <v>6</v>
      </c>
      <c r="C856" t="s">
        <v>7</v>
      </c>
      <c r="D856" t="s">
        <v>229</v>
      </c>
      <c r="E856" t="s">
        <v>11</v>
      </c>
      <c r="F856" s="9">
        <v>1163.53</v>
      </c>
      <c r="G856" s="7">
        <v>3489</v>
      </c>
      <c r="H856" s="8">
        <f t="shared" si="13"/>
        <v>3489</v>
      </c>
      <c r="I856" s="10">
        <v>7</v>
      </c>
    </row>
    <row r="857" spans="1:9" ht="15.75" thickBot="1" x14ac:dyDescent="0.3">
      <c r="A857" s="1">
        <v>43800</v>
      </c>
      <c r="B857" s="8" t="s">
        <v>6</v>
      </c>
      <c r="C857" t="s">
        <v>7</v>
      </c>
      <c r="D857" t="s">
        <v>229</v>
      </c>
      <c r="E857" t="s">
        <v>13</v>
      </c>
      <c r="F857" s="9">
        <v>0</v>
      </c>
      <c r="G857" s="6">
        <v>3000</v>
      </c>
      <c r="H857" s="8">
        <f t="shared" si="13"/>
        <v>3000</v>
      </c>
      <c r="I857" s="10">
        <v>1</v>
      </c>
    </row>
    <row r="858" spans="1:9" ht="15.75" thickBot="1" x14ac:dyDescent="0.3">
      <c r="A858" s="1">
        <v>43800</v>
      </c>
      <c r="B858" s="8" t="s">
        <v>6</v>
      </c>
      <c r="C858" t="s">
        <v>7</v>
      </c>
      <c r="D858" t="s">
        <v>230</v>
      </c>
      <c r="E858" t="s">
        <v>9</v>
      </c>
      <c r="F858" s="9">
        <v>47731.95</v>
      </c>
      <c r="G858" s="4">
        <v>1582</v>
      </c>
      <c r="H858" s="8">
        <f t="shared" si="13"/>
        <v>1582</v>
      </c>
      <c r="I858" s="10">
        <v>2</v>
      </c>
    </row>
    <row r="859" spans="1:9" ht="15.75" thickBot="1" x14ac:dyDescent="0.3">
      <c r="A859" s="1">
        <v>43466</v>
      </c>
      <c r="B859" s="8" t="s">
        <v>6</v>
      </c>
      <c r="C859" t="s">
        <v>7</v>
      </c>
      <c r="D859" t="s">
        <v>230</v>
      </c>
      <c r="E859" t="s">
        <v>10</v>
      </c>
      <c r="F859" s="9">
        <v>125968.65</v>
      </c>
      <c r="G859" s="6">
        <v>3248485.6159999999</v>
      </c>
      <c r="H859" s="8">
        <f t="shared" si="13"/>
        <v>3248.4856159999999</v>
      </c>
      <c r="I859" s="10">
        <v>286</v>
      </c>
    </row>
    <row r="860" spans="1:9" ht="15.75" thickBot="1" x14ac:dyDescent="0.3">
      <c r="A860" s="1">
        <v>43466</v>
      </c>
      <c r="B860" s="8" t="s">
        <v>6</v>
      </c>
      <c r="C860" t="s">
        <v>7</v>
      </c>
      <c r="D860" t="s">
        <v>230</v>
      </c>
      <c r="E860" t="s">
        <v>11</v>
      </c>
      <c r="F860" s="9">
        <v>9094.2000000000007</v>
      </c>
      <c r="G860" s="4">
        <v>310</v>
      </c>
      <c r="H860" s="8">
        <f t="shared" si="13"/>
        <v>310</v>
      </c>
      <c r="I860" s="10">
        <v>1</v>
      </c>
    </row>
    <row r="861" spans="1:9" ht="15.75" thickBot="1" x14ac:dyDescent="0.3">
      <c r="A861" s="1">
        <v>43466</v>
      </c>
      <c r="B861" s="8" t="s">
        <v>6</v>
      </c>
      <c r="C861" t="s">
        <v>7</v>
      </c>
      <c r="D861" t="s">
        <v>230</v>
      </c>
      <c r="E861" t="s">
        <v>13</v>
      </c>
      <c r="F861" s="9">
        <v>487.25</v>
      </c>
      <c r="G861" s="6">
        <v>11000</v>
      </c>
      <c r="H861" s="8">
        <f t="shared" si="13"/>
        <v>11000</v>
      </c>
      <c r="I861" s="10">
        <v>3</v>
      </c>
    </row>
    <row r="862" spans="1:9" ht="15.75" thickBot="1" x14ac:dyDescent="0.3">
      <c r="A862" s="1">
        <v>43800</v>
      </c>
      <c r="B862" s="8" t="s">
        <v>6</v>
      </c>
      <c r="C862" t="s">
        <v>7</v>
      </c>
      <c r="D862" t="s">
        <v>231</v>
      </c>
      <c r="E862" t="s">
        <v>9</v>
      </c>
      <c r="F862" s="9">
        <v>1623.36</v>
      </c>
      <c r="G862" s="4">
        <v>48</v>
      </c>
      <c r="H862" s="8">
        <f t="shared" si="13"/>
        <v>48</v>
      </c>
      <c r="I862" s="10">
        <v>4</v>
      </c>
    </row>
    <row r="863" spans="1:9" ht="15.75" thickBot="1" x14ac:dyDescent="0.3">
      <c r="A863" s="1">
        <v>43800</v>
      </c>
      <c r="B863" s="8" t="s">
        <v>6</v>
      </c>
      <c r="C863" t="s">
        <v>7</v>
      </c>
      <c r="D863" t="s">
        <v>231</v>
      </c>
      <c r="E863" t="s">
        <v>15</v>
      </c>
      <c r="F863" s="9">
        <v>625</v>
      </c>
      <c r="G863" s="4">
        <v>0</v>
      </c>
      <c r="H863" s="8">
        <f t="shared" si="13"/>
        <v>0</v>
      </c>
      <c r="I863" s="10">
        <v>1</v>
      </c>
    </row>
    <row r="864" spans="1:9" ht="15.75" thickBot="1" x14ac:dyDescent="0.3">
      <c r="A864" s="1">
        <v>43800</v>
      </c>
      <c r="B864" s="8" t="s">
        <v>6</v>
      </c>
      <c r="C864" t="s">
        <v>7</v>
      </c>
      <c r="D864" t="s">
        <v>231</v>
      </c>
      <c r="E864" t="s">
        <v>10</v>
      </c>
      <c r="F864" s="9">
        <v>220996.55</v>
      </c>
      <c r="G864" s="6">
        <v>8644503.4910000004</v>
      </c>
      <c r="H864" s="8">
        <f t="shared" si="13"/>
        <v>8644.5034909999995</v>
      </c>
      <c r="I864" s="10">
        <v>884</v>
      </c>
    </row>
    <row r="865" spans="1:9" ht="15.75" thickBot="1" x14ac:dyDescent="0.3">
      <c r="A865" s="1">
        <v>43800</v>
      </c>
      <c r="B865" s="8" t="s">
        <v>6</v>
      </c>
      <c r="C865" t="s">
        <v>7</v>
      </c>
      <c r="D865" t="s">
        <v>231</v>
      </c>
      <c r="E865" t="s">
        <v>11</v>
      </c>
      <c r="F865" s="9">
        <v>23757.03</v>
      </c>
      <c r="G865" s="7">
        <v>43104.35</v>
      </c>
      <c r="H865" s="8">
        <f t="shared" si="13"/>
        <v>43104.35</v>
      </c>
      <c r="I865" s="10">
        <v>70</v>
      </c>
    </row>
    <row r="866" spans="1:9" ht="15.75" thickBot="1" x14ac:dyDescent="0.3">
      <c r="A866" s="1">
        <v>43466</v>
      </c>
      <c r="B866" s="8" t="s">
        <v>6</v>
      </c>
      <c r="C866" t="s">
        <v>7</v>
      </c>
      <c r="D866" t="s">
        <v>231</v>
      </c>
      <c r="E866" t="s">
        <v>13</v>
      </c>
      <c r="F866" s="9">
        <v>1519.81</v>
      </c>
      <c r="G866" s="6">
        <v>50000</v>
      </c>
      <c r="H866" s="8">
        <f t="shared" si="13"/>
        <v>50000</v>
      </c>
      <c r="I866" s="10">
        <v>6</v>
      </c>
    </row>
    <row r="867" spans="1:9" ht="15.75" thickBot="1" x14ac:dyDescent="0.3">
      <c r="A867" s="1">
        <v>43466</v>
      </c>
      <c r="B867" s="8" t="s">
        <v>6</v>
      </c>
      <c r="C867" t="s">
        <v>7</v>
      </c>
      <c r="D867" t="s">
        <v>232</v>
      </c>
      <c r="E867" t="s">
        <v>9</v>
      </c>
      <c r="F867" s="9">
        <v>21385.56</v>
      </c>
      <c r="G867" s="4">
        <v>658</v>
      </c>
      <c r="H867" s="8">
        <f t="shared" si="13"/>
        <v>658</v>
      </c>
      <c r="I867" s="10">
        <v>20</v>
      </c>
    </row>
    <row r="868" spans="1:9" ht="15.75" thickBot="1" x14ac:dyDescent="0.3">
      <c r="A868" s="1">
        <v>43466</v>
      </c>
      <c r="B868" s="8" t="s">
        <v>6</v>
      </c>
      <c r="C868" t="s">
        <v>7</v>
      </c>
      <c r="D868" t="s">
        <v>232</v>
      </c>
      <c r="E868" t="s">
        <v>15</v>
      </c>
      <c r="F868" s="9">
        <v>6603.36</v>
      </c>
      <c r="G868" s="4">
        <v>172</v>
      </c>
      <c r="H868" s="8">
        <f t="shared" si="13"/>
        <v>172</v>
      </c>
      <c r="I868" s="10">
        <v>13</v>
      </c>
    </row>
    <row r="869" spans="1:9" ht="15.75" thickBot="1" x14ac:dyDescent="0.3">
      <c r="A869" s="1">
        <v>43800</v>
      </c>
      <c r="B869" s="8" t="s">
        <v>6</v>
      </c>
      <c r="C869" t="s">
        <v>7</v>
      </c>
      <c r="D869" t="s">
        <v>232</v>
      </c>
      <c r="E869" t="s">
        <v>10</v>
      </c>
      <c r="F869" s="9">
        <v>164891.26999999999</v>
      </c>
      <c r="G869" s="7">
        <v>6687066.1200000001</v>
      </c>
      <c r="H869" s="8">
        <f t="shared" si="13"/>
        <v>6687.0661200000004</v>
      </c>
      <c r="I869" s="10">
        <v>616</v>
      </c>
    </row>
    <row r="870" spans="1:9" ht="15.75" thickBot="1" x14ac:dyDescent="0.3">
      <c r="A870" s="1">
        <v>43800</v>
      </c>
      <c r="B870" s="8" t="s">
        <v>6</v>
      </c>
      <c r="C870" t="s">
        <v>7</v>
      </c>
      <c r="D870" t="s">
        <v>232</v>
      </c>
      <c r="E870" t="s">
        <v>17</v>
      </c>
      <c r="F870" s="9">
        <v>194093.77</v>
      </c>
      <c r="G870" s="4">
        <v>6181</v>
      </c>
      <c r="H870" s="8">
        <f t="shared" si="13"/>
        <v>6181</v>
      </c>
      <c r="I870" s="10">
        <v>38</v>
      </c>
    </row>
    <row r="871" spans="1:9" ht="15.75" thickBot="1" x14ac:dyDescent="0.3">
      <c r="A871" s="1">
        <v>43800</v>
      </c>
      <c r="B871" s="8" t="s">
        <v>6</v>
      </c>
      <c r="C871" t="s">
        <v>7</v>
      </c>
      <c r="D871" t="s">
        <v>232</v>
      </c>
      <c r="E871" t="s">
        <v>11</v>
      </c>
      <c r="F871" s="9">
        <v>3226.41</v>
      </c>
      <c r="G871" s="7">
        <v>6086.991</v>
      </c>
      <c r="H871" s="8">
        <f t="shared" si="13"/>
        <v>6086.991</v>
      </c>
      <c r="I871" s="10">
        <v>9</v>
      </c>
    </row>
    <row r="872" spans="1:9" ht="15.75" thickBot="1" x14ac:dyDescent="0.3">
      <c r="A872" s="1">
        <v>43800</v>
      </c>
      <c r="B872" s="8" t="s">
        <v>6</v>
      </c>
      <c r="C872" t="s">
        <v>7</v>
      </c>
      <c r="D872" t="s">
        <v>232</v>
      </c>
      <c r="E872" t="s">
        <v>13</v>
      </c>
      <c r="F872" s="9">
        <v>532.86</v>
      </c>
      <c r="G872" s="6">
        <v>25000</v>
      </c>
      <c r="H872" s="8">
        <f t="shared" si="13"/>
        <v>25000</v>
      </c>
      <c r="I872" s="10">
        <v>3</v>
      </c>
    </row>
    <row r="873" spans="1:9" ht="15.75" thickBot="1" x14ac:dyDescent="0.3">
      <c r="A873" s="1">
        <v>43466</v>
      </c>
      <c r="B873" s="8" t="s">
        <v>6</v>
      </c>
      <c r="C873" t="s">
        <v>7</v>
      </c>
      <c r="D873" t="s">
        <v>233</v>
      </c>
      <c r="E873" t="s">
        <v>9</v>
      </c>
      <c r="F873" s="9">
        <v>11034.66</v>
      </c>
      <c r="G873" s="4">
        <v>373</v>
      </c>
      <c r="H873" s="8">
        <f t="shared" si="13"/>
        <v>373</v>
      </c>
      <c r="I873" s="10">
        <v>4</v>
      </c>
    </row>
    <row r="874" spans="1:9" ht="15.75" thickBot="1" x14ac:dyDescent="0.3">
      <c r="A874" s="1">
        <v>43466</v>
      </c>
      <c r="B874" s="8" t="s">
        <v>6</v>
      </c>
      <c r="C874" t="s">
        <v>7</v>
      </c>
      <c r="D874" t="s">
        <v>233</v>
      </c>
      <c r="E874" t="s">
        <v>15</v>
      </c>
      <c r="F874" s="9">
        <v>3225.12</v>
      </c>
      <c r="G874" s="4">
        <v>116</v>
      </c>
      <c r="H874" s="8">
        <f t="shared" si="13"/>
        <v>116</v>
      </c>
      <c r="I874" s="10">
        <v>1</v>
      </c>
    </row>
    <row r="875" spans="1:9" ht="15.75" thickBot="1" x14ac:dyDescent="0.3">
      <c r="A875" s="1">
        <v>43466</v>
      </c>
      <c r="B875" s="8" t="s">
        <v>6</v>
      </c>
      <c r="C875" t="s">
        <v>7</v>
      </c>
      <c r="D875" t="s">
        <v>233</v>
      </c>
      <c r="E875" t="s">
        <v>10</v>
      </c>
      <c r="F875" s="9">
        <v>118745.76</v>
      </c>
      <c r="G875" s="6">
        <v>4473272.716</v>
      </c>
      <c r="H875" s="8">
        <f t="shared" si="13"/>
        <v>4473.2727160000004</v>
      </c>
      <c r="I875" s="10">
        <v>362</v>
      </c>
    </row>
    <row r="876" spans="1:9" ht="15.75" thickBot="1" x14ac:dyDescent="0.3">
      <c r="A876" s="1">
        <v>43800</v>
      </c>
      <c r="B876" s="8" t="s">
        <v>6</v>
      </c>
      <c r="C876" t="s">
        <v>7</v>
      </c>
      <c r="D876" t="s">
        <v>233</v>
      </c>
      <c r="E876" t="s">
        <v>11</v>
      </c>
      <c r="F876" s="9">
        <v>33804.9</v>
      </c>
      <c r="G876" s="4">
        <v>1139</v>
      </c>
      <c r="H876" s="8">
        <f t="shared" si="13"/>
        <v>1139</v>
      </c>
      <c r="I876" s="10">
        <v>18</v>
      </c>
    </row>
    <row r="877" spans="1:9" ht="15.75" thickBot="1" x14ac:dyDescent="0.3">
      <c r="A877" s="1">
        <v>43800</v>
      </c>
      <c r="B877" s="8" t="s">
        <v>6</v>
      </c>
      <c r="C877" t="s">
        <v>7</v>
      </c>
      <c r="D877" t="s">
        <v>233</v>
      </c>
      <c r="E877" t="s">
        <v>13</v>
      </c>
      <c r="F877" s="9">
        <v>213.43</v>
      </c>
      <c r="G877" s="6">
        <v>9000</v>
      </c>
      <c r="H877" s="8">
        <f t="shared" si="13"/>
        <v>9000</v>
      </c>
      <c r="I877" s="10">
        <v>1</v>
      </c>
    </row>
    <row r="878" spans="1:9" ht="15.75" thickBot="1" x14ac:dyDescent="0.3">
      <c r="A878" s="1">
        <v>43800</v>
      </c>
      <c r="B878" s="8" t="s">
        <v>6</v>
      </c>
      <c r="C878" t="s">
        <v>7</v>
      </c>
      <c r="D878" t="s">
        <v>234</v>
      </c>
      <c r="E878" t="s">
        <v>9</v>
      </c>
      <c r="F878" s="9">
        <v>17118.330000000002</v>
      </c>
      <c r="G878" s="4">
        <v>490</v>
      </c>
      <c r="H878" s="8">
        <f t="shared" si="13"/>
        <v>490</v>
      </c>
      <c r="I878" s="10">
        <v>7</v>
      </c>
    </row>
    <row r="879" spans="1:9" ht="15.75" thickBot="1" x14ac:dyDescent="0.3">
      <c r="A879" s="1">
        <v>43800</v>
      </c>
      <c r="B879" s="8" t="s">
        <v>6</v>
      </c>
      <c r="C879" t="s">
        <v>7</v>
      </c>
      <c r="D879" t="s">
        <v>234</v>
      </c>
      <c r="E879" t="s">
        <v>15</v>
      </c>
      <c r="F879" s="9">
        <v>400</v>
      </c>
      <c r="G879" s="4">
        <v>0</v>
      </c>
      <c r="H879" s="8">
        <f t="shared" si="13"/>
        <v>0</v>
      </c>
      <c r="I879" s="10">
        <v>1</v>
      </c>
    </row>
    <row r="880" spans="1:9" ht="15.75" thickBot="1" x14ac:dyDescent="0.3">
      <c r="A880" s="1">
        <v>43466</v>
      </c>
      <c r="B880" s="8" t="s">
        <v>6</v>
      </c>
      <c r="C880" t="s">
        <v>7</v>
      </c>
      <c r="D880" t="s">
        <v>234</v>
      </c>
      <c r="E880" t="s">
        <v>10</v>
      </c>
      <c r="F880" s="9">
        <v>90374.67</v>
      </c>
      <c r="G880" s="6">
        <v>3009816.6669999999</v>
      </c>
      <c r="H880" s="8">
        <f t="shared" si="13"/>
        <v>3009.8166670000001</v>
      </c>
      <c r="I880" s="10">
        <v>246</v>
      </c>
    </row>
    <row r="881" spans="1:9" ht="15.75" thickBot="1" x14ac:dyDescent="0.3">
      <c r="A881" s="1">
        <v>43466</v>
      </c>
      <c r="B881" s="8" t="s">
        <v>6</v>
      </c>
      <c r="C881" t="s">
        <v>7</v>
      </c>
      <c r="D881" t="s">
        <v>234</v>
      </c>
      <c r="E881" t="s">
        <v>11</v>
      </c>
      <c r="F881" s="9">
        <v>4513.99</v>
      </c>
      <c r="G881" s="4">
        <v>129</v>
      </c>
      <c r="H881" s="8">
        <f t="shared" si="13"/>
        <v>129</v>
      </c>
      <c r="I881" s="10">
        <v>6</v>
      </c>
    </row>
    <row r="882" spans="1:9" ht="15.75" thickBot="1" x14ac:dyDescent="0.3">
      <c r="A882" s="1">
        <v>43466</v>
      </c>
      <c r="B882" s="8" t="s">
        <v>6</v>
      </c>
      <c r="C882" t="s">
        <v>7</v>
      </c>
      <c r="D882" t="s">
        <v>234</v>
      </c>
      <c r="E882" t="s">
        <v>13</v>
      </c>
      <c r="F882" s="9">
        <v>987.21</v>
      </c>
      <c r="G882" s="6">
        <v>34000</v>
      </c>
      <c r="H882" s="8">
        <f t="shared" si="13"/>
        <v>34000</v>
      </c>
      <c r="I882" s="10">
        <v>2</v>
      </c>
    </row>
    <row r="883" spans="1:9" ht="15.75" thickBot="1" x14ac:dyDescent="0.3">
      <c r="A883" s="1">
        <v>43800</v>
      </c>
      <c r="B883" s="8" t="s">
        <v>6</v>
      </c>
      <c r="C883" t="s">
        <v>7</v>
      </c>
      <c r="D883" t="s">
        <v>235</v>
      </c>
      <c r="E883" t="s">
        <v>9</v>
      </c>
      <c r="F883" s="9">
        <v>73732.37</v>
      </c>
      <c r="G883" s="7">
        <v>192760.04199999999</v>
      </c>
      <c r="H883" s="8">
        <f t="shared" si="13"/>
        <v>192760.04199999999</v>
      </c>
      <c r="I883" s="10">
        <v>33</v>
      </c>
    </row>
    <row r="884" spans="1:9" ht="15.75" thickBot="1" x14ac:dyDescent="0.3">
      <c r="A884" s="1">
        <v>43800</v>
      </c>
      <c r="B884" s="8" t="s">
        <v>6</v>
      </c>
      <c r="C884" t="s">
        <v>7</v>
      </c>
      <c r="D884" t="s">
        <v>235</v>
      </c>
      <c r="E884" t="s">
        <v>15</v>
      </c>
      <c r="F884" s="9">
        <v>29979.7</v>
      </c>
      <c r="G884" s="7">
        <v>25335.373</v>
      </c>
      <c r="H884" s="8">
        <f t="shared" si="13"/>
        <v>25335.373</v>
      </c>
      <c r="I884" s="10">
        <v>23</v>
      </c>
    </row>
    <row r="885" spans="1:9" ht="15.75" thickBot="1" x14ac:dyDescent="0.3">
      <c r="A885" s="1">
        <v>43800</v>
      </c>
      <c r="B885" s="8" t="s">
        <v>6</v>
      </c>
      <c r="C885" t="s">
        <v>7</v>
      </c>
      <c r="D885" t="s">
        <v>235</v>
      </c>
      <c r="E885" t="s">
        <v>10</v>
      </c>
      <c r="F885" s="9">
        <v>430930.15</v>
      </c>
      <c r="G885" s="6">
        <v>15998302.187000001</v>
      </c>
      <c r="H885" s="8">
        <f t="shared" si="13"/>
        <v>15998.302187000001</v>
      </c>
      <c r="I885" s="10">
        <v>1558</v>
      </c>
    </row>
    <row r="886" spans="1:9" ht="15.75" thickBot="1" x14ac:dyDescent="0.3">
      <c r="A886" s="1">
        <v>43800</v>
      </c>
      <c r="B886" s="8" t="s">
        <v>6</v>
      </c>
      <c r="C886" t="s">
        <v>7</v>
      </c>
      <c r="D886" t="s">
        <v>235</v>
      </c>
      <c r="E886" t="s">
        <v>11</v>
      </c>
      <c r="F886" s="9">
        <v>59828.68</v>
      </c>
      <c r="G886" s="4">
        <v>1944</v>
      </c>
      <c r="H886" s="8">
        <f t="shared" si="13"/>
        <v>1944</v>
      </c>
      <c r="I886" s="10">
        <v>27</v>
      </c>
    </row>
    <row r="887" spans="1:9" ht="15.75" thickBot="1" x14ac:dyDescent="0.3">
      <c r="A887" s="1">
        <v>43466</v>
      </c>
      <c r="B887" s="8" t="s">
        <v>6</v>
      </c>
      <c r="C887" t="s">
        <v>7</v>
      </c>
      <c r="D887" t="s">
        <v>235</v>
      </c>
      <c r="E887" t="s">
        <v>13</v>
      </c>
      <c r="F887" s="9">
        <v>656.34</v>
      </c>
      <c r="G887" s="6">
        <v>22000</v>
      </c>
      <c r="H887" s="8">
        <f t="shared" si="13"/>
        <v>22000</v>
      </c>
      <c r="I887" s="10">
        <v>4</v>
      </c>
    </row>
    <row r="888" spans="1:9" ht="15.75" thickBot="1" x14ac:dyDescent="0.3">
      <c r="A888" s="1">
        <v>43466</v>
      </c>
      <c r="B888" s="8" t="s">
        <v>6</v>
      </c>
      <c r="C888" t="s">
        <v>7</v>
      </c>
      <c r="D888" t="s">
        <v>236</v>
      </c>
      <c r="E888" t="s">
        <v>9</v>
      </c>
      <c r="F888" s="9">
        <v>423777.53</v>
      </c>
      <c r="G888" s="7">
        <v>15214.562</v>
      </c>
      <c r="H888" s="8">
        <f t="shared" si="13"/>
        <v>15214.562</v>
      </c>
      <c r="I888" s="10">
        <v>267</v>
      </c>
    </row>
    <row r="889" spans="1:9" ht="15.75" thickBot="1" x14ac:dyDescent="0.3">
      <c r="A889" s="1">
        <v>43466</v>
      </c>
      <c r="B889" s="8" t="s">
        <v>6</v>
      </c>
      <c r="C889" t="s">
        <v>7</v>
      </c>
      <c r="D889" t="s">
        <v>236</v>
      </c>
      <c r="E889" t="s">
        <v>15</v>
      </c>
      <c r="F889" s="9">
        <v>11935</v>
      </c>
      <c r="G889" s="4">
        <v>425</v>
      </c>
      <c r="H889" s="8">
        <f t="shared" si="13"/>
        <v>425</v>
      </c>
      <c r="I889" s="10">
        <v>5</v>
      </c>
    </row>
    <row r="890" spans="1:9" ht="15.75" thickBot="1" x14ac:dyDescent="0.3">
      <c r="A890" s="1">
        <v>43800</v>
      </c>
      <c r="B890" s="8" t="s">
        <v>6</v>
      </c>
      <c r="C890" t="s">
        <v>7</v>
      </c>
      <c r="D890" t="s">
        <v>236</v>
      </c>
      <c r="E890" t="s">
        <v>10</v>
      </c>
      <c r="F890" s="9">
        <v>9555.07</v>
      </c>
      <c r="G890" s="7">
        <v>256857.815</v>
      </c>
      <c r="H890" s="8">
        <f t="shared" si="13"/>
        <v>256.85781500000002</v>
      </c>
      <c r="I890" s="10">
        <v>23</v>
      </c>
    </row>
    <row r="891" spans="1:9" ht="15.75" thickBot="1" x14ac:dyDescent="0.3">
      <c r="A891" s="1">
        <v>43800</v>
      </c>
      <c r="B891" s="8" t="s">
        <v>6</v>
      </c>
      <c r="C891" t="s">
        <v>7</v>
      </c>
      <c r="D891" t="s">
        <v>236</v>
      </c>
      <c r="E891" t="s">
        <v>17</v>
      </c>
      <c r="F891" s="9">
        <v>47019.21</v>
      </c>
      <c r="G891" s="4">
        <v>1135</v>
      </c>
      <c r="H891" s="8">
        <f t="shared" si="13"/>
        <v>1135</v>
      </c>
      <c r="I891" s="10">
        <v>13</v>
      </c>
    </row>
    <row r="892" spans="1:9" ht="15.75" thickBot="1" x14ac:dyDescent="0.3">
      <c r="A892" s="1">
        <v>43800</v>
      </c>
      <c r="B892" s="8" t="s">
        <v>6</v>
      </c>
      <c r="C892" t="s">
        <v>7</v>
      </c>
      <c r="D892" t="s">
        <v>236</v>
      </c>
      <c r="E892" t="s">
        <v>11</v>
      </c>
      <c r="F892" s="9">
        <v>7348.92</v>
      </c>
      <c r="G892" s="7">
        <v>6172.2389999999996</v>
      </c>
      <c r="H892" s="8">
        <f t="shared" si="13"/>
        <v>6172.2389999999996</v>
      </c>
      <c r="I892" s="10">
        <v>19</v>
      </c>
    </row>
    <row r="893" spans="1:9" ht="15.75" thickBot="1" x14ac:dyDescent="0.3">
      <c r="A893" s="1">
        <v>43800</v>
      </c>
      <c r="B893" s="8" t="s">
        <v>6</v>
      </c>
      <c r="C893" t="s">
        <v>7</v>
      </c>
      <c r="D893" t="s">
        <v>237</v>
      </c>
      <c r="E893" t="s">
        <v>15</v>
      </c>
      <c r="F893" s="9">
        <v>0</v>
      </c>
      <c r="G893" s="4">
        <v>579</v>
      </c>
      <c r="H893" s="8">
        <f t="shared" si="13"/>
        <v>579</v>
      </c>
      <c r="I893" s="10">
        <v>1</v>
      </c>
    </row>
    <row r="894" spans="1:9" ht="15.75" thickBot="1" x14ac:dyDescent="0.3">
      <c r="A894" s="1">
        <v>43466</v>
      </c>
      <c r="B894" s="8" t="s">
        <v>6</v>
      </c>
      <c r="C894" t="s">
        <v>7</v>
      </c>
      <c r="D894" t="s">
        <v>237</v>
      </c>
      <c r="E894" t="s">
        <v>11</v>
      </c>
      <c r="F894" s="9">
        <v>2627.15</v>
      </c>
      <c r="G894" s="4">
        <v>2</v>
      </c>
      <c r="H894" s="8">
        <f t="shared" si="13"/>
        <v>2</v>
      </c>
      <c r="I894" s="10">
        <v>2</v>
      </c>
    </row>
    <row r="895" spans="1:9" ht="15.75" thickBot="1" x14ac:dyDescent="0.3">
      <c r="A895" s="1">
        <v>43466</v>
      </c>
      <c r="B895" s="8" t="s">
        <v>6</v>
      </c>
      <c r="C895" t="s">
        <v>7</v>
      </c>
      <c r="D895" t="s">
        <v>238</v>
      </c>
      <c r="E895" t="s">
        <v>15</v>
      </c>
      <c r="F895" s="9">
        <v>4234.34</v>
      </c>
      <c r="G895" s="7">
        <v>9577.6010000000006</v>
      </c>
      <c r="H895" s="8">
        <f t="shared" si="13"/>
        <v>9577.6010000000006</v>
      </c>
      <c r="I895" s="10">
        <v>7</v>
      </c>
    </row>
    <row r="896" spans="1:9" ht="15.75" thickBot="1" x14ac:dyDescent="0.3">
      <c r="A896" s="1">
        <v>43466</v>
      </c>
      <c r="B896" s="8" t="s">
        <v>6</v>
      </c>
      <c r="C896" t="s">
        <v>7</v>
      </c>
      <c r="D896" t="s">
        <v>238</v>
      </c>
      <c r="E896" t="s">
        <v>10</v>
      </c>
      <c r="F896" s="9">
        <v>155441.09</v>
      </c>
      <c r="G896" s="6">
        <v>6432744.2999999998</v>
      </c>
      <c r="H896" s="8">
        <f t="shared" si="13"/>
        <v>6432.7442999999994</v>
      </c>
      <c r="I896" s="10">
        <v>697</v>
      </c>
    </row>
    <row r="897" spans="1:9" ht="15.75" thickBot="1" x14ac:dyDescent="0.3">
      <c r="A897" s="1">
        <v>43800</v>
      </c>
      <c r="B897" s="8" t="s">
        <v>6</v>
      </c>
      <c r="C897" t="s">
        <v>7</v>
      </c>
      <c r="D897" t="s">
        <v>238</v>
      </c>
      <c r="E897" t="s">
        <v>11</v>
      </c>
      <c r="F897" s="9">
        <v>81.569999999999993</v>
      </c>
      <c r="G897" s="5">
        <v>0</v>
      </c>
      <c r="H897" s="8">
        <f t="shared" si="13"/>
        <v>0</v>
      </c>
      <c r="I897" s="10">
        <v>1</v>
      </c>
    </row>
    <row r="898" spans="1:9" ht="15.75" thickBot="1" x14ac:dyDescent="0.3">
      <c r="A898" s="1">
        <v>43800</v>
      </c>
      <c r="B898" s="8" t="s">
        <v>6</v>
      </c>
      <c r="C898" t="s">
        <v>7</v>
      </c>
      <c r="D898" t="s">
        <v>238</v>
      </c>
      <c r="E898" t="s">
        <v>13</v>
      </c>
      <c r="F898" s="9">
        <v>406.33</v>
      </c>
      <c r="G898" s="6">
        <v>13000</v>
      </c>
      <c r="H898" s="8">
        <f t="shared" ref="H898:H961" si="14">IF(ISNUMBER(SEARCH("Domestic customer", E898)),G898/1000,G898)</f>
        <v>13000</v>
      </c>
      <c r="I898" s="10">
        <v>2</v>
      </c>
    </row>
    <row r="899" spans="1:9" ht="15.75" thickBot="1" x14ac:dyDescent="0.3">
      <c r="A899" s="1">
        <v>43800</v>
      </c>
      <c r="B899" s="8" t="s">
        <v>6</v>
      </c>
      <c r="C899" t="s">
        <v>7</v>
      </c>
      <c r="D899" t="s">
        <v>239</v>
      </c>
      <c r="E899" t="s">
        <v>9</v>
      </c>
      <c r="F899" s="9">
        <v>484850.95</v>
      </c>
      <c r="G899" s="4">
        <v>16858</v>
      </c>
      <c r="H899" s="8">
        <f t="shared" si="14"/>
        <v>16858</v>
      </c>
      <c r="I899" s="10">
        <v>28</v>
      </c>
    </row>
    <row r="900" spans="1:9" ht="15.75" thickBot="1" x14ac:dyDescent="0.3">
      <c r="A900" s="1">
        <v>43800</v>
      </c>
      <c r="B900" s="8" t="s">
        <v>6</v>
      </c>
      <c r="C900" t="s">
        <v>7</v>
      </c>
      <c r="D900" t="s">
        <v>239</v>
      </c>
      <c r="E900" t="s">
        <v>17</v>
      </c>
      <c r="F900" s="9">
        <v>976843.22</v>
      </c>
      <c r="G900" s="4">
        <v>30989</v>
      </c>
      <c r="H900" s="8">
        <f t="shared" si="14"/>
        <v>30989</v>
      </c>
      <c r="I900" s="10">
        <v>72</v>
      </c>
    </row>
    <row r="901" spans="1:9" ht="15.75" thickBot="1" x14ac:dyDescent="0.3">
      <c r="A901" s="1">
        <v>43466</v>
      </c>
      <c r="B901" s="8" t="s">
        <v>6</v>
      </c>
      <c r="C901" t="s">
        <v>7</v>
      </c>
      <c r="D901" t="s">
        <v>239</v>
      </c>
      <c r="E901" t="s">
        <v>11</v>
      </c>
      <c r="F901" s="9">
        <v>93224.24</v>
      </c>
      <c r="G901" s="4">
        <v>4878</v>
      </c>
      <c r="H901" s="8">
        <f t="shared" si="14"/>
        <v>4878</v>
      </c>
      <c r="I901" s="10">
        <v>7</v>
      </c>
    </row>
    <row r="902" spans="1:9" ht="15.75" thickBot="1" x14ac:dyDescent="0.3">
      <c r="A902" s="1">
        <v>43466</v>
      </c>
      <c r="B902" s="8" t="s">
        <v>6</v>
      </c>
      <c r="C902" t="s">
        <v>7</v>
      </c>
      <c r="D902" t="s">
        <v>239</v>
      </c>
      <c r="E902" t="s">
        <v>13</v>
      </c>
      <c r="F902" s="9">
        <v>61512.57</v>
      </c>
      <c r="G902" s="4">
        <v>2145</v>
      </c>
      <c r="H902" s="8">
        <f t="shared" si="14"/>
        <v>2145</v>
      </c>
      <c r="I902" s="10">
        <v>2</v>
      </c>
    </row>
    <row r="903" spans="1:9" ht="15.75" thickBot="1" x14ac:dyDescent="0.3">
      <c r="A903" s="1">
        <v>43466</v>
      </c>
      <c r="B903" s="8" t="s">
        <v>6</v>
      </c>
      <c r="C903" t="s">
        <v>7</v>
      </c>
      <c r="D903" t="s">
        <v>240</v>
      </c>
      <c r="E903" t="s">
        <v>9</v>
      </c>
      <c r="F903" s="9">
        <v>726489.98</v>
      </c>
      <c r="G903" s="4">
        <v>18893</v>
      </c>
      <c r="H903" s="8">
        <f t="shared" si="14"/>
        <v>18893</v>
      </c>
      <c r="I903" s="10">
        <v>167</v>
      </c>
    </row>
    <row r="904" spans="1:9" ht="15.75" thickBot="1" x14ac:dyDescent="0.3">
      <c r="A904" s="1">
        <v>43800</v>
      </c>
      <c r="B904" s="8" t="s">
        <v>6</v>
      </c>
      <c r="C904" t="s">
        <v>7</v>
      </c>
      <c r="D904" t="s">
        <v>240</v>
      </c>
      <c r="E904" t="s">
        <v>15</v>
      </c>
      <c r="F904" s="9">
        <v>43070.55</v>
      </c>
      <c r="G904" s="4">
        <v>1513</v>
      </c>
      <c r="H904" s="8">
        <f t="shared" si="14"/>
        <v>1513</v>
      </c>
      <c r="I904" s="10">
        <v>5</v>
      </c>
    </row>
    <row r="905" spans="1:9" ht="15.75" thickBot="1" x14ac:dyDescent="0.3">
      <c r="A905" s="1">
        <v>43800</v>
      </c>
      <c r="B905" s="8" t="s">
        <v>6</v>
      </c>
      <c r="C905" t="s">
        <v>7</v>
      </c>
      <c r="D905" t="s">
        <v>240</v>
      </c>
      <c r="E905" t="s">
        <v>10</v>
      </c>
      <c r="F905" s="9">
        <v>17918.28</v>
      </c>
      <c r="G905" s="4">
        <v>579</v>
      </c>
      <c r="H905" s="8">
        <f t="shared" si="14"/>
        <v>0.57899999999999996</v>
      </c>
      <c r="I905" s="10">
        <v>2</v>
      </c>
    </row>
    <row r="906" spans="1:9" ht="15.75" thickBot="1" x14ac:dyDescent="0.3">
      <c r="A906" s="1">
        <v>43800</v>
      </c>
      <c r="B906" s="8" t="s">
        <v>6</v>
      </c>
      <c r="C906" t="s">
        <v>7</v>
      </c>
      <c r="D906" t="s">
        <v>240</v>
      </c>
      <c r="E906" t="s">
        <v>17</v>
      </c>
      <c r="F906" s="9">
        <v>335382.74</v>
      </c>
      <c r="G906" s="4">
        <v>11025</v>
      </c>
      <c r="H906" s="8">
        <f t="shared" si="14"/>
        <v>11025</v>
      </c>
      <c r="I906" s="10">
        <v>22</v>
      </c>
    </row>
    <row r="907" spans="1:9" ht="15.75" thickBot="1" x14ac:dyDescent="0.3">
      <c r="A907" s="1">
        <v>43800</v>
      </c>
      <c r="B907" s="8" t="s">
        <v>6</v>
      </c>
      <c r="C907" t="s">
        <v>7</v>
      </c>
      <c r="D907" t="s">
        <v>240</v>
      </c>
      <c r="E907" t="s">
        <v>11</v>
      </c>
      <c r="F907" s="9">
        <v>47789.13</v>
      </c>
      <c r="G907" s="4">
        <v>970</v>
      </c>
      <c r="H907" s="8">
        <f t="shared" si="14"/>
        <v>970</v>
      </c>
      <c r="I907" s="10">
        <v>14</v>
      </c>
    </row>
    <row r="908" spans="1:9" ht="15.75" thickBot="1" x14ac:dyDescent="0.3">
      <c r="A908" s="1">
        <v>43466</v>
      </c>
      <c r="B908" s="8" t="s">
        <v>6</v>
      </c>
      <c r="C908" t="s">
        <v>7</v>
      </c>
      <c r="D908" t="s">
        <v>240</v>
      </c>
      <c r="E908" t="s">
        <v>13</v>
      </c>
      <c r="F908" s="9">
        <v>18258.62</v>
      </c>
      <c r="G908" s="4">
        <v>-7</v>
      </c>
      <c r="H908" s="8">
        <f t="shared" si="14"/>
        <v>-7</v>
      </c>
      <c r="I908" s="10">
        <v>6</v>
      </c>
    </row>
    <row r="909" spans="1:9" ht="15.75" thickBot="1" x14ac:dyDescent="0.3">
      <c r="A909" s="1">
        <v>43466</v>
      </c>
      <c r="B909" s="8" t="s">
        <v>6</v>
      </c>
      <c r="C909" t="s">
        <v>7</v>
      </c>
      <c r="D909" t="s">
        <v>241</v>
      </c>
      <c r="E909" t="s">
        <v>9</v>
      </c>
      <c r="F909" s="9">
        <v>9480.76</v>
      </c>
      <c r="G909" s="4">
        <v>218</v>
      </c>
      <c r="H909" s="8">
        <f t="shared" si="14"/>
        <v>218</v>
      </c>
      <c r="I909" s="10">
        <v>3</v>
      </c>
    </row>
    <row r="910" spans="1:9" ht="15.75" thickBot="1" x14ac:dyDescent="0.3">
      <c r="A910" s="1">
        <v>43466</v>
      </c>
      <c r="B910" s="8" t="s">
        <v>6</v>
      </c>
      <c r="C910" t="s">
        <v>7</v>
      </c>
      <c r="D910" t="s">
        <v>241</v>
      </c>
      <c r="E910" t="s">
        <v>10</v>
      </c>
      <c r="F910" s="9">
        <v>193951.21</v>
      </c>
      <c r="G910" s="6">
        <v>5561699.9790000003</v>
      </c>
      <c r="H910" s="8">
        <f t="shared" si="14"/>
        <v>5561.699979</v>
      </c>
      <c r="I910" s="10">
        <v>394</v>
      </c>
    </row>
    <row r="911" spans="1:9" ht="15.75" thickBot="1" x14ac:dyDescent="0.3">
      <c r="A911" s="1">
        <v>43800</v>
      </c>
      <c r="B911" s="8" t="s">
        <v>6</v>
      </c>
      <c r="C911" t="s">
        <v>7</v>
      </c>
      <c r="D911" t="s">
        <v>241</v>
      </c>
      <c r="E911" t="s">
        <v>11</v>
      </c>
      <c r="F911" s="9">
        <v>1010.21</v>
      </c>
      <c r="G911" s="4">
        <v>22</v>
      </c>
      <c r="H911" s="8">
        <f t="shared" si="14"/>
        <v>22</v>
      </c>
      <c r="I911" s="10">
        <v>4</v>
      </c>
    </row>
    <row r="912" spans="1:9" ht="15.75" thickBot="1" x14ac:dyDescent="0.3">
      <c r="A912" s="1">
        <v>43800</v>
      </c>
      <c r="B912" s="8" t="s">
        <v>6</v>
      </c>
      <c r="C912" t="s">
        <v>7</v>
      </c>
      <c r="D912" t="s">
        <v>241</v>
      </c>
      <c r="E912" t="s">
        <v>13</v>
      </c>
      <c r="F912" s="9">
        <v>472.44</v>
      </c>
      <c r="G912" s="6">
        <v>16000</v>
      </c>
      <c r="H912" s="8">
        <f t="shared" si="14"/>
        <v>16000</v>
      </c>
      <c r="I912" s="10">
        <v>2</v>
      </c>
    </row>
    <row r="913" spans="1:9" ht="15.75" thickBot="1" x14ac:dyDescent="0.3">
      <c r="A913" s="1">
        <v>43800</v>
      </c>
      <c r="B913" s="8" t="s">
        <v>6</v>
      </c>
      <c r="C913" t="s">
        <v>7</v>
      </c>
      <c r="D913" t="s">
        <v>242</v>
      </c>
      <c r="E913" t="s">
        <v>9</v>
      </c>
      <c r="F913" s="9">
        <v>621.66999999999996</v>
      </c>
      <c r="G913" s="4">
        <v>19</v>
      </c>
      <c r="H913" s="8">
        <f t="shared" si="14"/>
        <v>19</v>
      </c>
      <c r="I913" s="10">
        <v>2</v>
      </c>
    </row>
    <row r="914" spans="1:9" ht="15.75" thickBot="1" x14ac:dyDescent="0.3">
      <c r="A914" s="1">
        <v>43800</v>
      </c>
      <c r="B914" s="8" t="s">
        <v>6</v>
      </c>
      <c r="C914" t="s">
        <v>7</v>
      </c>
      <c r="D914" t="s">
        <v>242</v>
      </c>
      <c r="E914" t="s">
        <v>15</v>
      </c>
      <c r="F914" s="9">
        <v>31350.97</v>
      </c>
      <c r="G914" s="7">
        <v>186933.71299999999</v>
      </c>
      <c r="H914" s="8">
        <f t="shared" si="14"/>
        <v>186933.71299999999</v>
      </c>
      <c r="I914" s="10">
        <v>28</v>
      </c>
    </row>
    <row r="915" spans="1:9" ht="15.75" thickBot="1" x14ac:dyDescent="0.3">
      <c r="A915" s="1">
        <v>43466</v>
      </c>
      <c r="B915" s="8" t="s">
        <v>6</v>
      </c>
      <c r="C915" t="s">
        <v>7</v>
      </c>
      <c r="D915" t="s">
        <v>242</v>
      </c>
      <c r="E915" t="s">
        <v>10</v>
      </c>
      <c r="F915" s="9">
        <v>129106.42</v>
      </c>
      <c r="G915" s="7">
        <v>8172465.9500000002</v>
      </c>
      <c r="H915" s="8">
        <f t="shared" si="14"/>
        <v>8172.4659499999998</v>
      </c>
      <c r="I915" s="10">
        <v>941</v>
      </c>
    </row>
    <row r="916" spans="1:9" ht="15.75" thickBot="1" x14ac:dyDescent="0.3">
      <c r="A916" s="1">
        <v>43466</v>
      </c>
      <c r="B916" s="8" t="s">
        <v>6</v>
      </c>
      <c r="C916" t="s">
        <v>7</v>
      </c>
      <c r="D916" t="s">
        <v>242</v>
      </c>
      <c r="E916" t="s">
        <v>11</v>
      </c>
      <c r="F916" s="9">
        <v>9650.98</v>
      </c>
      <c r="G916" s="4">
        <v>318</v>
      </c>
      <c r="H916" s="8">
        <f t="shared" si="14"/>
        <v>318</v>
      </c>
      <c r="I916" s="10">
        <v>6</v>
      </c>
    </row>
    <row r="917" spans="1:9" ht="15.75" thickBot="1" x14ac:dyDescent="0.3">
      <c r="A917" s="1">
        <v>43466</v>
      </c>
      <c r="B917" s="8" t="s">
        <v>6</v>
      </c>
      <c r="C917" t="s">
        <v>7</v>
      </c>
      <c r="D917" t="s">
        <v>242</v>
      </c>
      <c r="E917" t="s">
        <v>13</v>
      </c>
      <c r="F917" s="9">
        <v>210.1</v>
      </c>
      <c r="G917" s="7">
        <v>-4759.6360000000004</v>
      </c>
      <c r="H917" s="8">
        <f t="shared" si="14"/>
        <v>-4759.6360000000004</v>
      </c>
      <c r="I917" s="10">
        <v>2</v>
      </c>
    </row>
    <row r="918" spans="1:9" ht="15.75" thickBot="1" x14ac:dyDescent="0.3">
      <c r="A918" s="1">
        <v>43800</v>
      </c>
      <c r="B918" s="8" t="s">
        <v>6</v>
      </c>
      <c r="C918" t="s">
        <v>7</v>
      </c>
      <c r="D918" t="s">
        <v>243</v>
      </c>
      <c r="E918" t="s">
        <v>10</v>
      </c>
      <c r="F918" s="9">
        <v>65266.35</v>
      </c>
      <c r="G918" s="6">
        <v>2308481.818</v>
      </c>
      <c r="H918" s="8">
        <f t="shared" si="14"/>
        <v>2308.4818179999997</v>
      </c>
      <c r="I918" s="10">
        <v>165</v>
      </c>
    </row>
    <row r="919" spans="1:9" ht="15.75" thickBot="1" x14ac:dyDescent="0.3">
      <c r="A919" s="1">
        <v>43800</v>
      </c>
      <c r="B919" s="8" t="s">
        <v>6</v>
      </c>
      <c r="C919" t="s">
        <v>7</v>
      </c>
      <c r="D919" t="s">
        <v>243</v>
      </c>
      <c r="E919" t="s">
        <v>11</v>
      </c>
      <c r="F919" s="9">
        <v>648.34</v>
      </c>
      <c r="G919" s="4">
        <v>10</v>
      </c>
      <c r="H919" s="8">
        <f t="shared" si="14"/>
        <v>10</v>
      </c>
      <c r="I919" s="10">
        <v>4</v>
      </c>
    </row>
    <row r="920" spans="1:9" ht="15.75" thickBot="1" x14ac:dyDescent="0.3">
      <c r="A920" s="1">
        <v>43800</v>
      </c>
      <c r="B920" s="8" t="s">
        <v>6</v>
      </c>
      <c r="C920" t="s">
        <v>7</v>
      </c>
      <c r="D920" t="s">
        <v>243</v>
      </c>
      <c r="E920" t="s">
        <v>13</v>
      </c>
      <c r="F920" s="9">
        <v>382.9</v>
      </c>
      <c r="G920" s="6">
        <v>15000</v>
      </c>
      <c r="H920" s="8">
        <f t="shared" si="14"/>
        <v>15000</v>
      </c>
      <c r="I920" s="10">
        <v>1</v>
      </c>
    </row>
    <row r="921" spans="1:9" ht="15.75" thickBot="1" x14ac:dyDescent="0.3">
      <c r="A921" s="1">
        <v>43800</v>
      </c>
      <c r="B921" s="8" t="s">
        <v>6</v>
      </c>
      <c r="C921" t="s">
        <v>7</v>
      </c>
      <c r="D921" t="s">
        <v>244</v>
      </c>
      <c r="E921" t="s">
        <v>9</v>
      </c>
      <c r="F921" s="9">
        <v>25200.74</v>
      </c>
      <c r="G921" s="4">
        <v>516</v>
      </c>
      <c r="H921" s="8">
        <f t="shared" si="14"/>
        <v>516</v>
      </c>
      <c r="I921" s="10">
        <v>17</v>
      </c>
    </row>
    <row r="922" spans="1:9" ht="15.75" thickBot="1" x14ac:dyDescent="0.3">
      <c r="A922" s="1">
        <v>43466</v>
      </c>
      <c r="B922" s="8" t="s">
        <v>6</v>
      </c>
      <c r="C922" t="s">
        <v>7</v>
      </c>
      <c r="D922" t="s">
        <v>244</v>
      </c>
      <c r="E922" t="s">
        <v>15</v>
      </c>
      <c r="F922" s="9">
        <v>7822.88</v>
      </c>
      <c r="G922" s="4">
        <v>134</v>
      </c>
      <c r="H922" s="8">
        <f t="shared" si="14"/>
        <v>134</v>
      </c>
      <c r="I922" s="10">
        <v>5</v>
      </c>
    </row>
    <row r="923" spans="1:9" ht="15.75" thickBot="1" x14ac:dyDescent="0.3">
      <c r="A923" s="1">
        <v>43466</v>
      </c>
      <c r="B923" s="8" t="s">
        <v>6</v>
      </c>
      <c r="C923" t="s">
        <v>7</v>
      </c>
      <c r="D923" t="s">
        <v>244</v>
      </c>
      <c r="E923" t="s">
        <v>10</v>
      </c>
      <c r="F923" s="9">
        <v>12564.27</v>
      </c>
      <c r="G923" s="7">
        <v>178090</v>
      </c>
      <c r="H923" s="8">
        <f t="shared" si="14"/>
        <v>178.09</v>
      </c>
      <c r="I923" s="10">
        <v>21</v>
      </c>
    </row>
    <row r="924" spans="1:9" ht="15.75" thickBot="1" x14ac:dyDescent="0.3">
      <c r="A924" s="1">
        <v>43466</v>
      </c>
      <c r="B924" s="8" t="s">
        <v>6</v>
      </c>
      <c r="C924" t="s">
        <v>7</v>
      </c>
      <c r="D924" t="s">
        <v>244</v>
      </c>
      <c r="E924" t="s">
        <v>17</v>
      </c>
      <c r="F924" s="9">
        <v>106717.39</v>
      </c>
      <c r="G924" s="4">
        <v>2881</v>
      </c>
      <c r="H924" s="8">
        <f t="shared" si="14"/>
        <v>2881</v>
      </c>
      <c r="I924" s="10">
        <v>82</v>
      </c>
    </row>
    <row r="925" spans="1:9" ht="15.75" thickBot="1" x14ac:dyDescent="0.3">
      <c r="A925" s="1">
        <v>43800</v>
      </c>
      <c r="B925" s="8" t="s">
        <v>6</v>
      </c>
      <c r="C925" t="s">
        <v>7</v>
      </c>
      <c r="D925" t="s">
        <v>244</v>
      </c>
      <c r="E925" t="s">
        <v>11</v>
      </c>
      <c r="F925" s="9">
        <v>8945.5</v>
      </c>
      <c r="G925" s="7">
        <v>38132</v>
      </c>
      <c r="H925" s="8">
        <f t="shared" si="14"/>
        <v>38132</v>
      </c>
      <c r="I925" s="10">
        <v>18</v>
      </c>
    </row>
    <row r="926" spans="1:9" ht="15.75" thickBot="1" x14ac:dyDescent="0.3">
      <c r="A926" s="1">
        <v>43800</v>
      </c>
      <c r="B926" s="8" t="s">
        <v>6</v>
      </c>
      <c r="C926" t="s">
        <v>7</v>
      </c>
      <c r="D926" t="s">
        <v>244</v>
      </c>
      <c r="E926" t="s">
        <v>13</v>
      </c>
      <c r="F926" s="9">
        <v>292.20999999999998</v>
      </c>
      <c r="G926" s="4">
        <v>2</v>
      </c>
      <c r="H926" s="8">
        <f t="shared" si="14"/>
        <v>2</v>
      </c>
      <c r="I926" s="10">
        <v>2</v>
      </c>
    </row>
    <row r="927" spans="1:9" ht="15.75" thickBot="1" x14ac:dyDescent="0.3">
      <c r="A927" s="1">
        <v>43800</v>
      </c>
      <c r="B927" s="8" t="s">
        <v>6</v>
      </c>
      <c r="C927" t="s">
        <v>7</v>
      </c>
      <c r="D927" t="s">
        <v>245</v>
      </c>
      <c r="E927" t="s">
        <v>9</v>
      </c>
      <c r="F927" s="9">
        <v>17902</v>
      </c>
      <c r="G927" s="4">
        <v>500</v>
      </c>
      <c r="H927" s="8">
        <f t="shared" si="14"/>
        <v>500</v>
      </c>
      <c r="I927" s="10">
        <v>12</v>
      </c>
    </row>
    <row r="928" spans="1:9" ht="15.75" thickBot="1" x14ac:dyDescent="0.3">
      <c r="A928" s="1">
        <v>43800</v>
      </c>
      <c r="B928" s="8" t="s">
        <v>6</v>
      </c>
      <c r="C928" t="s">
        <v>7</v>
      </c>
      <c r="D928" t="s">
        <v>245</v>
      </c>
      <c r="E928" t="s">
        <v>15</v>
      </c>
      <c r="F928" s="9">
        <v>19051.61</v>
      </c>
      <c r="G928" s="4">
        <v>380</v>
      </c>
      <c r="H928" s="8">
        <f t="shared" si="14"/>
        <v>380</v>
      </c>
      <c r="I928" s="10">
        <v>9</v>
      </c>
    </row>
    <row r="929" spans="1:9" ht="15.75" thickBot="1" x14ac:dyDescent="0.3">
      <c r="A929" s="1">
        <v>43466</v>
      </c>
      <c r="B929" s="8" t="s">
        <v>6</v>
      </c>
      <c r="C929" t="s">
        <v>7</v>
      </c>
      <c r="D929" t="s">
        <v>245</v>
      </c>
      <c r="E929" t="s">
        <v>10</v>
      </c>
      <c r="F929" s="9">
        <v>275928.36</v>
      </c>
      <c r="G929" s="6">
        <v>8803160.2239999995</v>
      </c>
      <c r="H929" s="8">
        <f t="shared" si="14"/>
        <v>8803.1602239999993</v>
      </c>
      <c r="I929" s="10">
        <v>582</v>
      </c>
    </row>
    <row r="930" spans="1:9" ht="15.75" thickBot="1" x14ac:dyDescent="0.3">
      <c r="A930" s="1">
        <v>43466</v>
      </c>
      <c r="B930" s="8" t="s">
        <v>6</v>
      </c>
      <c r="C930" t="s">
        <v>7</v>
      </c>
      <c r="D930" t="s">
        <v>245</v>
      </c>
      <c r="E930" t="s">
        <v>11</v>
      </c>
      <c r="F930" s="9">
        <v>15542.5</v>
      </c>
      <c r="G930" s="7">
        <v>9323.4989999999998</v>
      </c>
      <c r="H930" s="8">
        <f t="shared" si="14"/>
        <v>9323.4989999999998</v>
      </c>
      <c r="I930" s="10">
        <v>7</v>
      </c>
    </row>
    <row r="931" spans="1:9" ht="15.75" thickBot="1" x14ac:dyDescent="0.3">
      <c r="A931" s="1">
        <v>43466</v>
      </c>
      <c r="B931" s="8" t="s">
        <v>6</v>
      </c>
      <c r="C931" t="s">
        <v>7</v>
      </c>
      <c r="D931" t="s">
        <v>245</v>
      </c>
      <c r="E931" t="s">
        <v>13</v>
      </c>
      <c r="F931" s="9">
        <v>1567.86</v>
      </c>
      <c r="G931" s="6">
        <v>45980</v>
      </c>
      <c r="H931" s="8">
        <f t="shared" si="14"/>
        <v>45980</v>
      </c>
      <c r="I931" s="10">
        <v>2</v>
      </c>
    </row>
    <row r="932" spans="1:9" ht="15.75" thickBot="1" x14ac:dyDescent="0.3">
      <c r="A932" s="1">
        <v>43800</v>
      </c>
      <c r="B932" s="8" t="s">
        <v>6</v>
      </c>
      <c r="C932" t="s">
        <v>7</v>
      </c>
      <c r="D932" t="s">
        <v>246</v>
      </c>
      <c r="E932" t="s">
        <v>10</v>
      </c>
      <c r="F932" s="9">
        <v>99395.07</v>
      </c>
      <c r="G932" s="6">
        <v>3615533.227</v>
      </c>
      <c r="H932" s="8">
        <f t="shared" si="14"/>
        <v>3615.5332269999999</v>
      </c>
      <c r="I932" s="10">
        <v>260</v>
      </c>
    </row>
    <row r="933" spans="1:9" ht="15.75" thickBot="1" x14ac:dyDescent="0.3">
      <c r="A933" s="1">
        <v>43800</v>
      </c>
      <c r="B933" s="8" t="s">
        <v>6</v>
      </c>
      <c r="C933" t="s">
        <v>7</v>
      </c>
      <c r="D933" t="s">
        <v>246</v>
      </c>
      <c r="E933" t="s">
        <v>11</v>
      </c>
      <c r="F933" s="9">
        <v>9169.5499999999993</v>
      </c>
      <c r="G933" s="4">
        <v>275</v>
      </c>
      <c r="H933" s="8">
        <f t="shared" si="14"/>
        <v>275</v>
      </c>
      <c r="I933" s="10">
        <v>3</v>
      </c>
    </row>
    <row r="934" spans="1:9" ht="15.75" thickBot="1" x14ac:dyDescent="0.3">
      <c r="A934" s="1">
        <v>43800</v>
      </c>
      <c r="B934" s="8" t="s">
        <v>6</v>
      </c>
      <c r="C934" t="s">
        <v>7</v>
      </c>
      <c r="D934" t="s">
        <v>247</v>
      </c>
      <c r="E934" t="s">
        <v>15</v>
      </c>
      <c r="F934" s="9">
        <v>62.19</v>
      </c>
      <c r="G934" s="4">
        <v>2</v>
      </c>
      <c r="H934" s="8">
        <f t="shared" si="14"/>
        <v>2</v>
      </c>
      <c r="I934" s="10">
        <v>1</v>
      </c>
    </row>
    <row r="935" spans="1:9" ht="15.75" thickBot="1" x14ac:dyDescent="0.3">
      <c r="A935" s="1">
        <v>43800</v>
      </c>
      <c r="B935" s="8" t="s">
        <v>6</v>
      </c>
      <c r="C935" t="s">
        <v>7</v>
      </c>
      <c r="D935" t="s">
        <v>247</v>
      </c>
      <c r="E935" t="s">
        <v>10</v>
      </c>
      <c r="F935" s="9">
        <v>117706.17</v>
      </c>
      <c r="G935" s="7">
        <v>3913716.9019999998</v>
      </c>
      <c r="H935" s="8">
        <f t="shared" si="14"/>
        <v>3913.7169019999997</v>
      </c>
      <c r="I935" s="10">
        <v>135</v>
      </c>
    </row>
    <row r="936" spans="1:9" ht="15.75" thickBot="1" x14ac:dyDescent="0.3">
      <c r="A936" s="1">
        <v>43466</v>
      </c>
      <c r="B936" s="8" t="s">
        <v>6</v>
      </c>
      <c r="C936" t="s">
        <v>7</v>
      </c>
      <c r="D936" t="s">
        <v>247</v>
      </c>
      <c r="E936" t="s">
        <v>11</v>
      </c>
      <c r="F936" s="9">
        <v>19542.29</v>
      </c>
      <c r="G936" s="7">
        <v>75436.986999999994</v>
      </c>
      <c r="H936" s="8">
        <f t="shared" si="14"/>
        <v>75436.986999999994</v>
      </c>
      <c r="I936" s="10">
        <v>41</v>
      </c>
    </row>
    <row r="937" spans="1:9" ht="15.75" thickBot="1" x14ac:dyDescent="0.3">
      <c r="A937" s="1">
        <v>43466</v>
      </c>
      <c r="B937" s="8" t="s">
        <v>6</v>
      </c>
      <c r="C937" t="s">
        <v>7</v>
      </c>
      <c r="D937" t="s">
        <v>248</v>
      </c>
      <c r="E937" t="s">
        <v>9</v>
      </c>
      <c r="F937" s="9">
        <v>2540.59</v>
      </c>
      <c r="G937" s="4">
        <v>80</v>
      </c>
      <c r="H937" s="8">
        <f t="shared" si="14"/>
        <v>80</v>
      </c>
      <c r="I937" s="10">
        <v>7</v>
      </c>
    </row>
    <row r="938" spans="1:9" ht="15.75" thickBot="1" x14ac:dyDescent="0.3">
      <c r="A938" s="1">
        <v>43466</v>
      </c>
      <c r="B938" s="8" t="s">
        <v>6</v>
      </c>
      <c r="C938" t="s">
        <v>7</v>
      </c>
      <c r="D938" t="s">
        <v>248</v>
      </c>
      <c r="E938" t="s">
        <v>15</v>
      </c>
      <c r="F938" s="9">
        <v>30368.09</v>
      </c>
      <c r="G938" s="4">
        <v>1040</v>
      </c>
      <c r="H938" s="8">
        <f t="shared" si="14"/>
        <v>1040</v>
      </c>
      <c r="I938" s="10">
        <v>30</v>
      </c>
    </row>
    <row r="939" spans="1:9" ht="15.75" thickBot="1" x14ac:dyDescent="0.3">
      <c r="A939" s="1">
        <v>43800</v>
      </c>
      <c r="B939" s="8" t="s">
        <v>6</v>
      </c>
      <c r="C939" t="s">
        <v>7</v>
      </c>
      <c r="D939" t="s">
        <v>248</v>
      </c>
      <c r="E939" t="s">
        <v>10</v>
      </c>
      <c r="F939" s="9">
        <v>302526.49</v>
      </c>
      <c r="G939" s="6">
        <v>25845421.146000002</v>
      </c>
      <c r="H939" s="8">
        <f t="shared" si="14"/>
        <v>25845.421146000001</v>
      </c>
      <c r="I939" s="10">
        <v>2368</v>
      </c>
    </row>
    <row r="940" spans="1:9" ht="15.75" thickBot="1" x14ac:dyDescent="0.3">
      <c r="A940" s="1">
        <v>43800</v>
      </c>
      <c r="B940" s="8" t="s">
        <v>6</v>
      </c>
      <c r="C940" t="s">
        <v>7</v>
      </c>
      <c r="D940" t="s">
        <v>248</v>
      </c>
      <c r="E940" t="s">
        <v>11</v>
      </c>
      <c r="F940" s="9">
        <v>64611.42</v>
      </c>
      <c r="G940" s="4">
        <v>2215</v>
      </c>
      <c r="H940" s="8">
        <f t="shared" si="14"/>
        <v>2215</v>
      </c>
      <c r="I940" s="10">
        <v>20</v>
      </c>
    </row>
    <row r="941" spans="1:9" ht="15.75" thickBot="1" x14ac:dyDescent="0.3">
      <c r="A941" s="1">
        <v>43800</v>
      </c>
      <c r="B941" s="8" t="s">
        <v>6</v>
      </c>
      <c r="C941" t="s">
        <v>7</v>
      </c>
      <c r="D941" t="s">
        <v>248</v>
      </c>
      <c r="E941" t="s">
        <v>13</v>
      </c>
      <c r="F941" s="9">
        <v>237.17</v>
      </c>
      <c r="G941" s="6">
        <v>33200</v>
      </c>
      <c r="H941" s="8">
        <f t="shared" si="14"/>
        <v>33200</v>
      </c>
      <c r="I941" s="10">
        <v>4</v>
      </c>
    </row>
    <row r="942" spans="1:9" ht="15.75" thickBot="1" x14ac:dyDescent="0.3">
      <c r="A942" s="1">
        <v>43800</v>
      </c>
      <c r="B942" s="8" t="s">
        <v>6</v>
      </c>
      <c r="C942" t="s">
        <v>7</v>
      </c>
      <c r="D942" t="s">
        <v>249</v>
      </c>
      <c r="E942" t="s">
        <v>15</v>
      </c>
      <c r="F942" s="9">
        <v>10318.48</v>
      </c>
      <c r="G942" s="7">
        <v>1668.251</v>
      </c>
      <c r="H942" s="8">
        <f t="shared" si="14"/>
        <v>1668.251</v>
      </c>
      <c r="I942" s="10">
        <v>14</v>
      </c>
    </row>
    <row r="943" spans="1:9" ht="15.75" thickBot="1" x14ac:dyDescent="0.3">
      <c r="A943" s="1">
        <v>43466</v>
      </c>
      <c r="B943" s="8" t="s">
        <v>6</v>
      </c>
      <c r="C943" t="s">
        <v>7</v>
      </c>
      <c r="D943" t="s">
        <v>249</v>
      </c>
      <c r="E943" t="s">
        <v>10</v>
      </c>
      <c r="F943" s="9">
        <v>29998.91</v>
      </c>
      <c r="G943" s="6">
        <v>3156832.9720000001</v>
      </c>
      <c r="H943" s="8">
        <f t="shared" si="14"/>
        <v>3156.8329720000002</v>
      </c>
      <c r="I943" s="10">
        <v>310</v>
      </c>
    </row>
    <row r="944" spans="1:9" ht="15.75" thickBot="1" x14ac:dyDescent="0.3">
      <c r="A944" s="1">
        <v>43466</v>
      </c>
      <c r="B944" s="8" t="s">
        <v>6</v>
      </c>
      <c r="C944" t="s">
        <v>7</v>
      </c>
      <c r="D944" t="s">
        <v>249</v>
      </c>
      <c r="E944" t="s">
        <v>13</v>
      </c>
      <c r="F944" s="9">
        <v>314.26</v>
      </c>
      <c r="G944" s="6">
        <v>23392.5</v>
      </c>
      <c r="H944" s="8">
        <f t="shared" si="14"/>
        <v>23392.5</v>
      </c>
      <c r="I944" s="10">
        <v>3</v>
      </c>
    </row>
    <row r="945" spans="1:9" ht="15.75" thickBot="1" x14ac:dyDescent="0.3">
      <c r="A945" s="1">
        <v>43466</v>
      </c>
      <c r="B945" s="8" t="s">
        <v>6</v>
      </c>
      <c r="C945" t="s">
        <v>7</v>
      </c>
      <c r="D945" t="s">
        <v>250</v>
      </c>
      <c r="E945" t="s">
        <v>9</v>
      </c>
      <c r="F945" s="9">
        <v>20347.689999999999</v>
      </c>
      <c r="G945" s="4">
        <v>631</v>
      </c>
      <c r="H945" s="8">
        <f t="shared" si="14"/>
        <v>631</v>
      </c>
      <c r="I945" s="10">
        <v>32</v>
      </c>
    </row>
    <row r="946" spans="1:9" ht="15.75" thickBot="1" x14ac:dyDescent="0.3">
      <c r="A946" s="1">
        <v>43800</v>
      </c>
      <c r="B946" s="8" t="s">
        <v>6</v>
      </c>
      <c r="C946" t="s">
        <v>7</v>
      </c>
      <c r="D946" t="s">
        <v>250</v>
      </c>
      <c r="E946" t="s">
        <v>15</v>
      </c>
      <c r="F946" s="9">
        <v>2400.34</v>
      </c>
      <c r="G946" s="4">
        <v>1</v>
      </c>
      <c r="H946" s="8">
        <f t="shared" si="14"/>
        <v>1</v>
      </c>
      <c r="I946" s="10">
        <v>4</v>
      </c>
    </row>
    <row r="947" spans="1:9" ht="15.75" thickBot="1" x14ac:dyDescent="0.3">
      <c r="A947" s="1">
        <v>43800</v>
      </c>
      <c r="B947" s="8" t="s">
        <v>6</v>
      </c>
      <c r="C947" t="s">
        <v>7</v>
      </c>
      <c r="D947" t="s">
        <v>250</v>
      </c>
      <c r="E947" t="s">
        <v>10</v>
      </c>
      <c r="F947" s="9">
        <v>235087.84</v>
      </c>
      <c r="G947" s="6">
        <v>9948862.8440000005</v>
      </c>
      <c r="H947" s="8">
        <f t="shared" si="14"/>
        <v>9948.8628440000011</v>
      </c>
      <c r="I947" s="10">
        <v>534</v>
      </c>
    </row>
    <row r="948" spans="1:9" ht="15.75" thickBot="1" x14ac:dyDescent="0.3">
      <c r="A948" s="1">
        <v>43800</v>
      </c>
      <c r="B948" s="8" t="s">
        <v>6</v>
      </c>
      <c r="C948" t="s">
        <v>7</v>
      </c>
      <c r="D948" t="s">
        <v>250</v>
      </c>
      <c r="E948" t="s">
        <v>11</v>
      </c>
      <c r="F948" s="9">
        <v>11404.33</v>
      </c>
      <c r="G948" s="4">
        <v>314</v>
      </c>
      <c r="H948" s="8">
        <f t="shared" si="14"/>
        <v>314</v>
      </c>
      <c r="I948" s="10">
        <v>13</v>
      </c>
    </row>
    <row r="949" spans="1:9" ht="15.75" thickBot="1" x14ac:dyDescent="0.3">
      <c r="A949" s="1">
        <v>43800</v>
      </c>
      <c r="B949" s="8" t="s">
        <v>6</v>
      </c>
      <c r="C949" t="s">
        <v>7</v>
      </c>
      <c r="D949" t="s">
        <v>250</v>
      </c>
      <c r="E949" t="s">
        <v>13</v>
      </c>
      <c r="F949" s="9">
        <v>292.22000000000003</v>
      </c>
      <c r="G949" s="6">
        <v>8000</v>
      </c>
      <c r="H949" s="8">
        <f t="shared" si="14"/>
        <v>8000</v>
      </c>
      <c r="I949" s="10">
        <v>2</v>
      </c>
    </row>
    <row r="950" spans="1:9" ht="15.75" thickBot="1" x14ac:dyDescent="0.3">
      <c r="A950" s="1">
        <v>43466</v>
      </c>
      <c r="B950" s="8" t="s">
        <v>6</v>
      </c>
      <c r="C950" t="s">
        <v>7</v>
      </c>
      <c r="D950" t="s">
        <v>251</v>
      </c>
      <c r="E950" t="s">
        <v>10</v>
      </c>
      <c r="F950" s="9">
        <v>117086.92</v>
      </c>
      <c r="G950" s="7">
        <v>5056300.7</v>
      </c>
      <c r="H950" s="8">
        <f t="shared" si="14"/>
        <v>5056.3006999999998</v>
      </c>
      <c r="I950" s="10">
        <v>268</v>
      </c>
    </row>
    <row r="951" spans="1:9" ht="15.75" thickBot="1" x14ac:dyDescent="0.3">
      <c r="A951" s="1">
        <v>43466</v>
      </c>
      <c r="B951" s="8" t="s">
        <v>6</v>
      </c>
      <c r="C951" t="s">
        <v>7</v>
      </c>
      <c r="D951" t="s">
        <v>251</v>
      </c>
      <c r="E951" t="s">
        <v>11</v>
      </c>
      <c r="F951" s="9">
        <v>3269.64</v>
      </c>
      <c r="G951" s="6">
        <v>48000</v>
      </c>
      <c r="H951" s="8">
        <f t="shared" si="14"/>
        <v>48000</v>
      </c>
      <c r="I951" s="10">
        <v>26</v>
      </c>
    </row>
    <row r="952" spans="1:9" ht="15.75" thickBot="1" x14ac:dyDescent="0.3">
      <c r="A952" s="1">
        <v>43466</v>
      </c>
      <c r="B952" s="8" t="s">
        <v>6</v>
      </c>
      <c r="C952" t="s">
        <v>7</v>
      </c>
      <c r="D952" t="s">
        <v>251</v>
      </c>
      <c r="E952" t="s">
        <v>13</v>
      </c>
      <c r="F952" s="9">
        <v>12843.29</v>
      </c>
      <c r="G952" s="6">
        <v>571000</v>
      </c>
      <c r="H952" s="8">
        <f t="shared" si="14"/>
        <v>571000</v>
      </c>
      <c r="I952" s="10">
        <v>3</v>
      </c>
    </row>
    <row r="953" spans="1:9" ht="15.75" thickBot="1" x14ac:dyDescent="0.3">
      <c r="A953" s="1">
        <v>43800</v>
      </c>
      <c r="B953" s="8" t="s">
        <v>6</v>
      </c>
      <c r="C953" t="s">
        <v>7</v>
      </c>
      <c r="D953" t="s">
        <v>252</v>
      </c>
      <c r="E953" t="s">
        <v>9</v>
      </c>
      <c r="F953" s="9">
        <v>347.24</v>
      </c>
      <c r="G953" s="4">
        <v>7</v>
      </c>
      <c r="H953" s="8">
        <f t="shared" si="14"/>
        <v>7</v>
      </c>
      <c r="I953" s="10">
        <v>1</v>
      </c>
    </row>
    <row r="954" spans="1:9" ht="15.75" thickBot="1" x14ac:dyDescent="0.3">
      <c r="A954" s="1">
        <v>43800</v>
      </c>
      <c r="B954" s="8" t="s">
        <v>6</v>
      </c>
      <c r="C954" t="s">
        <v>7</v>
      </c>
      <c r="D954" t="s">
        <v>252</v>
      </c>
      <c r="E954" t="s">
        <v>15</v>
      </c>
      <c r="F954" s="9">
        <v>3159.1</v>
      </c>
      <c r="G954" s="4">
        <v>91</v>
      </c>
      <c r="H954" s="8">
        <f t="shared" si="14"/>
        <v>91</v>
      </c>
      <c r="I954" s="10">
        <v>2</v>
      </c>
    </row>
    <row r="955" spans="1:9" ht="15.75" thickBot="1" x14ac:dyDescent="0.3">
      <c r="A955" s="1">
        <v>43800</v>
      </c>
      <c r="B955" s="8" t="s">
        <v>6</v>
      </c>
      <c r="C955" t="s">
        <v>7</v>
      </c>
      <c r="D955" t="s">
        <v>253</v>
      </c>
      <c r="E955" t="s">
        <v>9</v>
      </c>
      <c r="F955" s="9">
        <v>4345.87</v>
      </c>
      <c r="G955" s="4">
        <v>148</v>
      </c>
      <c r="H955" s="8">
        <f t="shared" si="14"/>
        <v>148</v>
      </c>
      <c r="I955" s="10">
        <v>4</v>
      </c>
    </row>
    <row r="956" spans="1:9" ht="15.75" thickBot="1" x14ac:dyDescent="0.3">
      <c r="A956" s="1">
        <v>43800</v>
      </c>
      <c r="B956" s="8" t="s">
        <v>6</v>
      </c>
      <c r="C956" t="s">
        <v>7</v>
      </c>
      <c r="D956" t="s">
        <v>253</v>
      </c>
      <c r="E956" t="s">
        <v>10</v>
      </c>
      <c r="F956" s="9">
        <v>35579.21</v>
      </c>
      <c r="G956" s="7">
        <v>287309.76500000001</v>
      </c>
      <c r="H956" s="8">
        <f t="shared" si="14"/>
        <v>287.30976500000003</v>
      </c>
      <c r="I956" s="10">
        <v>17</v>
      </c>
    </row>
    <row r="957" spans="1:9" ht="15.75" thickBot="1" x14ac:dyDescent="0.3">
      <c r="A957" s="1">
        <v>43466</v>
      </c>
      <c r="B957" s="8" t="s">
        <v>6</v>
      </c>
      <c r="C957" t="s">
        <v>7</v>
      </c>
      <c r="D957" t="s">
        <v>253</v>
      </c>
      <c r="E957" t="s">
        <v>11</v>
      </c>
      <c r="F957" s="9">
        <v>749583.25</v>
      </c>
      <c r="G957" s="4">
        <v>26723</v>
      </c>
      <c r="H957" s="8">
        <f t="shared" si="14"/>
        <v>26723</v>
      </c>
      <c r="I957" s="10">
        <v>14</v>
      </c>
    </row>
    <row r="958" spans="1:9" ht="15.75" thickBot="1" x14ac:dyDescent="0.3">
      <c r="A958" s="1">
        <v>43466</v>
      </c>
      <c r="B958" s="8" t="s">
        <v>6</v>
      </c>
      <c r="C958" t="s">
        <v>7</v>
      </c>
      <c r="D958" t="s">
        <v>253</v>
      </c>
      <c r="E958" t="s">
        <v>13</v>
      </c>
      <c r="F958" s="9">
        <v>1629.92</v>
      </c>
      <c r="G958" s="4">
        <v>56</v>
      </c>
      <c r="H958" s="8">
        <f t="shared" si="14"/>
        <v>56</v>
      </c>
      <c r="I958" s="10">
        <v>1</v>
      </c>
    </row>
    <row r="959" spans="1:9" ht="15.75" thickBot="1" x14ac:dyDescent="0.3">
      <c r="A959" s="1">
        <v>43466</v>
      </c>
      <c r="B959" s="8" t="s">
        <v>6</v>
      </c>
      <c r="C959" t="s">
        <v>7</v>
      </c>
      <c r="D959" t="s">
        <v>254</v>
      </c>
      <c r="E959" t="s">
        <v>9</v>
      </c>
      <c r="F959" s="9">
        <v>7123.96</v>
      </c>
      <c r="G959" s="4">
        <v>253</v>
      </c>
      <c r="H959" s="8">
        <f t="shared" si="14"/>
        <v>253</v>
      </c>
      <c r="I959" s="10">
        <v>2</v>
      </c>
    </row>
    <row r="960" spans="1:9" ht="15.75" thickBot="1" x14ac:dyDescent="0.3">
      <c r="A960" s="1">
        <v>43800</v>
      </c>
      <c r="B960" s="8" t="s">
        <v>6</v>
      </c>
      <c r="C960" t="s">
        <v>7</v>
      </c>
      <c r="D960" t="s">
        <v>254</v>
      </c>
      <c r="E960" t="s">
        <v>15</v>
      </c>
      <c r="F960" s="9">
        <v>4334.41</v>
      </c>
      <c r="G960" s="4">
        <v>140</v>
      </c>
      <c r="H960" s="8">
        <f t="shared" si="14"/>
        <v>140</v>
      </c>
      <c r="I960" s="10">
        <v>3</v>
      </c>
    </row>
    <row r="961" spans="1:9" ht="15.75" thickBot="1" x14ac:dyDescent="0.3">
      <c r="A961" s="1">
        <v>43800</v>
      </c>
      <c r="B961" s="8" t="s">
        <v>6</v>
      </c>
      <c r="C961" t="s">
        <v>7</v>
      </c>
      <c r="D961" t="s">
        <v>254</v>
      </c>
      <c r="E961" t="s">
        <v>10</v>
      </c>
      <c r="F961" s="9">
        <v>117403.34</v>
      </c>
      <c r="G961" s="6">
        <v>5101417.33</v>
      </c>
      <c r="H961" s="8">
        <f t="shared" si="14"/>
        <v>5101.4173300000002</v>
      </c>
      <c r="I961" s="10">
        <v>305</v>
      </c>
    </row>
    <row r="962" spans="1:9" ht="15.75" thickBot="1" x14ac:dyDescent="0.3">
      <c r="A962" s="1">
        <v>43800</v>
      </c>
      <c r="B962" s="8" t="s">
        <v>6</v>
      </c>
      <c r="C962" t="s">
        <v>7</v>
      </c>
      <c r="D962" t="s">
        <v>254</v>
      </c>
      <c r="E962" t="s">
        <v>17</v>
      </c>
      <c r="F962" s="9">
        <v>12450.12</v>
      </c>
      <c r="G962" s="4">
        <v>391</v>
      </c>
      <c r="H962" s="8">
        <f t="shared" ref="H962:H1025" si="15">IF(ISNUMBER(SEARCH("Domestic customer", E962)),G962/1000,G962)</f>
        <v>391</v>
      </c>
      <c r="I962" s="10">
        <v>4</v>
      </c>
    </row>
    <row r="963" spans="1:9" ht="15.75" thickBot="1" x14ac:dyDescent="0.3">
      <c r="A963" s="1">
        <v>43800</v>
      </c>
      <c r="B963" s="8" t="s">
        <v>6</v>
      </c>
      <c r="C963" t="s">
        <v>7</v>
      </c>
      <c r="D963" t="s">
        <v>254</v>
      </c>
      <c r="E963" t="s">
        <v>11</v>
      </c>
      <c r="F963" s="9">
        <v>755.16</v>
      </c>
      <c r="G963" s="4">
        <v>13</v>
      </c>
      <c r="H963" s="8">
        <f t="shared" si="15"/>
        <v>13</v>
      </c>
      <c r="I963" s="10">
        <v>1</v>
      </c>
    </row>
    <row r="964" spans="1:9" ht="15.75" thickBot="1" x14ac:dyDescent="0.3">
      <c r="A964" s="1">
        <v>43466</v>
      </c>
      <c r="B964" s="8" t="s">
        <v>6</v>
      </c>
      <c r="C964" t="s">
        <v>7</v>
      </c>
      <c r="D964" t="s">
        <v>254</v>
      </c>
      <c r="E964" t="s">
        <v>13</v>
      </c>
      <c r="F964" s="9">
        <v>361.16</v>
      </c>
      <c r="G964" s="6">
        <v>13000</v>
      </c>
      <c r="H964" s="8">
        <f t="shared" si="15"/>
        <v>13000</v>
      </c>
      <c r="I964" s="10">
        <v>2</v>
      </c>
    </row>
    <row r="965" spans="1:9" ht="15.75" thickBot="1" x14ac:dyDescent="0.3">
      <c r="A965" s="1">
        <v>43466</v>
      </c>
      <c r="B965" s="8" t="s">
        <v>6</v>
      </c>
      <c r="C965" t="s">
        <v>7</v>
      </c>
      <c r="D965" t="s">
        <v>255</v>
      </c>
      <c r="E965" t="s">
        <v>9</v>
      </c>
      <c r="F965" s="9">
        <v>429.2</v>
      </c>
      <c r="G965" s="4">
        <v>10</v>
      </c>
      <c r="H965" s="8">
        <f t="shared" si="15"/>
        <v>10</v>
      </c>
      <c r="I965" s="10">
        <v>1</v>
      </c>
    </row>
    <row r="966" spans="1:9" ht="15.75" thickBot="1" x14ac:dyDescent="0.3">
      <c r="A966" s="1">
        <v>43466</v>
      </c>
      <c r="B966" s="8" t="s">
        <v>6</v>
      </c>
      <c r="C966" t="s">
        <v>7</v>
      </c>
      <c r="D966" t="s">
        <v>255</v>
      </c>
      <c r="E966" t="s">
        <v>10</v>
      </c>
      <c r="F966" s="9">
        <v>29391.3</v>
      </c>
      <c r="G966" s="6">
        <v>1259000</v>
      </c>
      <c r="H966" s="8">
        <f t="shared" si="15"/>
        <v>1259</v>
      </c>
      <c r="I966" s="10">
        <v>19</v>
      </c>
    </row>
    <row r="967" spans="1:9" ht="15.75" thickBot="1" x14ac:dyDescent="0.3">
      <c r="A967" s="1">
        <v>43800</v>
      </c>
      <c r="B967" s="8" t="s">
        <v>6</v>
      </c>
      <c r="C967" t="s">
        <v>7</v>
      </c>
      <c r="D967" t="s">
        <v>255</v>
      </c>
      <c r="E967" t="s">
        <v>11</v>
      </c>
      <c r="F967" s="9">
        <v>81.569999999999993</v>
      </c>
      <c r="G967" s="5">
        <v>0</v>
      </c>
      <c r="H967" s="8">
        <f t="shared" si="15"/>
        <v>0</v>
      </c>
      <c r="I967" s="10">
        <v>1</v>
      </c>
    </row>
    <row r="968" spans="1:9" ht="15.75" thickBot="1" x14ac:dyDescent="0.3">
      <c r="A968" s="1">
        <v>43800</v>
      </c>
      <c r="B968" s="8" t="s">
        <v>6</v>
      </c>
      <c r="C968" t="s">
        <v>7</v>
      </c>
      <c r="D968" t="s">
        <v>255</v>
      </c>
      <c r="E968" t="s">
        <v>13</v>
      </c>
      <c r="F968" s="9">
        <v>81.569999999999993</v>
      </c>
      <c r="G968" s="5">
        <v>0</v>
      </c>
      <c r="H968" s="8">
        <f t="shared" si="15"/>
        <v>0</v>
      </c>
      <c r="I968" s="10">
        <v>1</v>
      </c>
    </row>
    <row r="969" spans="1:9" ht="15.75" thickBot="1" x14ac:dyDescent="0.3">
      <c r="A969" s="1">
        <v>43800</v>
      </c>
      <c r="B969" s="8" t="s">
        <v>6</v>
      </c>
      <c r="C969" t="s">
        <v>7</v>
      </c>
      <c r="D969" t="s">
        <v>256</v>
      </c>
      <c r="E969" t="s">
        <v>9</v>
      </c>
      <c r="F969" s="9">
        <v>9232.35</v>
      </c>
      <c r="G969" s="4">
        <v>272</v>
      </c>
      <c r="H969" s="8">
        <f t="shared" si="15"/>
        <v>272</v>
      </c>
      <c r="I969" s="10">
        <v>4</v>
      </c>
    </row>
    <row r="970" spans="1:9" ht="15.75" thickBot="1" x14ac:dyDescent="0.3">
      <c r="A970" s="1">
        <v>43800</v>
      </c>
      <c r="B970" s="8" t="s">
        <v>6</v>
      </c>
      <c r="C970" t="s">
        <v>7</v>
      </c>
      <c r="D970" t="s">
        <v>256</v>
      </c>
      <c r="E970" t="s">
        <v>15</v>
      </c>
      <c r="F970" s="9">
        <v>291.24</v>
      </c>
      <c r="G970" s="4">
        <v>7</v>
      </c>
      <c r="H970" s="8">
        <f t="shared" si="15"/>
        <v>7</v>
      </c>
      <c r="I970" s="10">
        <v>1</v>
      </c>
    </row>
    <row r="971" spans="1:9" ht="15.75" thickBot="1" x14ac:dyDescent="0.3">
      <c r="A971" s="1">
        <v>43466</v>
      </c>
      <c r="B971" s="8" t="s">
        <v>6</v>
      </c>
      <c r="C971" t="s">
        <v>7</v>
      </c>
      <c r="D971" t="s">
        <v>256</v>
      </c>
      <c r="E971" t="s">
        <v>10</v>
      </c>
      <c r="F971" s="9">
        <v>94728.92</v>
      </c>
      <c r="G971" s="6">
        <v>3835467.66</v>
      </c>
      <c r="H971" s="8">
        <f t="shared" si="15"/>
        <v>3835.4676600000003</v>
      </c>
      <c r="I971" s="10">
        <v>397</v>
      </c>
    </row>
    <row r="972" spans="1:9" ht="15.75" thickBot="1" x14ac:dyDescent="0.3">
      <c r="A972" s="1">
        <v>43466</v>
      </c>
      <c r="B972" s="8" t="s">
        <v>6</v>
      </c>
      <c r="C972" t="s">
        <v>7</v>
      </c>
      <c r="D972" t="s">
        <v>256</v>
      </c>
      <c r="E972" t="s">
        <v>11</v>
      </c>
      <c r="F972" s="9">
        <v>15332.47</v>
      </c>
      <c r="G972" s="4">
        <v>418</v>
      </c>
      <c r="H972" s="8">
        <f t="shared" si="15"/>
        <v>418</v>
      </c>
      <c r="I972" s="10">
        <v>10</v>
      </c>
    </row>
    <row r="973" spans="1:9" ht="15.75" thickBot="1" x14ac:dyDescent="0.3">
      <c r="A973" s="1">
        <v>43466</v>
      </c>
      <c r="B973" s="8" t="s">
        <v>6</v>
      </c>
      <c r="C973" t="s">
        <v>7</v>
      </c>
      <c r="D973" t="s">
        <v>256</v>
      </c>
      <c r="E973" t="s">
        <v>13</v>
      </c>
      <c r="F973" s="9">
        <v>335.58</v>
      </c>
      <c r="G973" s="6">
        <v>13000</v>
      </c>
      <c r="H973" s="8">
        <f t="shared" si="15"/>
        <v>13000</v>
      </c>
      <c r="I973" s="10">
        <v>1</v>
      </c>
    </row>
    <row r="974" spans="1:9" ht="15.75" thickBot="1" x14ac:dyDescent="0.3">
      <c r="A974" s="1">
        <v>43800</v>
      </c>
      <c r="B974" s="8" t="s">
        <v>6</v>
      </c>
      <c r="C974" t="s">
        <v>7</v>
      </c>
      <c r="D974" t="s">
        <v>257</v>
      </c>
      <c r="E974" t="s">
        <v>9</v>
      </c>
      <c r="F974" s="9">
        <v>6139.07</v>
      </c>
      <c r="G974" s="4">
        <v>195</v>
      </c>
      <c r="H974" s="8">
        <f t="shared" si="15"/>
        <v>195</v>
      </c>
      <c r="I974" s="10">
        <v>3</v>
      </c>
    </row>
    <row r="975" spans="1:9" ht="15.75" thickBot="1" x14ac:dyDescent="0.3">
      <c r="A975" s="1">
        <v>43800</v>
      </c>
      <c r="B975" s="8" t="s">
        <v>6</v>
      </c>
      <c r="C975" t="s">
        <v>7</v>
      </c>
      <c r="D975" t="s">
        <v>257</v>
      </c>
      <c r="E975" t="s">
        <v>15</v>
      </c>
      <c r="F975" s="9">
        <v>4648.28</v>
      </c>
      <c r="G975" s="4">
        <v>29</v>
      </c>
      <c r="H975" s="8">
        <f t="shared" si="15"/>
        <v>29</v>
      </c>
      <c r="I975" s="10">
        <v>3</v>
      </c>
    </row>
    <row r="976" spans="1:9" ht="15.75" thickBot="1" x14ac:dyDescent="0.3">
      <c r="A976" s="1">
        <v>43800</v>
      </c>
      <c r="B976" s="8" t="s">
        <v>6</v>
      </c>
      <c r="C976" t="s">
        <v>7</v>
      </c>
      <c r="D976" t="s">
        <v>257</v>
      </c>
      <c r="E976" t="s">
        <v>10</v>
      </c>
      <c r="F976" s="9">
        <v>2907.22</v>
      </c>
      <c r="G976" s="6">
        <v>65000</v>
      </c>
      <c r="H976" s="8">
        <f t="shared" si="15"/>
        <v>65</v>
      </c>
      <c r="I976" s="10">
        <v>7</v>
      </c>
    </row>
    <row r="977" spans="1:9" ht="15.75" thickBot="1" x14ac:dyDescent="0.3">
      <c r="A977" s="1">
        <v>43800</v>
      </c>
      <c r="B977" s="8" t="s">
        <v>6</v>
      </c>
      <c r="C977" t="s">
        <v>7</v>
      </c>
      <c r="D977" t="s">
        <v>257</v>
      </c>
      <c r="E977" t="s">
        <v>11</v>
      </c>
      <c r="F977" s="9">
        <v>28874.94</v>
      </c>
      <c r="G977" s="4">
        <v>903</v>
      </c>
      <c r="H977" s="8">
        <f t="shared" si="15"/>
        <v>903</v>
      </c>
      <c r="I977" s="10">
        <v>8</v>
      </c>
    </row>
    <row r="978" spans="1:9" ht="15.75" thickBot="1" x14ac:dyDescent="0.3">
      <c r="A978" s="1">
        <v>43466</v>
      </c>
      <c r="B978" s="8" t="s">
        <v>6</v>
      </c>
      <c r="C978" t="s">
        <v>7</v>
      </c>
      <c r="D978" t="s">
        <v>258</v>
      </c>
      <c r="E978" t="s">
        <v>9</v>
      </c>
      <c r="F978" s="9">
        <v>29495.599999999999</v>
      </c>
      <c r="G978" s="4">
        <v>1030</v>
      </c>
      <c r="H978" s="8">
        <f t="shared" si="15"/>
        <v>1030</v>
      </c>
      <c r="I978" s="10">
        <v>7</v>
      </c>
    </row>
    <row r="979" spans="1:9" ht="15.75" thickBot="1" x14ac:dyDescent="0.3">
      <c r="A979" s="1">
        <v>43466</v>
      </c>
      <c r="B979" s="8" t="s">
        <v>6</v>
      </c>
      <c r="C979" t="s">
        <v>7</v>
      </c>
      <c r="D979" t="s">
        <v>258</v>
      </c>
      <c r="E979" t="s">
        <v>15</v>
      </c>
      <c r="F979" s="9">
        <v>19078.38</v>
      </c>
      <c r="G979" s="4">
        <v>650</v>
      </c>
      <c r="H979" s="8">
        <f t="shared" si="15"/>
        <v>650</v>
      </c>
      <c r="I979" s="10">
        <v>3</v>
      </c>
    </row>
    <row r="980" spans="1:9" ht="15.75" thickBot="1" x14ac:dyDescent="0.3">
      <c r="A980" s="1">
        <v>43466</v>
      </c>
      <c r="B980" s="8" t="s">
        <v>6</v>
      </c>
      <c r="C980" t="s">
        <v>7</v>
      </c>
      <c r="D980" t="s">
        <v>258</v>
      </c>
      <c r="E980" t="s">
        <v>10</v>
      </c>
      <c r="F980" s="9">
        <v>24853.84</v>
      </c>
      <c r="G980" s="6">
        <v>773013.93400000001</v>
      </c>
      <c r="H980" s="8">
        <f t="shared" si="15"/>
        <v>773.01393400000006</v>
      </c>
      <c r="I980" s="10">
        <v>46</v>
      </c>
    </row>
    <row r="981" spans="1:9" ht="15.75" thickBot="1" x14ac:dyDescent="0.3">
      <c r="A981" s="1">
        <v>43800</v>
      </c>
      <c r="B981" s="8" t="s">
        <v>6</v>
      </c>
      <c r="C981" t="s">
        <v>7</v>
      </c>
      <c r="D981" t="s">
        <v>258</v>
      </c>
      <c r="E981" t="s">
        <v>11</v>
      </c>
      <c r="F981" s="9">
        <v>-2557.67</v>
      </c>
      <c r="G981" s="7">
        <v>5896.0010000000002</v>
      </c>
      <c r="H981" s="8">
        <f t="shared" si="15"/>
        <v>5896.0010000000002</v>
      </c>
      <c r="I981" s="10">
        <v>9</v>
      </c>
    </row>
    <row r="982" spans="1:9" ht="15.75" thickBot="1" x14ac:dyDescent="0.3">
      <c r="A982" s="1">
        <v>43800</v>
      </c>
      <c r="B982" s="8" t="s">
        <v>6</v>
      </c>
      <c r="C982" t="s">
        <v>7</v>
      </c>
      <c r="D982" t="s">
        <v>258</v>
      </c>
      <c r="E982" t="s">
        <v>13</v>
      </c>
      <c r="F982" s="9">
        <v>1138.1600000000001</v>
      </c>
      <c r="G982" s="4">
        <v>38</v>
      </c>
      <c r="H982" s="8">
        <f t="shared" si="15"/>
        <v>38</v>
      </c>
      <c r="I982" s="10">
        <v>1</v>
      </c>
    </row>
    <row r="983" spans="1:9" ht="15.75" thickBot="1" x14ac:dyDescent="0.3">
      <c r="A983" s="1">
        <v>43800</v>
      </c>
      <c r="B983" s="8" t="s">
        <v>6</v>
      </c>
      <c r="C983" t="s">
        <v>7</v>
      </c>
      <c r="D983" t="s">
        <v>259</v>
      </c>
      <c r="E983" t="s">
        <v>15</v>
      </c>
      <c r="F983" s="9">
        <v>3774.31</v>
      </c>
      <c r="G983" s="4">
        <v>94</v>
      </c>
      <c r="H983" s="8">
        <f t="shared" si="15"/>
        <v>94</v>
      </c>
      <c r="I983" s="10">
        <v>3</v>
      </c>
    </row>
    <row r="984" spans="1:9" ht="15.75" thickBot="1" x14ac:dyDescent="0.3">
      <c r="A984" s="1">
        <v>43800</v>
      </c>
      <c r="B984" s="8" t="s">
        <v>6</v>
      </c>
      <c r="C984" t="s">
        <v>7</v>
      </c>
      <c r="D984" t="s">
        <v>259</v>
      </c>
      <c r="E984" t="s">
        <v>10</v>
      </c>
      <c r="F984" s="9">
        <v>22717</v>
      </c>
      <c r="G984" s="6">
        <v>12462895.783</v>
      </c>
      <c r="H984" s="8">
        <f t="shared" si="15"/>
        <v>12462.895783</v>
      </c>
      <c r="I984" s="10">
        <v>1196</v>
      </c>
    </row>
    <row r="985" spans="1:9" ht="15.75" thickBot="1" x14ac:dyDescent="0.3">
      <c r="A985" s="1">
        <v>43466</v>
      </c>
      <c r="B985" s="8" t="s">
        <v>6</v>
      </c>
      <c r="C985" t="s">
        <v>7</v>
      </c>
      <c r="D985" t="s">
        <v>259</v>
      </c>
      <c r="E985" t="s">
        <v>11</v>
      </c>
      <c r="F985" s="9">
        <v>3160.11</v>
      </c>
      <c r="G985" s="4">
        <v>79</v>
      </c>
      <c r="H985" s="8">
        <f t="shared" si="15"/>
        <v>79</v>
      </c>
      <c r="I985" s="10">
        <v>5</v>
      </c>
    </row>
    <row r="986" spans="1:9" ht="15.75" thickBot="1" x14ac:dyDescent="0.3">
      <c r="A986" s="1">
        <v>43466</v>
      </c>
      <c r="B986" s="8" t="s">
        <v>6</v>
      </c>
      <c r="C986" t="s">
        <v>7</v>
      </c>
      <c r="D986" t="s">
        <v>259</v>
      </c>
      <c r="E986" t="s">
        <v>13</v>
      </c>
      <c r="F986" s="9">
        <v>789.88</v>
      </c>
      <c r="G986" s="6">
        <v>88280.346999999994</v>
      </c>
      <c r="H986" s="8">
        <f t="shared" si="15"/>
        <v>88280.346999999994</v>
      </c>
      <c r="I986" s="10">
        <v>10</v>
      </c>
    </row>
    <row r="987" spans="1:9" ht="15.75" thickBot="1" x14ac:dyDescent="0.3">
      <c r="A987" s="1">
        <v>43466</v>
      </c>
      <c r="B987" s="8" t="s">
        <v>6</v>
      </c>
      <c r="C987" t="s">
        <v>7</v>
      </c>
      <c r="D987" t="s">
        <v>260</v>
      </c>
      <c r="E987" t="s">
        <v>9</v>
      </c>
      <c r="F987" s="9">
        <v>6399.37</v>
      </c>
      <c r="G987" s="4">
        <v>162</v>
      </c>
      <c r="H987" s="8">
        <f t="shared" si="15"/>
        <v>162</v>
      </c>
      <c r="I987" s="10">
        <v>8</v>
      </c>
    </row>
    <row r="988" spans="1:9" ht="15.75" thickBot="1" x14ac:dyDescent="0.3">
      <c r="A988" s="1">
        <v>43800</v>
      </c>
      <c r="B988" s="8" t="s">
        <v>6</v>
      </c>
      <c r="C988" t="s">
        <v>7</v>
      </c>
      <c r="D988" t="s">
        <v>260</v>
      </c>
      <c r="E988" t="s">
        <v>10</v>
      </c>
      <c r="F988" s="9">
        <v>14242.45</v>
      </c>
      <c r="G988" s="7">
        <v>231087.46400000001</v>
      </c>
      <c r="H988" s="8">
        <f t="shared" si="15"/>
        <v>231.08746400000001</v>
      </c>
      <c r="I988" s="10">
        <v>46</v>
      </c>
    </row>
    <row r="989" spans="1:9" ht="15.75" thickBot="1" x14ac:dyDescent="0.3">
      <c r="A989" s="1">
        <v>43800</v>
      </c>
      <c r="B989" s="8" t="s">
        <v>6</v>
      </c>
      <c r="C989" t="s">
        <v>7</v>
      </c>
      <c r="D989" t="s">
        <v>260</v>
      </c>
      <c r="E989" t="s">
        <v>17</v>
      </c>
      <c r="F989" s="9">
        <v>8886.7199999999993</v>
      </c>
      <c r="G989" s="4">
        <v>260</v>
      </c>
      <c r="H989" s="8">
        <f t="shared" si="15"/>
        <v>260</v>
      </c>
      <c r="I989" s="10">
        <v>10</v>
      </c>
    </row>
    <row r="990" spans="1:9" ht="15.75" thickBot="1" x14ac:dyDescent="0.3">
      <c r="A990" s="1">
        <v>43800</v>
      </c>
      <c r="B990" s="8" t="s">
        <v>6</v>
      </c>
      <c r="C990" t="s">
        <v>7</v>
      </c>
      <c r="D990" t="s">
        <v>260</v>
      </c>
      <c r="E990" t="s">
        <v>11</v>
      </c>
      <c r="F990" s="9">
        <v>2371.4299999999998</v>
      </c>
      <c r="G990" s="7">
        <v>1053</v>
      </c>
      <c r="H990" s="8">
        <f t="shared" si="15"/>
        <v>1053</v>
      </c>
      <c r="I990" s="10">
        <v>9</v>
      </c>
    </row>
    <row r="991" spans="1:9" ht="15.75" thickBot="1" x14ac:dyDescent="0.3">
      <c r="A991" s="1">
        <v>43800</v>
      </c>
      <c r="B991" s="8" t="s">
        <v>6</v>
      </c>
      <c r="C991" t="s">
        <v>7</v>
      </c>
      <c r="D991" t="s">
        <v>260</v>
      </c>
      <c r="E991" t="s">
        <v>13</v>
      </c>
      <c r="F991" s="9">
        <v>3087.33</v>
      </c>
      <c r="G991" s="7">
        <v>25014.295999999998</v>
      </c>
      <c r="H991" s="8">
        <f t="shared" si="15"/>
        <v>25014.295999999998</v>
      </c>
      <c r="I991" s="10">
        <v>3</v>
      </c>
    </row>
    <row r="992" spans="1:9" ht="15.75" thickBot="1" x14ac:dyDescent="0.3">
      <c r="A992" s="1">
        <v>43466</v>
      </c>
      <c r="B992" s="8" t="s">
        <v>6</v>
      </c>
      <c r="C992" t="s">
        <v>7</v>
      </c>
      <c r="D992" t="s">
        <v>261</v>
      </c>
      <c r="E992" t="s">
        <v>9</v>
      </c>
      <c r="F992" s="9">
        <v>29613.55</v>
      </c>
      <c r="G992" s="7">
        <v>16888.544999999998</v>
      </c>
      <c r="H992" s="8">
        <f t="shared" si="15"/>
        <v>16888.544999999998</v>
      </c>
      <c r="I992" s="10">
        <v>31</v>
      </c>
    </row>
    <row r="993" spans="1:9" ht="15.75" thickBot="1" x14ac:dyDescent="0.3">
      <c r="A993" s="1">
        <v>43466</v>
      </c>
      <c r="B993" s="8" t="s">
        <v>6</v>
      </c>
      <c r="C993" t="s">
        <v>7</v>
      </c>
      <c r="D993" t="s">
        <v>261</v>
      </c>
      <c r="E993" t="s">
        <v>15</v>
      </c>
      <c r="F993" s="9">
        <v>7168.32</v>
      </c>
      <c r="G993" s="7">
        <v>5115.8770000000004</v>
      </c>
      <c r="H993" s="8">
        <f t="shared" si="15"/>
        <v>5115.8770000000004</v>
      </c>
      <c r="I993" s="10">
        <v>23</v>
      </c>
    </row>
    <row r="994" spans="1:9" ht="15.75" thickBot="1" x14ac:dyDescent="0.3">
      <c r="A994" s="1">
        <v>43466</v>
      </c>
      <c r="B994" s="8" t="s">
        <v>6</v>
      </c>
      <c r="C994" t="s">
        <v>7</v>
      </c>
      <c r="D994" t="s">
        <v>261</v>
      </c>
      <c r="E994" t="s">
        <v>10</v>
      </c>
      <c r="F994" s="9">
        <v>1037356.38</v>
      </c>
      <c r="G994" s="7">
        <v>32952974.232999999</v>
      </c>
      <c r="H994" s="8">
        <f t="shared" si="15"/>
        <v>32952.974233000001</v>
      </c>
      <c r="I994" s="10">
        <v>3468</v>
      </c>
    </row>
    <row r="995" spans="1:9" ht="15.75" thickBot="1" x14ac:dyDescent="0.3">
      <c r="A995" s="1">
        <v>43800</v>
      </c>
      <c r="B995" s="8" t="s">
        <v>6</v>
      </c>
      <c r="C995" t="s">
        <v>7</v>
      </c>
      <c r="D995" t="s">
        <v>261</v>
      </c>
      <c r="E995" t="s">
        <v>17</v>
      </c>
      <c r="F995" s="9">
        <v>0</v>
      </c>
      <c r="G995" s="4">
        <v>0</v>
      </c>
      <c r="H995" s="8">
        <f t="shared" si="15"/>
        <v>0</v>
      </c>
      <c r="I995" s="10">
        <v>1</v>
      </c>
    </row>
    <row r="996" spans="1:9" ht="15.75" thickBot="1" x14ac:dyDescent="0.3">
      <c r="A996" s="1">
        <v>43800</v>
      </c>
      <c r="B996" s="8" t="s">
        <v>6</v>
      </c>
      <c r="C996" t="s">
        <v>7</v>
      </c>
      <c r="D996" t="s">
        <v>261</v>
      </c>
      <c r="E996" t="s">
        <v>11</v>
      </c>
      <c r="F996" s="9">
        <v>-731995.72</v>
      </c>
      <c r="G996" s="7">
        <v>568653.33100000001</v>
      </c>
      <c r="H996" s="8">
        <f t="shared" si="15"/>
        <v>568653.33100000001</v>
      </c>
      <c r="I996" s="10">
        <v>39</v>
      </c>
    </row>
    <row r="997" spans="1:9" ht="15.75" thickBot="1" x14ac:dyDescent="0.3">
      <c r="A997" s="1">
        <v>43800</v>
      </c>
      <c r="B997" s="8" t="s">
        <v>6</v>
      </c>
      <c r="C997" t="s">
        <v>7</v>
      </c>
      <c r="D997" t="s">
        <v>261</v>
      </c>
      <c r="E997" t="s">
        <v>13</v>
      </c>
      <c r="F997" s="9">
        <v>8898.24</v>
      </c>
      <c r="G997" s="7">
        <v>179320</v>
      </c>
      <c r="H997" s="8">
        <f t="shared" si="15"/>
        <v>179320</v>
      </c>
      <c r="I997" s="10">
        <v>23</v>
      </c>
    </row>
    <row r="998" spans="1:9" ht="15.75" thickBot="1" x14ac:dyDescent="0.3">
      <c r="A998" s="1">
        <v>43800</v>
      </c>
      <c r="B998" s="8" t="s">
        <v>6</v>
      </c>
      <c r="C998" t="s">
        <v>7</v>
      </c>
      <c r="D998" t="s">
        <v>262</v>
      </c>
      <c r="E998" t="s">
        <v>15</v>
      </c>
      <c r="F998" s="9">
        <v>2922.1</v>
      </c>
      <c r="G998" s="4">
        <v>12</v>
      </c>
      <c r="H998" s="8">
        <f t="shared" si="15"/>
        <v>12</v>
      </c>
      <c r="I998" s="10">
        <v>5</v>
      </c>
    </row>
    <row r="999" spans="1:9" ht="15.75" thickBot="1" x14ac:dyDescent="0.3">
      <c r="A999" s="1">
        <v>43466</v>
      </c>
      <c r="B999" s="8" t="s">
        <v>6</v>
      </c>
      <c r="C999" t="s">
        <v>7</v>
      </c>
      <c r="D999" t="s">
        <v>262</v>
      </c>
      <c r="E999" t="s">
        <v>10</v>
      </c>
      <c r="F999" s="9">
        <v>211741.55</v>
      </c>
      <c r="G999" s="7">
        <v>6888555.8329999996</v>
      </c>
      <c r="H999" s="8">
        <f t="shared" si="15"/>
        <v>6888.5558329999994</v>
      </c>
      <c r="I999" s="10">
        <v>577</v>
      </c>
    </row>
    <row r="1000" spans="1:9" ht="15.75" thickBot="1" x14ac:dyDescent="0.3">
      <c r="A1000" s="1">
        <v>43466</v>
      </c>
      <c r="B1000" s="8" t="s">
        <v>6</v>
      </c>
      <c r="C1000" t="s">
        <v>7</v>
      </c>
      <c r="D1000" t="s">
        <v>262</v>
      </c>
      <c r="E1000" t="s">
        <v>11</v>
      </c>
      <c r="F1000" s="9">
        <v>12546.39</v>
      </c>
      <c r="G1000" s="4">
        <v>1205</v>
      </c>
      <c r="H1000" s="8">
        <f t="shared" si="15"/>
        <v>1205</v>
      </c>
      <c r="I1000" s="10">
        <v>3</v>
      </c>
    </row>
    <row r="1001" spans="1:9" ht="15.75" thickBot="1" x14ac:dyDescent="0.3">
      <c r="A1001" s="1">
        <v>43466</v>
      </c>
      <c r="B1001" s="8" t="s">
        <v>6</v>
      </c>
      <c r="C1001" t="s">
        <v>7</v>
      </c>
      <c r="D1001" t="s">
        <v>262</v>
      </c>
      <c r="E1001" t="s">
        <v>13</v>
      </c>
      <c r="F1001" s="9">
        <v>602.72</v>
      </c>
      <c r="G1001" s="6">
        <v>24000</v>
      </c>
      <c r="H1001" s="8">
        <f t="shared" si="15"/>
        <v>24000</v>
      </c>
      <c r="I1001" s="10">
        <v>3</v>
      </c>
    </row>
    <row r="1002" spans="1:9" ht="15.75" thickBot="1" x14ac:dyDescent="0.3">
      <c r="A1002" s="1">
        <v>43800</v>
      </c>
      <c r="B1002" s="8" t="s">
        <v>6</v>
      </c>
      <c r="C1002" t="s">
        <v>7</v>
      </c>
      <c r="D1002" t="s">
        <v>263</v>
      </c>
      <c r="E1002" t="s">
        <v>9</v>
      </c>
      <c r="F1002" s="9">
        <v>3231.19</v>
      </c>
      <c r="G1002" s="4">
        <v>101</v>
      </c>
      <c r="H1002" s="8">
        <f t="shared" si="15"/>
        <v>101</v>
      </c>
      <c r="I1002" s="10">
        <v>6</v>
      </c>
    </row>
    <row r="1003" spans="1:9" ht="15.75" thickBot="1" x14ac:dyDescent="0.3">
      <c r="A1003" s="1">
        <v>43800</v>
      </c>
      <c r="B1003" s="8" t="s">
        <v>6</v>
      </c>
      <c r="C1003" t="s">
        <v>7</v>
      </c>
      <c r="D1003" t="s">
        <v>263</v>
      </c>
      <c r="E1003" t="s">
        <v>15</v>
      </c>
      <c r="F1003" s="9">
        <v>74698.41</v>
      </c>
      <c r="G1003" s="7">
        <v>1661043.15</v>
      </c>
      <c r="H1003" s="8">
        <f t="shared" si="15"/>
        <v>1661043.15</v>
      </c>
      <c r="I1003" s="10">
        <v>5</v>
      </c>
    </row>
    <row r="1004" spans="1:9" ht="15.75" thickBot="1" x14ac:dyDescent="0.3">
      <c r="A1004" s="1">
        <v>43800</v>
      </c>
      <c r="B1004" s="8" t="s">
        <v>6</v>
      </c>
      <c r="C1004" t="s">
        <v>7</v>
      </c>
      <c r="D1004" t="s">
        <v>263</v>
      </c>
      <c r="E1004" t="s">
        <v>10</v>
      </c>
      <c r="F1004" s="9">
        <v>217626.22</v>
      </c>
      <c r="G1004" s="6">
        <v>8870420.1620000005</v>
      </c>
      <c r="H1004" s="8">
        <f t="shared" si="15"/>
        <v>8870.4201620000003</v>
      </c>
      <c r="I1004" s="10">
        <v>883</v>
      </c>
    </row>
    <row r="1005" spans="1:9" ht="15.75" thickBot="1" x14ac:dyDescent="0.3">
      <c r="A1005" s="1">
        <v>43800</v>
      </c>
      <c r="B1005" s="8" t="s">
        <v>6</v>
      </c>
      <c r="C1005" t="s">
        <v>7</v>
      </c>
      <c r="D1005" t="s">
        <v>263</v>
      </c>
      <c r="E1005" t="s">
        <v>11</v>
      </c>
      <c r="F1005" s="9">
        <v>4448.42</v>
      </c>
      <c r="G1005" s="7">
        <v>11091.82</v>
      </c>
      <c r="H1005" s="8">
        <f t="shared" si="15"/>
        <v>11091.82</v>
      </c>
      <c r="I1005" s="10">
        <v>14</v>
      </c>
    </row>
    <row r="1006" spans="1:9" ht="15.75" thickBot="1" x14ac:dyDescent="0.3">
      <c r="A1006" s="1">
        <v>43466</v>
      </c>
      <c r="B1006" s="8" t="s">
        <v>6</v>
      </c>
      <c r="C1006" t="s">
        <v>7</v>
      </c>
      <c r="D1006" t="s">
        <v>263</v>
      </c>
      <c r="E1006" t="s">
        <v>13</v>
      </c>
      <c r="F1006" s="9">
        <v>852.81</v>
      </c>
      <c r="G1006" s="6">
        <v>41000</v>
      </c>
      <c r="H1006" s="8">
        <f t="shared" si="15"/>
        <v>41000</v>
      </c>
      <c r="I1006" s="10">
        <v>4</v>
      </c>
    </row>
    <row r="1007" spans="1:9" ht="15.75" thickBot="1" x14ac:dyDescent="0.3">
      <c r="A1007" s="1">
        <v>43466</v>
      </c>
      <c r="B1007" s="8" t="s">
        <v>6</v>
      </c>
      <c r="C1007" t="s">
        <v>7</v>
      </c>
      <c r="D1007" t="s">
        <v>264</v>
      </c>
      <c r="E1007" t="s">
        <v>9</v>
      </c>
      <c r="F1007" s="9">
        <v>272878.06</v>
      </c>
      <c r="G1007" s="4">
        <v>8767</v>
      </c>
      <c r="H1007" s="8">
        <f t="shared" si="15"/>
        <v>8767</v>
      </c>
      <c r="I1007" s="10">
        <v>26</v>
      </c>
    </row>
    <row r="1008" spans="1:9" ht="15.75" thickBot="1" x14ac:dyDescent="0.3">
      <c r="A1008" s="1">
        <v>43466</v>
      </c>
      <c r="B1008" s="8" t="s">
        <v>6</v>
      </c>
      <c r="C1008" t="s">
        <v>7</v>
      </c>
      <c r="D1008" t="s">
        <v>264</v>
      </c>
      <c r="E1008" t="s">
        <v>15</v>
      </c>
      <c r="F1008" s="9">
        <v>563.91999999999996</v>
      </c>
      <c r="G1008" s="4">
        <v>6</v>
      </c>
      <c r="H1008" s="8">
        <f t="shared" si="15"/>
        <v>6</v>
      </c>
      <c r="I1008" s="10">
        <v>1</v>
      </c>
    </row>
    <row r="1009" spans="1:9" ht="15.75" thickBot="1" x14ac:dyDescent="0.3">
      <c r="A1009" s="1">
        <v>43800</v>
      </c>
      <c r="B1009" s="8" t="s">
        <v>6</v>
      </c>
      <c r="C1009" t="s">
        <v>7</v>
      </c>
      <c r="D1009" t="s">
        <v>264</v>
      </c>
      <c r="E1009" t="s">
        <v>10</v>
      </c>
      <c r="F1009" s="9">
        <v>16927.7</v>
      </c>
      <c r="G1009" s="6">
        <v>351042</v>
      </c>
      <c r="H1009" s="8">
        <f t="shared" si="15"/>
        <v>351.04199999999997</v>
      </c>
      <c r="I1009" s="10">
        <v>5</v>
      </c>
    </row>
    <row r="1010" spans="1:9" ht="15.75" thickBot="1" x14ac:dyDescent="0.3">
      <c r="A1010" s="1">
        <v>43800</v>
      </c>
      <c r="B1010" s="8" t="s">
        <v>6</v>
      </c>
      <c r="C1010" t="s">
        <v>7</v>
      </c>
      <c r="D1010" t="s">
        <v>264</v>
      </c>
      <c r="E1010" t="s">
        <v>17</v>
      </c>
      <c r="F1010" s="9">
        <v>62176.52</v>
      </c>
      <c r="G1010" s="7">
        <v>35043.438999999998</v>
      </c>
      <c r="H1010" s="8">
        <f t="shared" si="15"/>
        <v>35043.438999999998</v>
      </c>
      <c r="I1010" s="10">
        <v>15</v>
      </c>
    </row>
    <row r="1011" spans="1:9" ht="15.75" thickBot="1" x14ac:dyDescent="0.3">
      <c r="A1011" s="1">
        <v>43800</v>
      </c>
      <c r="B1011" s="8" t="s">
        <v>6</v>
      </c>
      <c r="C1011" t="s">
        <v>7</v>
      </c>
      <c r="D1011" t="s">
        <v>264</v>
      </c>
      <c r="E1011" t="s">
        <v>11</v>
      </c>
      <c r="F1011" s="9">
        <v>400261.13</v>
      </c>
      <c r="G1011" s="4">
        <v>14263</v>
      </c>
      <c r="H1011" s="8">
        <f t="shared" si="15"/>
        <v>14263</v>
      </c>
      <c r="I1011" s="10">
        <v>14</v>
      </c>
    </row>
    <row r="1012" spans="1:9" ht="15.75" thickBot="1" x14ac:dyDescent="0.3">
      <c r="A1012" s="1">
        <v>43800</v>
      </c>
      <c r="B1012" s="8" t="s">
        <v>6</v>
      </c>
      <c r="C1012" t="s">
        <v>7</v>
      </c>
      <c r="D1012" t="s">
        <v>264</v>
      </c>
      <c r="E1012" t="s">
        <v>13</v>
      </c>
      <c r="F1012" s="9">
        <v>766.32</v>
      </c>
      <c r="G1012" s="4">
        <v>26</v>
      </c>
      <c r="H1012" s="8">
        <f t="shared" si="15"/>
        <v>26</v>
      </c>
      <c r="I1012" s="10">
        <v>1</v>
      </c>
    </row>
    <row r="1013" spans="1:9" ht="15.75" thickBot="1" x14ac:dyDescent="0.3">
      <c r="A1013" s="1">
        <v>43466</v>
      </c>
      <c r="B1013" s="8" t="s">
        <v>6</v>
      </c>
      <c r="C1013" t="s">
        <v>7</v>
      </c>
      <c r="D1013" t="s">
        <v>265</v>
      </c>
      <c r="E1013" t="s">
        <v>9</v>
      </c>
      <c r="F1013" s="9">
        <v>2504.16</v>
      </c>
      <c r="G1013" s="4">
        <v>88</v>
      </c>
      <c r="H1013" s="8">
        <f t="shared" si="15"/>
        <v>88</v>
      </c>
      <c r="I1013" s="10">
        <v>1</v>
      </c>
    </row>
    <row r="1014" spans="1:9" ht="15.75" thickBot="1" x14ac:dyDescent="0.3">
      <c r="A1014" s="1">
        <v>43466</v>
      </c>
      <c r="B1014" s="8" t="s">
        <v>6</v>
      </c>
      <c r="C1014" t="s">
        <v>7</v>
      </c>
      <c r="D1014" t="s">
        <v>265</v>
      </c>
      <c r="E1014" t="s">
        <v>15</v>
      </c>
      <c r="F1014" s="9">
        <v>3412.75</v>
      </c>
      <c r="G1014" s="4">
        <v>63</v>
      </c>
      <c r="H1014" s="8">
        <f t="shared" si="15"/>
        <v>63</v>
      </c>
      <c r="I1014" s="10">
        <v>10</v>
      </c>
    </row>
    <row r="1015" spans="1:9" ht="15.75" thickBot="1" x14ac:dyDescent="0.3">
      <c r="A1015" s="1">
        <v>43466</v>
      </c>
      <c r="B1015" s="8" t="s">
        <v>6</v>
      </c>
      <c r="C1015" t="s">
        <v>7</v>
      </c>
      <c r="D1015" t="s">
        <v>265</v>
      </c>
      <c r="E1015" t="s">
        <v>10</v>
      </c>
      <c r="F1015" s="9">
        <v>430830.56</v>
      </c>
      <c r="G1015" s="6">
        <v>14624601.07</v>
      </c>
      <c r="H1015" s="8">
        <f t="shared" si="15"/>
        <v>14624.601070000001</v>
      </c>
      <c r="I1015" s="10">
        <v>1319</v>
      </c>
    </row>
    <row r="1016" spans="1:9" ht="15.75" thickBot="1" x14ac:dyDescent="0.3">
      <c r="A1016" s="1">
        <v>43800</v>
      </c>
      <c r="B1016" s="8" t="s">
        <v>6</v>
      </c>
      <c r="C1016" t="s">
        <v>7</v>
      </c>
      <c r="D1016" t="s">
        <v>265</v>
      </c>
      <c r="E1016" t="s">
        <v>11</v>
      </c>
      <c r="F1016" s="9">
        <v>23761.93</v>
      </c>
      <c r="G1016" s="7">
        <v>47905.078999999998</v>
      </c>
      <c r="H1016" s="8">
        <f t="shared" si="15"/>
        <v>47905.078999999998</v>
      </c>
      <c r="I1016" s="10">
        <v>25</v>
      </c>
    </row>
    <row r="1017" spans="1:9" ht="15.75" thickBot="1" x14ac:dyDescent="0.3">
      <c r="A1017" s="1">
        <v>43800</v>
      </c>
      <c r="B1017" s="8" t="s">
        <v>6</v>
      </c>
      <c r="C1017" t="s">
        <v>7</v>
      </c>
      <c r="D1017" t="s">
        <v>265</v>
      </c>
      <c r="E1017" t="s">
        <v>13</v>
      </c>
      <c r="F1017" s="9">
        <v>-268.20999999999998</v>
      </c>
      <c r="G1017" s="6">
        <v>-7000</v>
      </c>
      <c r="H1017" s="8">
        <f t="shared" si="15"/>
        <v>-7000</v>
      </c>
      <c r="I1017" s="10">
        <v>4</v>
      </c>
    </row>
    <row r="1018" spans="1:9" ht="15.75" thickBot="1" x14ac:dyDescent="0.3">
      <c r="A1018" s="1">
        <v>43800</v>
      </c>
      <c r="B1018" s="8" t="s">
        <v>6</v>
      </c>
      <c r="C1018" t="s">
        <v>7</v>
      </c>
      <c r="D1018" t="s">
        <v>266</v>
      </c>
      <c r="E1018" t="s">
        <v>9</v>
      </c>
      <c r="F1018" s="9">
        <v>956.2</v>
      </c>
      <c r="G1018" s="4">
        <v>35</v>
      </c>
      <c r="H1018" s="8">
        <f t="shared" si="15"/>
        <v>35</v>
      </c>
      <c r="I1018" s="10">
        <v>1</v>
      </c>
    </row>
    <row r="1019" spans="1:9" ht="15.75" thickBot="1" x14ac:dyDescent="0.3">
      <c r="A1019" s="1">
        <v>43800</v>
      </c>
      <c r="B1019" s="8" t="s">
        <v>6</v>
      </c>
      <c r="C1019" t="s">
        <v>7</v>
      </c>
      <c r="D1019" t="s">
        <v>266</v>
      </c>
      <c r="E1019" t="s">
        <v>15</v>
      </c>
      <c r="F1019" s="9">
        <v>56</v>
      </c>
      <c r="G1019" s="4">
        <v>0</v>
      </c>
      <c r="H1019" s="8">
        <f t="shared" si="15"/>
        <v>0</v>
      </c>
      <c r="I1019" s="10">
        <v>2</v>
      </c>
    </row>
    <row r="1020" spans="1:9" ht="15.75" thickBot="1" x14ac:dyDescent="0.3">
      <c r="A1020" s="1">
        <v>43466</v>
      </c>
      <c r="B1020" s="8" t="s">
        <v>6</v>
      </c>
      <c r="C1020" t="s">
        <v>7</v>
      </c>
      <c r="D1020" t="s">
        <v>266</v>
      </c>
      <c r="E1020" t="s">
        <v>10</v>
      </c>
      <c r="F1020" s="9">
        <v>157728.1</v>
      </c>
      <c r="G1020" s="7">
        <v>6236206.3470000001</v>
      </c>
      <c r="H1020" s="8">
        <f t="shared" si="15"/>
        <v>6236.2063470000003</v>
      </c>
      <c r="I1020" s="10">
        <v>973</v>
      </c>
    </row>
    <row r="1021" spans="1:9" ht="15.75" thickBot="1" x14ac:dyDescent="0.3">
      <c r="A1021" s="1">
        <v>43466</v>
      </c>
      <c r="B1021" s="8" t="s">
        <v>6</v>
      </c>
      <c r="C1021" t="s">
        <v>7</v>
      </c>
      <c r="D1021" t="s">
        <v>266</v>
      </c>
      <c r="E1021" t="s">
        <v>11</v>
      </c>
      <c r="F1021" s="9">
        <v>6200.49</v>
      </c>
      <c r="G1021" s="4">
        <v>9</v>
      </c>
      <c r="H1021" s="8">
        <f t="shared" si="15"/>
        <v>9</v>
      </c>
      <c r="I1021" s="10">
        <v>74</v>
      </c>
    </row>
    <row r="1022" spans="1:9" ht="15.75" thickBot="1" x14ac:dyDescent="0.3">
      <c r="A1022" s="1">
        <v>43466</v>
      </c>
      <c r="B1022" s="8" t="s">
        <v>6</v>
      </c>
      <c r="C1022" t="s">
        <v>7</v>
      </c>
      <c r="D1022" t="s">
        <v>266</v>
      </c>
      <c r="E1022" t="s">
        <v>13</v>
      </c>
      <c r="F1022" s="9">
        <v>81.569999999999993</v>
      </c>
      <c r="G1022" s="5">
        <v>0</v>
      </c>
      <c r="H1022" s="8">
        <f t="shared" si="15"/>
        <v>0</v>
      </c>
      <c r="I1022" s="10">
        <v>1</v>
      </c>
    </row>
    <row r="1023" spans="1:9" ht="15.75" thickBot="1" x14ac:dyDescent="0.3">
      <c r="A1023" s="1">
        <v>43800</v>
      </c>
      <c r="B1023" s="8" t="s">
        <v>6</v>
      </c>
      <c r="C1023" t="s">
        <v>7</v>
      </c>
      <c r="D1023" t="s">
        <v>267</v>
      </c>
      <c r="E1023" t="s">
        <v>15</v>
      </c>
      <c r="F1023" s="9">
        <v>363.06</v>
      </c>
      <c r="G1023" s="4">
        <v>3</v>
      </c>
      <c r="H1023" s="8">
        <f t="shared" si="15"/>
        <v>3</v>
      </c>
      <c r="I1023" s="10">
        <v>4</v>
      </c>
    </row>
    <row r="1024" spans="1:9" ht="15.75" thickBot="1" x14ac:dyDescent="0.3">
      <c r="A1024" s="1">
        <v>43800</v>
      </c>
      <c r="B1024" s="8" t="s">
        <v>6</v>
      </c>
      <c r="C1024" t="s">
        <v>7</v>
      </c>
      <c r="D1024" t="s">
        <v>267</v>
      </c>
      <c r="E1024" t="s">
        <v>10</v>
      </c>
      <c r="F1024" s="9">
        <v>107024.4</v>
      </c>
      <c r="G1024" s="6">
        <v>13768572.216</v>
      </c>
      <c r="H1024" s="8">
        <f t="shared" si="15"/>
        <v>13768.572216</v>
      </c>
      <c r="I1024" s="10">
        <v>1602</v>
      </c>
    </row>
    <row r="1025" spans="1:9" ht="15.75" thickBot="1" x14ac:dyDescent="0.3">
      <c r="A1025" s="1">
        <v>43800</v>
      </c>
      <c r="B1025" s="8" t="s">
        <v>6</v>
      </c>
      <c r="C1025" t="s">
        <v>7</v>
      </c>
      <c r="D1025" t="s">
        <v>267</v>
      </c>
      <c r="E1025" t="s">
        <v>11</v>
      </c>
      <c r="F1025" s="9">
        <v>14308.1</v>
      </c>
      <c r="G1025" s="7">
        <v>1565500.3540000001</v>
      </c>
      <c r="H1025" s="8">
        <f t="shared" si="15"/>
        <v>1565500.3540000001</v>
      </c>
      <c r="I1025" s="10">
        <v>289</v>
      </c>
    </row>
    <row r="1026" spans="1:9" ht="15.75" thickBot="1" x14ac:dyDescent="0.3">
      <c r="A1026" s="1">
        <v>43800</v>
      </c>
      <c r="B1026" s="8" t="s">
        <v>6</v>
      </c>
      <c r="C1026" t="s">
        <v>7</v>
      </c>
      <c r="D1026" t="s">
        <v>267</v>
      </c>
      <c r="E1026" t="s">
        <v>13</v>
      </c>
      <c r="F1026" s="9">
        <v>305.44</v>
      </c>
      <c r="G1026" s="6">
        <v>22000</v>
      </c>
      <c r="H1026" s="8">
        <f t="shared" ref="H1026:H1089" si="16">IF(ISNUMBER(SEARCH("Domestic customer", E1026)),G1026/1000,G1026)</f>
        <v>22000</v>
      </c>
      <c r="I1026" s="10">
        <v>3</v>
      </c>
    </row>
    <row r="1027" spans="1:9" ht="15.75" thickBot="1" x14ac:dyDescent="0.3">
      <c r="A1027" s="1">
        <v>43466</v>
      </c>
      <c r="B1027" s="8" t="s">
        <v>6</v>
      </c>
      <c r="C1027" t="s">
        <v>7</v>
      </c>
      <c r="D1027" t="s">
        <v>268</v>
      </c>
      <c r="E1027" t="s">
        <v>15</v>
      </c>
      <c r="F1027" s="9">
        <v>100</v>
      </c>
      <c r="G1027" s="4">
        <v>0</v>
      </c>
      <c r="H1027" s="8">
        <f t="shared" si="16"/>
        <v>0</v>
      </c>
      <c r="I1027" s="10">
        <v>1</v>
      </c>
    </row>
    <row r="1028" spans="1:9" ht="15.75" thickBot="1" x14ac:dyDescent="0.3">
      <c r="A1028" s="1">
        <v>43466</v>
      </c>
      <c r="B1028" s="8" t="s">
        <v>6</v>
      </c>
      <c r="C1028" t="s">
        <v>7</v>
      </c>
      <c r="D1028" t="s">
        <v>268</v>
      </c>
      <c r="E1028" t="s">
        <v>10</v>
      </c>
      <c r="F1028" s="9">
        <v>23147.11</v>
      </c>
      <c r="G1028" s="6">
        <v>723891.5</v>
      </c>
      <c r="H1028" s="8">
        <f t="shared" si="16"/>
        <v>723.89149999999995</v>
      </c>
      <c r="I1028" s="10">
        <v>64</v>
      </c>
    </row>
    <row r="1029" spans="1:9" ht="15.75" thickBot="1" x14ac:dyDescent="0.3">
      <c r="A1029" s="1">
        <v>43466</v>
      </c>
      <c r="B1029" s="8" t="s">
        <v>6</v>
      </c>
      <c r="C1029" t="s">
        <v>7</v>
      </c>
      <c r="D1029" t="s">
        <v>268</v>
      </c>
      <c r="E1029" t="s">
        <v>13</v>
      </c>
      <c r="F1029" s="9">
        <v>237.45</v>
      </c>
      <c r="G1029" s="6">
        <v>8000</v>
      </c>
      <c r="H1029" s="8">
        <f t="shared" si="16"/>
        <v>8000</v>
      </c>
      <c r="I1029" s="10">
        <v>1</v>
      </c>
    </row>
    <row r="1030" spans="1:9" ht="15.75" thickBot="1" x14ac:dyDescent="0.3">
      <c r="A1030" s="1">
        <v>43800</v>
      </c>
      <c r="B1030" s="8" t="s">
        <v>6</v>
      </c>
      <c r="C1030" t="s">
        <v>7</v>
      </c>
      <c r="D1030" t="s">
        <v>269</v>
      </c>
      <c r="E1030" t="s">
        <v>9</v>
      </c>
      <c r="F1030" s="9">
        <v>14276.88</v>
      </c>
      <c r="G1030" s="4">
        <v>459</v>
      </c>
      <c r="H1030" s="8">
        <f t="shared" si="16"/>
        <v>459</v>
      </c>
      <c r="I1030" s="10">
        <v>6</v>
      </c>
    </row>
    <row r="1031" spans="1:9" ht="15.75" thickBot="1" x14ac:dyDescent="0.3">
      <c r="A1031" s="1">
        <v>43800</v>
      </c>
      <c r="B1031" s="8" t="s">
        <v>6</v>
      </c>
      <c r="C1031" t="s">
        <v>7</v>
      </c>
      <c r="D1031" t="s">
        <v>269</v>
      </c>
      <c r="E1031" t="s">
        <v>15</v>
      </c>
      <c r="F1031" s="9">
        <v>366.64</v>
      </c>
      <c r="G1031" s="4">
        <v>2</v>
      </c>
      <c r="H1031" s="8">
        <f t="shared" si="16"/>
        <v>2</v>
      </c>
      <c r="I1031" s="10">
        <v>2</v>
      </c>
    </row>
    <row r="1032" spans="1:9" ht="15.75" thickBot="1" x14ac:dyDescent="0.3">
      <c r="A1032" s="1">
        <v>43800</v>
      </c>
      <c r="B1032" s="8" t="s">
        <v>6</v>
      </c>
      <c r="C1032" t="s">
        <v>7</v>
      </c>
      <c r="D1032" t="s">
        <v>269</v>
      </c>
      <c r="E1032" t="s">
        <v>10</v>
      </c>
      <c r="F1032" s="9">
        <v>675168.8</v>
      </c>
      <c r="G1032" s="7">
        <v>18446980.521000002</v>
      </c>
      <c r="H1032" s="8">
        <f t="shared" si="16"/>
        <v>18446.980521000001</v>
      </c>
      <c r="I1032" s="10">
        <v>801</v>
      </c>
    </row>
    <row r="1033" spans="1:9" ht="15.75" thickBot="1" x14ac:dyDescent="0.3">
      <c r="A1033" s="1">
        <v>43800</v>
      </c>
      <c r="B1033" s="8" t="s">
        <v>6</v>
      </c>
      <c r="C1033" t="s">
        <v>7</v>
      </c>
      <c r="D1033" t="s">
        <v>269</v>
      </c>
      <c r="E1033" t="s">
        <v>11</v>
      </c>
      <c r="F1033" s="9">
        <v>6713.55</v>
      </c>
      <c r="G1033" s="7">
        <v>39126.506000000001</v>
      </c>
      <c r="H1033" s="8">
        <f t="shared" si="16"/>
        <v>39126.506000000001</v>
      </c>
      <c r="I1033" s="10">
        <v>15</v>
      </c>
    </row>
    <row r="1034" spans="1:9" ht="15.75" thickBot="1" x14ac:dyDescent="0.3">
      <c r="A1034" s="1">
        <v>43466</v>
      </c>
      <c r="B1034" s="8" t="s">
        <v>6</v>
      </c>
      <c r="C1034" t="s">
        <v>7</v>
      </c>
      <c r="D1034" t="s">
        <v>269</v>
      </c>
      <c r="E1034" t="s">
        <v>13</v>
      </c>
      <c r="F1034" s="9">
        <v>9150.93</v>
      </c>
      <c r="G1034" s="7">
        <v>175078.84700000001</v>
      </c>
      <c r="H1034" s="8">
        <f t="shared" si="16"/>
        <v>175078.84700000001</v>
      </c>
      <c r="I1034" s="10">
        <v>9</v>
      </c>
    </row>
    <row r="1035" spans="1:9" ht="15.75" thickBot="1" x14ac:dyDescent="0.3">
      <c r="A1035" s="1">
        <v>43466</v>
      </c>
      <c r="B1035" s="8" t="s">
        <v>6</v>
      </c>
      <c r="C1035" t="s">
        <v>7</v>
      </c>
      <c r="D1035" t="s">
        <v>270</v>
      </c>
      <c r="E1035" t="s">
        <v>9</v>
      </c>
      <c r="F1035" s="9">
        <v>106041.74</v>
      </c>
      <c r="G1035" s="4">
        <v>2826</v>
      </c>
      <c r="H1035" s="8">
        <f t="shared" si="16"/>
        <v>2826</v>
      </c>
      <c r="I1035" s="10">
        <v>100</v>
      </c>
    </row>
    <row r="1036" spans="1:9" ht="15.75" thickBot="1" x14ac:dyDescent="0.3">
      <c r="A1036" s="1">
        <v>43466</v>
      </c>
      <c r="B1036" s="8" t="s">
        <v>6</v>
      </c>
      <c r="C1036" t="s">
        <v>7</v>
      </c>
      <c r="D1036" t="s">
        <v>270</v>
      </c>
      <c r="E1036" t="s">
        <v>10</v>
      </c>
      <c r="F1036" s="9">
        <v>1463.77</v>
      </c>
      <c r="G1036" s="6">
        <v>29000</v>
      </c>
      <c r="H1036" s="8">
        <f t="shared" si="16"/>
        <v>29</v>
      </c>
      <c r="I1036" s="10">
        <v>2</v>
      </c>
    </row>
    <row r="1037" spans="1:9" ht="15.75" thickBot="1" x14ac:dyDescent="0.3">
      <c r="A1037" s="1">
        <v>43800</v>
      </c>
      <c r="B1037" s="8" t="s">
        <v>6</v>
      </c>
      <c r="C1037" t="s">
        <v>7</v>
      </c>
      <c r="D1037" t="s">
        <v>270</v>
      </c>
      <c r="E1037" t="s">
        <v>17</v>
      </c>
      <c r="F1037" s="9">
        <v>8940.56</v>
      </c>
      <c r="G1037" s="4">
        <v>158</v>
      </c>
      <c r="H1037" s="8">
        <f t="shared" si="16"/>
        <v>158</v>
      </c>
      <c r="I1037" s="10">
        <v>12</v>
      </c>
    </row>
    <row r="1038" spans="1:9" ht="15.75" thickBot="1" x14ac:dyDescent="0.3">
      <c r="A1038" s="1">
        <v>43800</v>
      </c>
      <c r="B1038" s="8" t="s">
        <v>6</v>
      </c>
      <c r="C1038" t="s">
        <v>7</v>
      </c>
      <c r="D1038" t="s">
        <v>270</v>
      </c>
      <c r="E1038" t="s">
        <v>11</v>
      </c>
      <c r="F1038" s="9">
        <v>2540.8200000000002</v>
      </c>
      <c r="G1038" s="4">
        <v>74</v>
      </c>
      <c r="H1038" s="8">
        <f t="shared" si="16"/>
        <v>74</v>
      </c>
      <c r="I1038" s="10">
        <v>4</v>
      </c>
    </row>
    <row r="1039" spans="1:9" ht="15.75" thickBot="1" x14ac:dyDescent="0.3">
      <c r="A1039" s="1">
        <v>43800</v>
      </c>
      <c r="B1039" s="8" t="s">
        <v>6</v>
      </c>
      <c r="C1039" t="s">
        <v>7</v>
      </c>
      <c r="D1039" t="s">
        <v>271</v>
      </c>
      <c r="E1039" t="s">
        <v>9</v>
      </c>
      <c r="F1039" s="9">
        <v>572.21</v>
      </c>
      <c r="G1039" s="4">
        <v>6</v>
      </c>
      <c r="H1039" s="8">
        <f t="shared" si="16"/>
        <v>6</v>
      </c>
      <c r="I1039" s="10">
        <v>1</v>
      </c>
    </row>
    <row r="1040" spans="1:9" ht="15.75" thickBot="1" x14ac:dyDescent="0.3">
      <c r="A1040" s="1">
        <v>43800</v>
      </c>
      <c r="B1040" s="8" t="s">
        <v>6</v>
      </c>
      <c r="C1040" t="s">
        <v>7</v>
      </c>
      <c r="D1040" t="s">
        <v>271</v>
      </c>
      <c r="E1040" t="s">
        <v>15</v>
      </c>
      <c r="F1040" s="9">
        <v>1212.2</v>
      </c>
      <c r="G1040" s="4">
        <v>35</v>
      </c>
      <c r="H1040" s="8">
        <f t="shared" si="16"/>
        <v>35</v>
      </c>
      <c r="I1040" s="10">
        <v>1</v>
      </c>
    </row>
    <row r="1041" spans="1:9" ht="15.75" thickBot="1" x14ac:dyDescent="0.3">
      <c r="A1041" s="1">
        <v>43466</v>
      </c>
      <c r="B1041" s="8" t="s">
        <v>6</v>
      </c>
      <c r="C1041" t="s">
        <v>7</v>
      </c>
      <c r="D1041" t="s">
        <v>271</v>
      </c>
      <c r="E1041" t="s">
        <v>10</v>
      </c>
      <c r="F1041" s="9">
        <v>5029.58</v>
      </c>
      <c r="G1041" s="6">
        <v>986000</v>
      </c>
      <c r="H1041" s="8">
        <f t="shared" si="16"/>
        <v>986</v>
      </c>
      <c r="I1041" s="10">
        <v>119</v>
      </c>
    </row>
    <row r="1042" spans="1:9" ht="15.75" thickBot="1" x14ac:dyDescent="0.3">
      <c r="A1042" s="1">
        <v>43466</v>
      </c>
      <c r="B1042" s="8" t="s">
        <v>6</v>
      </c>
      <c r="C1042" t="s">
        <v>7</v>
      </c>
      <c r="D1042" t="s">
        <v>271</v>
      </c>
      <c r="E1042" t="s">
        <v>13</v>
      </c>
      <c r="F1042" s="9">
        <v>0</v>
      </c>
      <c r="G1042" s="6">
        <v>8000</v>
      </c>
      <c r="H1042" s="8">
        <f t="shared" si="16"/>
        <v>8000</v>
      </c>
      <c r="I1042" s="10">
        <v>1</v>
      </c>
    </row>
    <row r="1043" spans="1:9" ht="15.75" thickBot="1" x14ac:dyDescent="0.3">
      <c r="A1043" s="1">
        <v>43466</v>
      </c>
      <c r="B1043" s="8" t="s">
        <v>6</v>
      </c>
      <c r="C1043" t="s">
        <v>7</v>
      </c>
      <c r="D1043" t="s">
        <v>272</v>
      </c>
      <c r="E1043" t="s">
        <v>9</v>
      </c>
      <c r="F1043" s="9">
        <v>1143754.6000000001</v>
      </c>
      <c r="G1043" s="7">
        <v>824544.61100000003</v>
      </c>
      <c r="H1043" s="8">
        <f t="shared" si="16"/>
        <v>824544.61100000003</v>
      </c>
      <c r="I1043" s="10">
        <v>178</v>
      </c>
    </row>
    <row r="1044" spans="1:9" ht="15.75" thickBot="1" x14ac:dyDescent="0.3">
      <c r="A1044" s="1">
        <v>43800</v>
      </c>
      <c r="B1044" s="8" t="s">
        <v>6</v>
      </c>
      <c r="C1044" t="s">
        <v>7</v>
      </c>
      <c r="D1044" t="s">
        <v>272</v>
      </c>
      <c r="E1044" t="s">
        <v>15</v>
      </c>
      <c r="F1044" s="9">
        <v>20865.82</v>
      </c>
      <c r="G1044" s="7">
        <v>70200.092999999993</v>
      </c>
      <c r="H1044" s="8">
        <f t="shared" si="16"/>
        <v>70200.092999999993</v>
      </c>
      <c r="I1044" s="10">
        <v>9</v>
      </c>
    </row>
    <row r="1045" spans="1:9" ht="15.75" thickBot="1" x14ac:dyDescent="0.3">
      <c r="A1045" s="1">
        <v>43800</v>
      </c>
      <c r="B1045" s="8" t="s">
        <v>6</v>
      </c>
      <c r="C1045" t="s">
        <v>7</v>
      </c>
      <c r="D1045" t="s">
        <v>272</v>
      </c>
      <c r="E1045" t="s">
        <v>10</v>
      </c>
      <c r="F1045" s="9">
        <v>967277.34</v>
      </c>
      <c r="G1045" s="7">
        <v>33453300.305</v>
      </c>
      <c r="H1045" s="8">
        <f t="shared" si="16"/>
        <v>33453.300304999997</v>
      </c>
      <c r="I1045" s="10">
        <v>1256</v>
      </c>
    </row>
    <row r="1046" spans="1:9" ht="15.75" thickBot="1" x14ac:dyDescent="0.3">
      <c r="A1046" s="1">
        <v>43800</v>
      </c>
      <c r="B1046" s="8" t="s">
        <v>6</v>
      </c>
      <c r="C1046" t="s">
        <v>7</v>
      </c>
      <c r="D1046" t="s">
        <v>272</v>
      </c>
      <c r="E1046" t="s">
        <v>17</v>
      </c>
      <c r="F1046" s="9">
        <v>56191.68</v>
      </c>
      <c r="G1046" s="4">
        <v>1635</v>
      </c>
      <c r="H1046" s="8">
        <f t="shared" si="16"/>
        <v>1635</v>
      </c>
      <c r="I1046" s="10">
        <v>22</v>
      </c>
    </row>
    <row r="1047" spans="1:9" ht="15.75" thickBot="1" x14ac:dyDescent="0.3">
      <c r="A1047" s="1">
        <v>43800</v>
      </c>
      <c r="B1047" s="8" t="s">
        <v>6</v>
      </c>
      <c r="C1047" t="s">
        <v>7</v>
      </c>
      <c r="D1047" t="s">
        <v>272</v>
      </c>
      <c r="E1047" t="s">
        <v>11</v>
      </c>
      <c r="F1047" s="9">
        <v>584914.39</v>
      </c>
      <c r="G1047" s="7">
        <v>1640864.473</v>
      </c>
      <c r="H1047" s="8">
        <f t="shared" si="16"/>
        <v>1640864.473</v>
      </c>
      <c r="I1047" s="10">
        <v>117</v>
      </c>
    </row>
    <row r="1048" spans="1:9" ht="15.75" thickBot="1" x14ac:dyDescent="0.3">
      <c r="A1048" s="1">
        <v>43466</v>
      </c>
      <c r="B1048" s="8" t="s">
        <v>6</v>
      </c>
      <c r="C1048" t="s">
        <v>7</v>
      </c>
      <c r="D1048" t="s">
        <v>272</v>
      </c>
      <c r="E1048" t="s">
        <v>13</v>
      </c>
      <c r="F1048" s="9">
        <v>25357.97</v>
      </c>
      <c r="G1048" s="7">
        <v>498068.64</v>
      </c>
      <c r="H1048" s="8">
        <f t="shared" si="16"/>
        <v>498068.64</v>
      </c>
      <c r="I1048" s="10">
        <v>16</v>
      </c>
    </row>
    <row r="1049" spans="1:9" ht="15.75" thickBot="1" x14ac:dyDescent="0.3">
      <c r="A1049" s="1">
        <v>43466</v>
      </c>
      <c r="B1049" s="8" t="s">
        <v>6</v>
      </c>
      <c r="C1049" t="s">
        <v>7</v>
      </c>
      <c r="D1049" t="s">
        <v>273</v>
      </c>
      <c r="E1049" t="s">
        <v>9</v>
      </c>
      <c r="F1049" s="9">
        <v>73973.13</v>
      </c>
      <c r="G1049" s="7">
        <v>226114.69899999999</v>
      </c>
      <c r="H1049" s="8">
        <f t="shared" si="16"/>
        <v>226114.69899999999</v>
      </c>
      <c r="I1049" s="10">
        <v>83</v>
      </c>
    </row>
    <row r="1050" spans="1:9" ht="15.75" thickBot="1" x14ac:dyDescent="0.3">
      <c r="A1050" s="1">
        <v>43466</v>
      </c>
      <c r="B1050" s="8" t="s">
        <v>6</v>
      </c>
      <c r="C1050" t="s">
        <v>7</v>
      </c>
      <c r="D1050" t="s">
        <v>273</v>
      </c>
      <c r="E1050" t="s">
        <v>15</v>
      </c>
      <c r="F1050" s="9">
        <v>24164.49</v>
      </c>
      <c r="G1050" s="4">
        <v>1099</v>
      </c>
      <c r="H1050" s="8">
        <f t="shared" si="16"/>
        <v>1099</v>
      </c>
      <c r="I1050" s="10">
        <v>7</v>
      </c>
    </row>
    <row r="1051" spans="1:9" ht="15.75" thickBot="1" x14ac:dyDescent="0.3">
      <c r="A1051" s="1">
        <v>43800</v>
      </c>
      <c r="B1051" s="8" t="s">
        <v>6</v>
      </c>
      <c r="C1051" t="s">
        <v>7</v>
      </c>
      <c r="D1051" t="s">
        <v>273</v>
      </c>
      <c r="E1051" t="s">
        <v>10</v>
      </c>
      <c r="F1051" s="9">
        <v>345781.39</v>
      </c>
      <c r="G1051" s="6">
        <v>11293932.726</v>
      </c>
      <c r="H1051" s="8">
        <f t="shared" si="16"/>
        <v>11293.932725999999</v>
      </c>
      <c r="I1051" s="10">
        <v>661</v>
      </c>
    </row>
    <row r="1052" spans="1:9" ht="15.75" thickBot="1" x14ac:dyDescent="0.3">
      <c r="A1052" s="1">
        <v>43800</v>
      </c>
      <c r="B1052" s="8" t="s">
        <v>6</v>
      </c>
      <c r="C1052" t="s">
        <v>7</v>
      </c>
      <c r="D1052" t="s">
        <v>273</v>
      </c>
      <c r="E1052" t="s">
        <v>11</v>
      </c>
      <c r="F1052" s="9">
        <v>284001.62</v>
      </c>
      <c r="G1052" s="4">
        <v>1559</v>
      </c>
      <c r="H1052" s="8">
        <f t="shared" si="16"/>
        <v>1559</v>
      </c>
      <c r="I1052" s="10">
        <v>33</v>
      </c>
    </row>
    <row r="1053" spans="1:9" ht="15.75" thickBot="1" x14ac:dyDescent="0.3">
      <c r="A1053" s="1">
        <v>43800</v>
      </c>
      <c r="B1053" s="8" t="s">
        <v>6</v>
      </c>
      <c r="C1053" t="s">
        <v>7</v>
      </c>
      <c r="D1053" t="s">
        <v>273</v>
      </c>
      <c r="E1053" t="s">
        <v>13</v>
      </c>
      <c r="F1053" s="9">
        <v>1098.97</v>
      </c>
      <c r="G1053" s="6">
        <v>33000</v>
      </c>
      <c r="H1053" s="8">
        <f t="shared" si="16"/>
        <v>33000</v>
      </c>
      <c r="I1053" s="10">
        <v>3</v>
      </c>
    </row>
    <row r="1054" spans="1:9" ht="15.75" thickBot="1" x14ac:dyDescent="0.3">
      <c r="A1054" s="1">
        <v>43800</v>
      </c>
      <c r="B1054" s="8" t="s">
        <v>6</v>
      </c>
      <c r="C1054" t="s">
        <v>7</v>
      </c>
      <c r="D1054" t="s">
        <v>274</v>
      </c>
      <c r="E1054" t="s">
        <v>9</v>
      </c>
      <c r="F1054" s="9">
        <v>1356.72</v>
      </c>
      <c r="G1054" s="4">
        <v>46</v>
      </c>
      <c r="H1054" s="8">
        <f t="shared" si="16"/>
        <v>46</v>
      </c>
      <c r="I1054" s="10">
        <v>1</v>
      </c>
    </row>
    <row r="1055" spans="1:9" ht="15.75" thickBot="1" x14ac:dyDescent="0.3">
      <c r="A1055" s="1">
        <v>43466</v>
      </c>
      <c r="B1055" s="8" t="s">
        <v>6</v>
      </c>
      <c r="C1055" t="s">
        <v>7</v>
      </c>
      <c r="D1055" t="s">
        <v>274</v>
      </c>
      <c r="E1055" t="s">
        <v>15</v>
      </c>
      <c r="F1055" s="9">
        <v>373.2</v>
      </c>
      <c r="G1055" s="4">
        <v>10</v>
      </c>
      <c r="H1055" s="8">
        <f t="shared" si="16"/>
        <v>10</v>
      </c>
      <c r="I1055" s="10">
        <v>1</v>
      </c>
    </row>
    <row r="1056" spans="1:9" ht="15.75" thickBot="1" x14ac:dyDescent="0.3">
      <c r="A1056" s="1">
        <v>43466</v>
      </c>
      <c r="B1056" s="8" t="s">
        <v>6</v>
      </c>
      <c r="C1056" t="s">
        <v>7</v>
      </c>
      <c r="D1056" t="s">
        <v>274</v>
      </c>
      <c r="E1056" t="s">
        <v>10</v>
      </c>
      <c r="F1056" s="9">
        <v>151784.43</v>
      </c>
      <c r="G1056" s="7">
        <v>4980982.1509999996</v>
      </c>
      <c r="H1056" s="8">
        <f t="shared" si="16"/>
        <v>4980.9821509999992</v>
      </c>
      <c r="I1056" s="10">
        <v>483</v>
      </c>
    </row>
    <row r="1057" spans="1:9" ht="15.75" thickBot="1" x14ac:dyDescent="0.3">
      <c r="A1057" s="1">
        <v>43466</v>
      </c>
      <c r="B1057" s="8" t="s">
        <v>6</v>
      </c>
      <c r="C1057" t="s">
        <v>7</v>
      </c>
      <c r="D1057" t="s">
        <v>274</v>
      </c>
      <c r="E1057" t="s">
        <v>11</v>
      </c>
      <c r="F1057" s="9">
        <v>3324.91</v>
      </c>
      <c r="G1057" s="4">
        <v>77</v>
      </c>
      <c r="H1057" s="8">
        <f t="shared" si="16"/>
        <v>77</v>
      </c>
      <c r="I1057" s="10">
        <v>15</v>
      </c>
    </row>
    <row r="1058" spans="1:9" ht="15.75" thickBot="1" x14ac:dyDescent="0.3">
      <c r="A1058" s="1">
        <v>43800</v>
      </c>
      <c r="B1058" s="8" t="s">
        <v>6</v>
      </c>
      <c r="C1058" t="s">
        <v>7</v>
      </c>
      <c r="D1058" t="s">
        <v>274</v>
      </c>
      <c r="E1058" t="s">
        <v>13</v>
      </c>
      <c r="F1058" s="9">
        <v>1256.3399999999999</v>
      </c>
      <c r="G1058" s="6">
        <v>46000</v>
      </c>
      <c r="H1058" s="8">
        <f t="shared" si="16"/>
        <v>46000</v>
      </c>
      <c r="I1058" s="10">
        <v>2</v>
      </c>
    </row>
    <row r="1059" spans="1:9" ht="15.75" thickBot="1" x14ac:dyDescent="0.3">
      <c r="A1059" s="1">
        <v>43800</v>
      </c>
      <c r="B1059" s="8" t="s">
        <v>6</v>
      </c>
      <c r="C1059" t="s">
        <v>7</v>
      </c>
      <c r="D1059" t="s">
        <v>275</v>
      </c>
      <c r="E1059" t="s">
        <v>9</v>
      </c>
      <c r="F1059" s="9">
        <v>62576.29</v>
      </c>
      <c r="G1059" s="4">
        <v>2196</v>
      </c>
      <c r="H1059" s="8">
        <f t="shared" si="16"/>
        <v>2196</v>
      </c>
      <c r="I1059" s="10">
        <v>28</v>
      </c>
    </row>
    <row r="1060" spans="1:9" ht="15.75" thickBot="1" x14ac:dyDescent="0.3">
      <c r="A1060" s="1">
        <v>43800</v>
      </c>
      <c r="B1060" s="8" t="s">
        <v>6</v>
      </c>
      <c r="C1060" t="s">
        <v>7</v>
      </c>
      <c r="D1060" t="s">
        <v>275</v>
      </c>
      <c r="E1060" t="s">
        <v>10</v>
      </c>
      <c r="F1060" s="9">
        <v>11725.56</v>
      </c>
      <c r="G1060" s="7">
        <v>451087</v>
      </c>
      <c r="H1060" s="8">
        <f t="shared" si="16"/>
        <v>451.08699999999999</v>
      </c>
      <c r="I1060" s="10">
        <v>59</v>
      </c>
    </row>
    <row r="1061" spans="1:9" ht="15.75" thickBot="1" x14ac:dyDescent="0.3">
      <c r="A1061" s="1">
        <v>43800</v>
      </c>
      <c r="B1061" s="8" t="s">
        <v>6</v>
      </c>
      <c r="C1061" t="s">
        <v>7</v>
      </c>
      <c r="D1061" t="s">
        <v>275</v>
      </c>
      <c r="E1061" t="s">
        <v>17</v>
      </c>
      <c r="F1061" s="9">
        <v>14975.4</v>
      </c>
      <c r="G1061" s="4">
        <v>453</v>
      </c>
      <c r="H1061" s="8">
        <f t="shared" si="16"/>
        <v>453</v>
      </c>
      <c r="I1061" s="10">
        <v>46</v>
      </c>
    </row>
    <row r="1062" spans="1:9" ht="15.75" thickBot="1" x14ac:dyDescent="0.3">
      <c r="A1062" s="1">
        <v>43466</v>
      </c>
      <c r="B1062" s="8" t="s">
        <v>6</v>
      </c>
      <c r="C1062" t="s">
        <v>7</v>
      </c>
      <c r="D1062" t="s">
        <v>275</v>
      </c>
      <c r="E1062" t="s">
        <v>11</v>
      </c>
      <c r="F1062" s="9">
        <v>11937.67</v>
      </c>
      <c r="G1062" s="4">
        <v>428</v>
      </c>
      <c r="H1062" s="8">
        <f t="shared" si="16"/>
        <v>428</v>
      </c>
      <c r="I1062" s="10">
        <v>5</v>
      </c>
    </row>
    <row r="1063" spans="1:9" ht="15.75" thickBot="1" x14ac:dyDescent="0.3">
      <c r="A1063" s="1">
        <v>43466</v>
      </c>
      <c r="B1063" s="8" t="s">
        <v>6</v>
      </c>
      <c r="C1063" t="s">
        <v>7</v>
      </c>
      <c r="D1063" t="s">
        <v>275</v>
      </c>
      <c r="E1063" t="s">
        <v>13</v>
      </c>
      <c r="F1063" s="9">
        <v>1177.8900000000001</v>
      </c>
      <c r="G1063" s="6">
        <v>79000</v>
      </c>
      <c r="H1063" s="8">
        <f t="shared" si="16"/>
        <v>79000</v>
      </c>
      <c r="I1063" s="10">
        <v>1</v>
      </c>
    </row>
    <row r="1064" spans="1:9" ht="15.75" thickBot="1" x14ac:dyDescent="0.3">
      <c r="A1064" s="1">
        <v>43466</v>
      </c>
      <c r="B1064" s="8" t="s">
        <v>6</v>
      </c>
      <c r="C1064" t="s">
        <v>7</v>
      </c>
      <c r="D1064" t="s">
        <v>276</v>
      </c>
      <c r="E1064" t="s">
        <v>10</v>
      </c>
      <c r="F1064" s="9">
        <v>98824.84</v>
      </c>
      <c r="G1064" s="6">
        <v>3528895.4049999998</v>
      </c>
      <c r="H1064" s="8">
        <f t="shared" si="16"/>
        <v>3528.8954049999998</v>
      </c>
      <c r="I1064" s="10">
        <v>247</v>
      </c>
    </row>
    <row r="1065" spans="1:9" ht="15.75" thickBot="1" x14ac:dyDescent="0.3">
      <c r="A1065" s="1">
        <v>43800</v>
      </c>
      <c r="B1065" s="8" t="s">
        <v>6</v>
      </c>
      <c r="C1065" t="s">
        <v>7</v>
      </c>
      <c r="D1065" t="s">
        <v>276</v>
      </c>
      <c r="E1065" t="s">
        <v>11</v>
      </c>
      <c r="F1065" s="9">
        <v>4138.4399999999996</v>
      </c>
      <c r="G1065" s="7">
        <v>26061</v>
      </c>
      <c r="H1065" s="8">
        <f t="shared" si="16"/>
        <v>26061</v>
      </c>
      <c r="I1065" s="10">
        <v>17</v>
      </c>
    </row>
    <row r="1066" spans="1:9" ht="15.75" thickBot="1" x14ac:dyDescent="0.3">
      <c r="A1066" s="1">
        <v>43800</v>
      </c>
      <c r="B1066" s="8" t="s">
        <v>6</v>
      </c>
      <c r="C1066" t="s">
        <v>7</v>
      </c>
      <c r="D1066" t="s">
        <v>276</v>
      </c>
      <c r="E1066" t="s">
        <v>13</v>
      </c>
      <c r="F1066" s="9">
        <v>616.07000000000005</v>
      </c>
      <c r="G1066" s="6">
        <v>22000</v>
      </c>
      <c r="H1066" s="8">
        <f t="shared" si="16"/>
        <v>22000</v>
      </c>
      <c r="I1066" s="10">
        <v>2</v>
      </c>
    </row>
    <row r="1067" spans="1:9" ht="15.75" thickBot="1" x14ac:dyDescent="0.3">
      <c r="A1067" s="1">
        <v>43800</v>
      </c>
      <c r="B1067" s="8" t="s">
        <v>6</v>
      </c>
      <c r="C1067" t="s">
        <v>7</v>
      </c>
      <c r="D1067" t="s">
        <v>277</v>
      </c>
      <c r="E1067" t="s">
        <v>9</v>
      </c>
      <c r="F1067" s="9">
        <v>16542.240000000002</v>
      </c>
      <c r="G1067" s="4">
        <v>557</v>
      </c>
      <c r="H1067" s="8">
        <f t="shared" si="16"/>
        <v>557</v>
      </c>
      <c r="I1067" s="10">
        <v>5</v>
      </c>
    </row>
    <row r="1068" spans="1:9" ht="15.75" thickBot="1" x14ac:dyDescent="0.3">
      <c r="A1068" s="1">
        <v>43800</v>
      </c>
      <c r="B1068" s="8" t="s">
        <v>6</v>
      </c>
      <c r="C1068" t="s">
        <v>7</v>
      </c>
      <c r="D1068" t="s">
        <v>277</v>
      </c>
      <c r="E1068" t="s">
        <v>15</v>
      </c>
      <c r="F1068" s="9">
        <v>473.2</v>
      </c>
      <c r="G1068" s="4">
        <v>10</v>
      </c>
      <c r="H1068" s="8">
        <f t="shared" si="16"/>
        <v>10</v>
      </c>
      <c r="I1068" s="10">
        <v>2</v>
      </c>
    </row>
    <row r="1069" spans="1:9" ht="15.75" thickBot="1" x14ac:dyDescent="0.3">
      <c r="A1069" s="1">
        <v>43466</v>
      </c>
      <c r="B1069" s="8" t="s">
        <v>6</v>
      </c>
      <c r="C1069" t="s">
        <v>7</v>
      </c>
      <c r="D1069" t="s">
        <v>277</v>
      </c>
      <c r="E1069" t="s">
        <v>10</v>
      </c>
      <c r="F1069" s="9">
        <v>343794.32</v>
      </c>
      <c r="G1069" s="7">
        <v>9262272.5519999992</v>
      </c>
      <c r="H1069" s="8">
        <f t="shared" si="16"/>
        <v>9262.2725519999985</v>
      </c>
      <c r="I1069" s="10">
        <v>1360</v>
      </c>
    </row>
    <row r="1070" spans="1:9" ht="15.75" thickBot="1" x14ac:dyDescent="0.3">
      <c r="A1070" s="1">
        <v>43466</v>
      </c>
      <c r="B1070" s="8" t="s">
        <v>6</v>
      </c>
      <c r="C1070" t="s">
        <v>7</v>
      </c>
      <c r="D1070" t="s">
        <v>277</v>
      </c>
      <c r="E1070" t="s">
        <v>17</v>
      </c>
      <c r="F1070" s="9">
        <v>683</v>
      </c>
      <c r="G1070" s="4">
        <v>25</v>
      </c>
      <c r="H1070" s="8">
        <f t="shared" si="16"/>
        <v>25</v>
      </c>
      <c r="I1070" s="10">
        <v>1</v>
      </c>
    </row>
    <row r="1071" spans="1:9" ht="15.75" thickBot="1" x14ac:dyDescent="0.3">
      <c r="A1071" s="1">
        <v>43466</v>
      </c>
      <c r="B1071" s="8" t="s">
        <v>6</v>
      </c>
      <c r="C1071" t="s">
        <v>7</v>
      </c>
      <c r="D1071" t="s">
        <v>277</v>
      </c>
      <c r="E1071" t="s">
        <v>11</v>
      </c>
      <c r="F1071" s="9">
        <v>142905.03</v>
      </c>
      <c r="G1071" s="7">
        <v>48987.620999999999</v>
      </c>
      <c r="H1071" s="8">
        <f t="shared" si="16"/>
        <v>48987.620999999999</v>
      </c>
      <c r="I1071" s="10">
        <v>17</v>
      </c>
    </row>
    <row r="1072" spans="1:9" ht="15.75" thickBot="1" x14ac:dyDescent="0.3">
      <c r="A1072" s="1">
        <v>43800</v>
      </c>
      <c r="B1072" s="8" t="s">
        <v>6</v>
      </c>
      <c r="C1072" t="s">
        <v>7</v>
      </c>
      <c r="D1072" t="s">
        <v>277</v>
      </c>
      <c r="E1072" t="s">
        <v>13</v>
      </c>
      <c r="F1072" s="9">
        <v>3937.35</v>
      </c>
      <c r="G1072" s="6">
        <v>118320</v>
      </c>
      <c r="H1072" s="8">
        <f t="shared" si="16"/>
        <v>118320</v>
      </c>
      <c r="I1072" s="10">
        <v>17</v>
      </c>
    </row>
    <row r="1073" spans="1:9" ht="15.75" thickBot="1" x14ac:dyDescent="0.3">
      <c r="A1073" s="1">
        <v>43800</v>
      </c>
      <c r="B1073" s="8" t="s">
        <v>6</v>
      </c>
      <c r="C1073" t="s">
        <v>7</v>
      </c>
      <c r="D1073" t="s">
        <v>278</v>
      </c>
      <c r="E1073" t="s">
        <v>9</v>
      </c>
      <c r="F1073" s="9">
        <v>3529.1</v>
      </c>
      <c r="G1073" s="4">
        <v>120</v>
      </c>
      <c r="H1073" s="8">
        <f t="shared" si="16"/>
        <v>120</v>
      </c>
      <c r="I1073" s="10">
        <v>3</v>
      </c>
    </row>
    <row r="1074" spans="1:9" ht="15.75" thickBot="1" x14ac:dyDescent="0.3">
      <c r="A1074" s="1">
        <v>43800</v>
      </c>
      <c r="B1074" s="8" t="s">
        <v>6</v>
      </c>
      <c r="C1074" t="s">
        <v>7</v>
      </c>
      <c r="D1074" t="s">
        <v>278</v>
      </c>
      <c r="E1074" t="s">
        <v>15</v>
      </c>
      <c r="F1074" s="9">
        <v>1776.18</v>
      </c>
      <c r="G1074" s="4">
        <v>7</v>
      </c>
      <c r="H1074" s="8">
        <f t="shared" si="16"/>
        <v>7</v>
      </c>
      <c r="I1074" s="10">
        <v>4</v>
      </c>
    </row>
    <row r="1075" spans="1:9" ht="15.75" thickBot="1" x14ac:dyDescent="0.3">
      <c r="A1075" s="1">
        <v>43800</v>
      </c>
      <c r="B1075" s="8" t="s">
        <v>6</v>
      </c>
      <c r="C1075" t="s">
        <v>7</v>
      </c>
      <c r="D1075" t="s">
        <v>278</v>
      </c>
      <c r="E1075" t="s">
        <v>10</v>
      </c>
      <c r="F1075" s="9">
        <v>181194.49</v>
      </c>
      <c r="G1075" s="6">
        <v>6714180.1469999999</v>
      </c>
      <c r="H1075" s="8">
        <f t="shared" si="16"/>
        <v>6714.180147</v>
      </c>
      <c r="I1075" s="10">
        <v>503</v>
      </c>
    </row>
    <row r="1076" spans="1:9" ht="15.75" thickBot="1" x14ac:dyDescent="0.3">
      <c r="A1076" s="1">
        <v>43466</v>
      </c>
      <c r="B1076" s="8" t="s">
        <v>6</v>
      </c>
      <c r="C1076" t="s">
        <v>7</v>
      </c>
      <c r="D1076" t="s">
        <v>278</v>
      </c>
      <c r="E1076" t="s">
        <v>11</v>
      </c>
      <c r="F1076" s="9">
        <v>834.52</v>
      </c>
      <c r="G1076" s="7">
        <v>5003</v>
      </c>
      <c r="H1076" s="8">
        <f t="shared" si="16"/>
        <v>5003</v>
      </c>
      <c r="I1076" s="10">
        <v>10</v>
      </c>
    </row>
    <row r="1077" spans="1:9" ht="15.75" thickBot="1" x14ac:dyDescent="0.3">
      <c r="A1077" s="1">
        <v>43466</v>
      </c>
      <c r="B1077" s="8" t="s">
        <v>6</v>
      </c>
      <c r="C1077" t="s">
        <v>7</v>
      </c>
      <c r="D1077" t="s">
        <v>278</v>
      </c>
      <c r="E1077" t="s">
        <v>13</v>
      </c>
      <c r="F1077" s="9">
        <v>1043.71</v>
      </c>
      <c r="G1077" s="6">
        <v>41000</v>
      </c>
      <c r="H1077" s="8">
        <f t="shared" si="16"/>
        <v>41000</v>
      </c>
      <c r="I1077" s="10">
        <v>3</v>
      </c>
    </row>
    <row r="1078" spans="1:9" ht="15.75" thickBot="1" x14ac:dyDescent="0.3">
      <c r="A1078" s="1">
        <v>43466</v>
      </c>
      <c r="B1078" s="8" t="s">
        <v>6</v>
      </c>
      <c r="C1078" t="s">
        <v>7</v>
      </c>
      <c r="D1078" t="s">
        <v>279</v>
      </c>
      <c r="E1078" t="s">
        <v>9</v>
      </c>
      <c r="F1078" s="9">
        <v>56695.199999999997</v>
      </c>
      <c r="G1078" s="7">
        <v>69766.797000000006</v>
      </c>
      <c r="H1078" s="8">
        <f t="shared" si="16"/>
        <v>69766.797000000006</v>
      </c>
      <c r="I1078" s="10">
        <v>50</v>
      </c>
    </row>
    <row r="1079" spans="1:9" ht="15.75" thickBot="1" x14ac:dyDescent="0.3">
      <c r="A1079" s="1">
        <v>43800</v>
      </c>
      <c r="B1079" s="8" t="s">
        <v>6</v>
      </c>
      <c r="C1079" t="s">
        <v>7</v>
      </c>
      <c r="D1079" t="s">
        <v>279</v>
      </c>
      <c r="E1079" t="s">
        <v>15</v>
      </c>
      <c r="F1079" s="9">
        <v>18221.36</v>
      </c>
      <c r="G1079" s="4">
        <v>403</v>
      </c>
      <c r="H1079" s="8">
        <f t="shared" si="16"/>
        <v>403</v>
      </c>
      <c r="I1079" s="10">
        <v>11</v>
      </c>
    </row>
    <row r="1080" spans="1:9" ht="15.75" thickBot="1" x14ac:dyDescent="0.3">
      <c r="A1080" s="1">
        <v>43800</v>
      </c>
      <c r="B1080" s="8" t="s">
        <v>6</v>
      </c>
      <c r="C1080" t="s">
        <v>7</v>
      </c>
      <c r="D1080" t="s">
        <v>279</v>
      </c>
      <c r="E1080" t="s">
        <v>10</v>
      </c>
      <c r="F1080" s="9">
        <v>403226.15</v>
      </c>
      <c r="G1080" s="6">
        <v>14517088.67</v>
      </c>
      <c r="H1080" s="8">
        <f t="shared" si="16"/>
        <v>14517.088669999999</v>
      </c>
      <c r="I1080" s="10">
        <v>1068</v>
      </c>
    </row>
    <row r="1081" spans="1:9" ht="15.75" thickBot="1" x14ac:dyDescent="0.3">
      <c r="A1081" s="1">
        <v>43800</v>
      </c>
      <c r="B1081" s="8" t="s">
        <v>6</v>
      </c>
      <c r="C1081" t="s">
        <v>7</v>
      </c>
      <c r="D1081" t="s">
        <v>279</v>
      </c>
      <c r="E1081" t="s">
        <v>11</v>
      </c>
      <c r="F1081" s="9">
        <v>25523.17</v>
      </c>
      <c r="G1081" s="7">
        <v>16629.197</v>
      </c>
      <c r="H1081" s="8">
        <f t="shared" si="16"/>
        <v>16629.197</v>
      </c>
      <c r="I1081" s="10">
        <v>25</v>
      </c>
    </row>
    <row r="1082" spans="1:9" ht="15.75" thickBot="1" x14ac:dyDescent="0.3">
      <c r="A1082" s="1">
        <v>43800</v>
      </c>
      <c r="B1082" s="8" t="s">
        <v>6</v>
      </c>
      <c r="C1082" t="s">
        <v>7</v>
      </c>
      <c r="D1082" t="s">
        <v>279</v>
      </c>
      <c r="E1082" t="s">
        <v>13</v>
      </c>
      <c r="F1082" s="9">
        <v>1536.91</v>
      </c>
      <c r="G1082" s="6">
        <v>49410</v>
      </c>
      <c r="H1082" s="8">
        <f t="shared" si="16"/>
        <v>49410</v>
      </c>
      <c r="I1082" s="10">
        <v>8</v>
      </c>
    </row>
    <row r="1083" spans="1:9" ht="15.75" thickBot="1" x14ac:dyDescent="0.3">
      <c r="A1083" s="1">
        <v>43466</v>
      </c>
      <c r="B1083" s="8" t="s">
        <v>6</v>
      </c>
      <c r="C1083" t="s">
        <v>7</v>
      </c>
      <c r="D1083" t="s">
        <v>280</v>
      </c>
      <c r="E1083" t="s">
        <v>9</v>
      </c>
      <c r="F1083" s="9">
        <v>2638.71</v>
      </c>
      <c r="G1083" s="4">
        <v>74</v>
      </c>
      <c r="H1083" s="8">
        <f t="shared" si="16"/>
        <v>74</v>
      </c>
      <c r="I1083" s="10">
        <v>1</v>
      </c>
    </row>
    <row r="1084" spans="1:9" ht="15.75" thickBot="1" x14ac:dyDescent="0.3">
      <c r="A1084" s="1">
        <v>43466</v>
      </c>
      <c r="B1084" s="8" t="s">
        <v>6</v>
      </c>
      <c r="C1084" t="s">
        <v>7</v>
      </c>
      <c r="D1084" t="s">
        <v>280</v>
      </c>
      <c r="E1084" t="s">
        <v>10</v>
      </c>
      <c r="F1084" s="9">
        <v>91709.19</v>
      </c>
      <c r="G1084" s="6">
        <v>3427113.2510000002</v>
      </c>
      <c r="H1084" s="8">
        <f t="shared" si="16"/>
        <v>3427.1132510000002</v>
      </c>
      <c r="I1084" s="10">
        <v>325</v>
      </c>
    </row>
    <row r="1085" spans="1:9" ht="15.75" thickBot="1" x14ac:dyDescent="0.3">
      <c r="A1085" s="1">
        <v>43466</v>
      </c>
      <c r="B1085" s="8" t="s">
        <v>6</v>
      </c>
      <c r="C1085" t="s">
        <v>7</v>
      </c>
      <c r="D1085" t="s">
        <v>280</v>
      </c>
      <c r="E1085" t="s">
        <v>11</v>
      </c>
      <c r="F1085" s="9">
        <v>672.24</v>
      </c>
      <c r="G1085" s="6">
        <v>21000</v>
      </c>
      <c r="H1085" s="8">
        <f t="shared" si="16"/>
        <v>21000</v>
      </c>
      <c r="I1085" s="10">
        <v>1</v>
      </c>
    </row>
    <row r="1086" spans="1:9" ht="15.75" thickBot="1" x14ac:dyDescent="0.3">
      <c r="A1086" s="1">
        <v>43800</v>
      </c>
      <c r="B1086" s="8" t="s">
        <v>6</v>
      </c>
      <c r="C1086" t="s">
        <v>7</v>
      </c>
      <c r="D1086" t="s">
        <v>280</v>
      </c>
      <c r="E1086" t="s">
        <v>13</v>
      </c>
      <c r="F1086" s="9">
        <v>785.93</v>
      </c>
      <c r="G1086" s="6">
        <v>26000</v>
      </c>
      <c r="H1086" s="8">
        <f t="shared" si="16"/>
        <v>26000</v>
      </c>
      <c r="I1086" s="10">
        <v>4</v>
      </c>
    </row>
    <row r="1087" spans="1:9" ht="15.75" thickBot="1" x14ac:dyDescent="0.3">
      <c r="A1087" s="1">
        <v>43800</v>
      </c>
      <c r="B1087" s="8" t="s">
        <v>6</v>
      </c>
      <c r="C1087" t="s">
        <v>7</v>
      </c>
      <c r="D1087" t="s">
        <v>281</v>
      </c>
      <c r="E1087" t="s">
        <v>10</v>
      </c>
      <c r="F1087" s="9">
        <v>8914.06</v>
      </c>
      <c r="G1087" s="6">
        <v>254000</v>
      </c>
      <c r="H1087" s="8">
        <f t="shared" si="16"/>
        <v>254</v>
      </c>
      <c r="I1087" s="10">
        <v>20</v>
      </c>
    </row>
    <row r="1088" spans="1:9" ht="15.75" thickBot="1" x14ac:dyDescent="0.3">
      <c r="A1088" s="1">
        <v>43800</v>
      </c>
      <c r="B1088" s="8" t="s">
        <v>6</v>
      </c>
      <c r="C1088" t="s">
        <v>7</v>
      </c>
      <c r="D1088" t="s">
        <v>281</v>
      </c>
      <c r="E1088" t="s">
        <v>13</v>
      </c>
      <c r="F1088" s="9">
        <v>508.68</v>
      </c>
      <c r="G1088" s="6">
        <v>17000</v>
      </c>
      <c r="H1088" s="8">
        <f t="shared" si="16"/>
        <v>17000</v>
      </c>
      <c r="I1088" s="10">
        <v>1</v>
      </c>
    </row>
    <row r="1089" spans="1:9" ht="15.75" thickBot="1" x14ac:dyDescent="0.3">
      <c r="A1089" s="1">
        <v>43800</v>
      </c>
      <c r="B1089" s="8" t="s">
        <v>6</v>
      </c>
      <c r="C1089" t="s">
        <v>7</v>
      </c>
      <c r="D1089" t="s">
        <v>282</v>
      </c>
      <c r="E1089" t="s">
        <v>9</v>
      </c>
      <c r="F1089" s="9">
        <v>10754</v>
      </c>
      <c r="G1089" s="4">
        <v>325</v>
      </c>
      <c r="H1089" s="8">
        <f t="shared" si="16"/>
        <v>325</v>
      </c>
      <c r="I1089" s="10">
        <v>3</v>
      </c>
    </row>
    <row r="1090" spans="1:9" ht="15.75" thickBot="1" x14ac:dyDescent="0.3">
      <c r="A1090" s="1">
        <v>43466</v>
      </c>
      <c r="B1090" s="8" t="s">
        <v>6</v>
      </c>
      <c r="C1090" t="s">
        <v>7</v>
      </c>
      <c r="D1090" t="s">
        <v>282</v>
      </c>
      <c r="E1090" t="s">
        <v>15</v>
      </c>
      <c r="F1090" s="9">
        <v>1056.2</v>
      </c>
      <c r="G1090" s="4">
        <v>35</v>
      </c>
      <c r="H1090" s="8">
        <f t="shared" ref="H1090:H1153" si="17">IF(ISNUMBER(SEARCH("Domestic customer", E1090)),G1090/1000,G1090)</f>
        <v>35</v>
      </c>
      <c r="I1090" s="10">
        <v>1</v>
      </c>
    </row>
    <row r="1091" spans="1:9" ht="15.75" thickBot="1" x14ac:dyDescent="0.3">
      <c r="A1091" s="1">
        <v>43466</v>
      </c>
      <c r="B1091" s="8" t="s">
        <v>6</v>
      </c>
      <c r="C1091" t="s">
        <v>7</v>
      </c>
      <c r="D1091" t="s">
        <v>282</v>
      </c>
      <c r="E1091" t="s">
        <v>10</v>
      </c>
      <c r="F1091" s="9">
        <v>68829.31</v>
      </c>
      <c r="G1091" s="6">
        <v>2368389.2450000001</v>
      </c>
      <c r="H1091" s="8">
        <f t="shared" si="17"/>
        <v>2368.3892450000003</v>
      </c>
      <c r="I1091" s="10">
        <v>211</v>
      </c>
    </row>
    <row r="1092" spans="1:9" ht="15.75" thickBot="1" x14ac:dyDescent="0.3">
      <c r="A1092" s="1">
        <v>43466</v>
      </c>
      <c r="B1092" s="8" t="s">
        <v>6</v>
      </c>
      <c r="C1092" t="s">
        <v>7</v>
      </c>
      <c r="D1092" t="s">
        <v>282</v>
      </c>
      <c r="E1092" t="s">
        <v>13</v>
      </c>
      <c r="F1092" s="9">
        <v>256.19</v>
      </c>
      <c r="G1092" s="6">
        <v>9000</v>
      </c>
      <c r="H1092" s="8">
        <f t="shared" si="17"/>
        <v>9000</v>
      </c>
      <c r="I1092" s="10">
        <v>1</v>
      </c>
    </row>
    <row r="1093" spans="1:9" ht="15.75" thickBot="1" x14ac:dyDescent="0.3">
      <c r="A1093" s="1">
        <v>43800</v>
      </c>
      <c r="B1093" s="8" t="s">
        <v>6</v>
      </c>
      <c r="C1093" t="s">
        <v>7</v>
      </c>
      <c r="D1093" t="s">
        <v>283</v>
      </c>
      <c r="E1093" t="s">
        <v>15</v>
      </c>
      <c r="F1093" s="9">
        <v>400</v>
      </c>
      <c r="G1093" s="4">
        <v>0</v>
      </c>
      <c r="H1093" s="8">
        <f t="shared" si="17"/>
        <v>0</v>
      </c>
      <c r="I1093" s="10">
        <v>1</v>
      </c>
    </row>
    <row r="1094" spans="1:9" ht="15.75" thickBot="1" x14ac:dyDescent="0.3">
      <c r="A1094" s="1">
        <v>43800</v>
      </c>
      <c r="B1094" s="8" t="s">
        <v>6</v>
      </c>
      <c r="C1094" t="s">
        <v>7</v>
      </c>
      <c r="D1094" t="s">
        <v>283</v>
      </c>
      <c r="E1094" t="s">
        <v>10</v>
      </c>
      <c r="F1094" s="9">
        <v>178149.93</v>
      </c>
      <c r="G1094" s="6">
        <v>6105093.6730000004</v>
      </c>
      <c r="H1094" s="8">
        <f t="shared" si="17"/>
        <v>6105.0936730000003</v>
      </c>
      <c r="I1094" s="10">
        <v>443</v>
      </c>
    </row>
    <row r="1095" spans="1:9" ht="15.75" thickBot="1" x14ac:dyDescent="0.3">
      <c r="A1095" s="1">
        <v>43800</v>
      </c>
      <c r="B1095" s="8" t="s">
        <v>6</v>
      </c>
      <c r="C1095" t="s">
        <v>7</v>
      </c>
      <c r="D1095" t="s">
        <v>283</v>
      </c>
      <c r="E1095" t="s">
        <v>11</v>
      </c>
      <c r="F1095" s="9">
        <v>7771.76</v>
      </c>
      <c r="G1095" s="7">
        <v>99862.5</v>
      </c>
      <c r="H1095" s="8">
        <f t="shared" si="17"/>
        <v>99862.5</v>
      </c>
      <c r="I1095" s="10">
        <v>5</v>
      </c>
    </row>
    <row r="1096" spans="1:9" ht="15.75" thickBot="1" x14ac:dyDescent="0.3">
      <c r="A1096" s="1">
        <v>43800</v>
      </c>
      <c r="B1096" s="8" t="s">
        <v>6</v>
      </c>
      <c r="C1096" t="s">
        <v>7</v>
      </c>
      <c r="D1096" t="s">
        <v>283</v>
      </c>
      <c r="E1096" t="s">
        <v>13</v>
      </c>
      <c r="F1096" s="9">
        <v>1728.37</v>
      </c>
      <c r="G1096" s="6">
        <v>60000</v>
      </c>
      <c r="H1096" s="8">
        <f t="shared" si="17"/>
        <v>60000</v>
      </c>
      <c r="I1096" s="10">
        <v>3</v>
      </c>
    </row>
    <row r="1097" spans="1:9" ht="15.75" thickBot="1" x14ac:dyDescent="0.3">
      <c r="A1097" s="1">
        <v>43466</v>
      </c>
      <c r="B1097" s="8" t="s">
        <v>6</v>
      </c>
      <c r="C1097" t="s">
        <v>7</v>
      </c>
      <c r="D1097" t="s">
        <v>284</v>
      </c>
      <c r="E1097" t="s">
        <v>9</v>
      </c>
      <c r="F1097" s="9">
        <v>3778.92</v>
      </c>
      <c r="G1097" s="4">
        <v>131</v>
      </c>
      <c r="H1097" s="8">
        <f t="shared" si="17"/>
        <v>131</v>
      </c>
      <c r="I1097" s="10">
        <v>2</v>
      </c>
    </row>
    <row r="1098" spans="1:9" ht="15.75" thickBot="1" x14ac:dyDescent="0.3">
      <c r="A1098" s="1">
        <v>43466</v>
      </c>
      <c r="B1098" s="8" t="s">
        <v>6</v>
      </c>
      <c r="C1098" t="s">
        <v>7</v>
      </c>
      <c r="D1098" t="s">
        <v>284</v>
      </c>
      <c r="E1098" t="s">
        <v>15</v>
      </c>
      <c r="F1098" s="9">
        <v>100</v>
      </c>
      <c r="G1098" s="4">
        <v>0</v>
      </c>
      <c r="H1098" s="8">
        <f t="shared" si="17"/>
        <v>0</v>
      </c>
      <c r="I1098" s="10">
        <v>1</v>
      </c>
    </row>
    <row r="1099" spans="1:9" ht="15.75" thickBot="1" x14ac:dyDescent="0.3">
      <c r="A1099" s="1">
        <v>43466</v>
      </c>
      <c r="B1099" s="8" t="s">
        <v>6</v>
      </c>
      <c r="C1099" t="s">
        <v>7</v>
      </c>
      <c r="D1099" t="s">
        <v>284</v>
      </c>
      <c r="E1099" t="s">
        <v>10</v>
      </c>
      <c r="F1099" s="9">
        <v>143461.14000000001</v>
      </c>
      <c r="G1099" s="7">
        <v>4442646.7479999997</v>
      </c>
      <c r="H1099" s="8">
        <f t="shared" si="17"/>
        <v>4442.6467480000001</v>
      </c>
      <c r="I1099" s="10">
        <v>291</v>
      </c>
    </row>
    <row r="1100" spans="1:9" ht="15.75" thickBot="1" x14ac:dyDescent="0.3">
      <c r="A1100" s="1">
        <v>43800</v>
      </c>
      <c r="B1100" s="8" t="s">
        <v>6</v>
      </c>
      <c r="C1100" t="s">
        <v>7</v>
      </c>
      <c r="D1100" t="s">
        <v>284</v>
      </c>
      <c r="E1100" t="s">
        <v>11</v>
      </c>
      <c r="F1100" s="9">
        <v>1156.02</v>
      </c>
      <c r="G1100" s="7">
        <v>3021</v>
      </c>
      <c r="H1100" s="8">
        <f t="shared" si="17"/>
        <v>3021</v>
      </c>
      <c r="I1100" s="10">
        <v>4</v>
      </c>
    </row>
    <row r="1101" spans="1:9" ht="15.75" thickBot="1" x14ac:dyDescent="0.3">
      <c r="A1101" s="1">
        <v>43800</v>
      </c>
      <c r="B1101" s="8" t="s">
        <v>6</v>
      </c>
      <c r="C1101" t="s">
        <v>7</v>
      </c>
      <c r="D1101" t="s">
        <v>284</v>
      </c>
      <c r="E1101" t="s">
        <v>13</v>
      </c>
      <c r="F1101" s="9">
        <v>465.64</v>
      </c>
      <c r="G1101" s="6">
        <v>16000</v>
      </c>
      <c r="H1101" s="8">
        <f t="shared" si="17"/>
        <v>16000</v>
      </c>
      <c r="I1101" s="10">
        <v>1</v>
      </c>
    </row>
    <row r="1102" spans="1:9" ht="15.75" thickBot="1" x14ac:dyDescent="0.3">
      <c r="A1102" s="1">
        <v>43800</v>
      </c>
      <c r="B1102" s="8" t="s">
        <v>6</v>
      </c>
      <c r="C1102" t="s">
        <v>7</v>
      </c>
      <c r="D1102" t="s">
        <v>285</v>
      </c>
      <c r="E1102" t="s">
        <v>10</v>
      </c>
      <c r="F1102" s="9">
        <v>60411.51</v>
      </c>
      <c r="G1102" s="7">
        <v>1855286.5</v>
      </c>
      <c r="H1102" s="8">
        <f t="shared" si="17"/>
        <v>1855.2864999999999</v>
      </c>
      <c r="I1102" s="10">
        <v>165</v>
      </c>
    </row>
    <row r="1103" spans="1:9" ht="15.75" thickBot="1" x14ac:dyDescent="0.3">
      <c r="A1103" s="1">
        <v>43800</v>
      </c>
      <c r="B1103" s="8" t="s">
        <v>6</v>
      </c>
      <c r="C1103" t="s">
        <v>7</v>
      </c>
      <c r="D1103" t="s">
        <v>285</v>
      </c>
      <c r="E1103" t="s">
        <v>11</v>
      </c>
      <c r="F1103" s="9">
        <v>939.62</v>
      </c>
      <c r="G1103" s="6">
        <v>23000</v>
      </c>
      <c r="H1103" s="8">
        <f t="shared" si="17"/>
        <v>23000</v>
      </c>
      <c r="I1103" s="10">
        <v>4</v>
      </c>
    </row>
    <row r="1104" spans="1:9" ht="15.75" thickBot="1" x14ac:dyDescent="0.3">
      <c r="A1104" s="1">
        <v>43466</v>
      </c>
      <c r="B1104" s="8" t="s">
        <v>6</v>
      </c>
      <c r="C1104" t="s">
        <v>7</v>
      </c>
      <c r="D1104" t="s">
        <v>285</v>
      </c>
      <c r="E1104" t="s">
        <v>13</v>
      </c>
      <c r="F1104" s="9">
        <v>114.91</v>
      </c>
      <c r="G1104" s="6">
        <v>1000</v>
      </c>
      <c r="H1104" s="8">
        <f t="shared" si="17"/>
        <v>1000</v>
      </c>
      <c r="I1104" s="10">
        <v>1</v>
      </c>
    </row>
    <row r="1105" spans="1:9" ht="15.75" thickBot="1" x14ac:dyDescent="0.3">
      <c r="A1105" s="1">
        <v>43466</v>
      </c>
      <c r="B1105" s="8" t="s">
        <v>6</v>
      </c>
      <c r="C1105" t="s">
        <v>7</v>
      </c>
      <c r="D1105" t="s">
        <v>286</v>
      </c>
      <c r="E1105" t="s">
        <v>10</v>
      </c>
      <c r="F1105" s="9">
        <v>1178.79</v>
      </c>
      <c r="G1105" s="6">
        <v>14000</v>
      </c>
      <c r="H1105" s="8">
        <f t="shared" si="17"/>
        <v>14</v>
      </c>
      <c r="I1105" s="10">
        <v>7</v>
      </c>
    </row>
    <row r="1106" spans="1:9" ht="15.75" thickBot="1" x14ac:dyDescent="0.3">
      <c r="A1106" s="1">
        <v>43466</v>
      </c>
      <c r="B1106" s="8" t="s">
        <v>6</v>
      </c>
      <c r="C1106" t="s">
        <v>7</v>
      </c>
      <c r="D1106" t="s">
        <v>286</v>
      </c>
      <c r="E1106" t="s">
        <v>11</v>
      </c>
      <c r="F1106" s="9">
        <v>2410.94</v>
      </c>
      <c r="G1106" s="4">
        <v>59</v>
      </c>
      <c r="H1106" s="8">
        <f t="shared" si="17"/>
        <v>59</v>
      </c>
      <c r="I1106" s="10">
        <v>11</v>
      </c>
    </row>
    <row r="1107" spans="1:9" ht="15.75" thickBot="1" x14ac:dyDescent="0.3">
      <c r="A1107" s="1">
        <v>43800</v>
      </c>
      <c r="B1107" s="8" t="s">
        <v>6</v>
      </c>
      <c r="C1107" t="s">
        <v>7</v>
      </c>
      <c r="D1107" t="s">
        <v>287</v>
      </c>
      <c r="E1107" t="s">
        <v>15</v>
      </c>
      <c r="F1107" s="9">
        <v>0</v>
      </c>
      <c r="G1107" s="4">
        <v>606</v>
      </c>
      <c r="H1107" s="8">
        <f t="shared" si="17"/>
        <v>606</v>
      </c>
      <c r="I1107" s="10">
        <v>1</v>
      </c>
    </row>
    <row r="1108" spans="1:9" ht="15.75" thickBot="1" x14ac:dyDescent="0.3">
      <c r="A1108" s="1">
        <v>43800</v>
      </c>
      <c r="B1108" s="8" t="s">
        <v>6</v>
      </c>
      <c r="C1108" t="s">
        <v>7</v>
      </c>
      <c r="D1108" t="s">
        <v>287</v>
      </c>
      <c r="E1108" t="s">
        <v>11</v>
      </c>
      <c r="F1108" s="9">
        <v>14248.77</v>
      </c>
      <c r="G1108" s="4">
        <v>460</v>
      </c>
      <c r="H1108" s="8">
        <f t="shared" si="17"/>
        <v>460</v>
      </c>
      <c r="I1108" s="10">
        <v>2</v>
      </c>
    </row>
    <row r="1109" spans="1:9" ht="15.75" thickBot="1" x14ac:dyDescent="0.3">
      <c r="A1109" s="1">
        <v>43800</v>
      </c>
      <c r="B1109" s="8" t="s">
        <v>6</v>
      </c>
      <c r="C1109" t="s">
        <v>7</v>
      </c>
      <c r="D1109" t="s">
        <v>288</v>
      </c>
      <c r="E1109" t="s">
        <v>15</v>
      </c>
      <c r="F1109" s="9">
        <v>56</v>
      </c>
      <c r="G1109" s="4">
        <v>0</v>
      </c>
      <c r="H1109" s="8">
        <f t="shared" si="17"/>
        <v>0</v>
      </c>
      <c r="I1109" s="10">
        <v>1</v>
      </c>
    </row>
    <row r="1110" spans="1:9" ht="15.75" thickBot="1" x14ac:dyDescent="0.3">
      <c r="A1110" s="1">
        <v>43800</v>
      </c>
      <c r="B1110" s="8" t="s">
        <v>6</v>
      </c>
      <c r="C1110" t="s">
        <v>7</v>
      </c>
      <c r="D1110" t="s">
        <v>288</v>
      </c>
      <c r="E1110" t="s">
        <v>10</v>
      </c>
      <c r="F1110" s="9">
        <v>23616.76</v>
      </c>
      <c r="G1110" s="6">
        <v>948134.29599999997</v>
      </c>
      <c r="H1110" s="8">
        <f t="shared" si="17"/>
        <v>948.13429599999995</v>
      </c>
      <c r="I1110" s="10">
        <v>165</v>
      </c>
    </row>
    <row r="1111" spans="1:9" ht="15.75" thickBot="1" x14ac:dyDescent="0.3">
      <c r="A1111" s="1">
        <v>43466</v>
      </c>
      <c r="B1111" s="8" t="s">
        <v>6</v>
      </c>
      <c r="C1111" t="s">
        <v>7</v>
      </c>
      <c r="D1111" t="s">
        <v>288</v>
      </c>
      <c r="E1111" t="s">
        <v>11</v>
      </c>
      <c r="F1111" s="9">
        <v>1956.58</v>
      </c>
      <c r="G1111" s="6">
        <v>62000</v>
      </c>
      <c r="H1111" s="8">
        <f t="shared" si="17"/>
        <v>62000</v>
      </c>
      <c r="I1111" s="10">
        <v>5</v>
      </c>
    </row>
    <row r="1112" spans="1:9" ht="15.75" thickBot="1" x14ac:dyDescent="0.3">
      <c r="A1112" s="1">
        <v>43466</v>
      </c>
      <c r="B1112" s="8" t="s">
        <v>6</v>
      </c>
      <c r="C1112" t="s">
        <v>7</v>
      </c>
      <c r="D1112" t="s">
        <v>289</v>
      </c>
      <c r="E1112" t="s">
        <v>9</v>
      </c>
      <c r="F1112" s="9">
        <v>2039.45</v>
      </c>
      <c r="G1112" s="7">
        <v>20678.5</v>
      </c>
      <c r="H1112" s="8">
        <f t="shared" si="17"/>
        <v>20678.5</v>
      </c>
      <c r="I1112" s="10">
        <v>2</v>
      </c>
    </row>
    <row r="1113" spans="1:9" ht="15.75" thickBot="1" x14ac:dyDescent="0.3">
      <c r="A1113" s="1">
        <v>43466</v>
      </c>
      <c r="B1113" s="8" t="s">
        <v>6</v>
      </c>
      <c r="C1113" t="s">
        <v>7</v>
      </c>
      <c r="D1113" t="s">
        <v>289</v>
      </c>
      <c r="E1113" t="s">
        <v>15</v>
      </c>
      <c r="F1113" s="9">
        <v>56</v>
      </c>
      <c r="G1113" s="4">
        <v>0</v>
      </c>
      <c r="H1113" s="8">
        <f t="shared" si="17"/>
        <v>0</v>
      </c>
      <c r="I1113" s="10">
        <v>1</v>
      </c>
    </row>
    <row r="1114" spans="1:9" ht="15.75" thickBot="1" x14ac:dyDescent="0.3">
      <c r="A1114" s="1">
        <v>43800</v>
      </c>
      <c r="B1114" s="8" t="s">
        <v>6</v>
      </c>
      <c r="C1114" t="s">
        <v>7</v>
      </c>
      <c r="D1114" t="s">
        <v>289</v>
      </c>
      <c r="E1114" t="s">
        <v>10</v>
      </c>
      <c r="F1114" s="9">
        <v>173577.01</v>
      </c>
      <c r="G1114" s="6">
        <v>6554932.9800000004</v>
      </c>
      <c r="H1114" s="8">
        <f t="shared" si="17"/>
        <v>6554.9329800000005</v>
      </c>
      <c r="I1114" s="10">
        <v>457</v>
      </c>
    </row>
    <row r="1115" spans="1:9" ht="15.75" thickBot="1" x14ac:dyDescent="0.3">
      <c r="A1115" s="1">
        <v>43800</v>
      </c>
      <c r="B1115" s="8" t="s">
        <v>6</v>
      </c>
      <c r="C1115" t="s">
        <v>7</v>
      </c>
      <c r="D1115" t="s">
        <v>289</v>
      </c>
      <c r="E1115" t="s">
        <v>11</v>
      </c>
      <c r="F1115" s="9">
        <v>26593.24</v>
      </c>
      <c r="G1115" s="7">
        <v>401376.14399999997</v>
      </c>
      <c r="H1115" s="8">
        <f t="shared" si="17"/>
        <v>401376.14399999997</v>
      </c>
      <c r="I1115" s="10">
        <v>11</v>
      </c>
    </row>
    <row r="1116" spans="1:9" ht="15.75" thickBot="1" x14ac:dyDescent="0.3">
      <c r="A1116" s="1">
        <v>43800</v>
      </c>
      <c r="B1116" s="8" t="s">
        <v>6</v>
      </c>
      <c r="C1116" t="s">
        <v>7</v>
      </c>
      <c r="D1116" t="s">
        <v>289</v>
      </c>
      <c r="E1116" t="s">
        <v>13</v>
      </c>
      <c r="F1116" s="9">
        <v>251.76</v>
      </c>
      <c r="G1116" s="6">
        <v>9000</v>
      </c>
      <c r="H1116" s="8">
        <f t="shared" si="17"/>
        <v>9000</v>
      </c>
      <c r="I1116" s="10">
        <v>2</v>
      </c>
    </row>
    <row r="1117" spans="1:9" ht="15.75" thickBot="1" x14ac:dyDescent="0.3">
      <c r="A1117" s="1">
        <v>43800</v>
      </c>
      <c r="B1117" s="8" t="s">
        <v>6</v>
      </c>
      <c r="C1117" t="s">
        <v>7</v>
      </c>
      <c r="D1117" t="s">
        <v>290</v>
      </c>
      <c r="E1117" t="s">
        <v>9</v>
      </c>
      <c r="F1117" s="9">
        <v>104647.86</v>
      </c>
      <c r="G1117" s="4">
        <v>3072</v>
      </c>
      <c r="H1117" s="8">
        <f t="shared" si="17"/>
        <v>3072</v>
      </c>
      <c r="I1117" s="10">
        <v>55</v>
      </c>
    </row>
    <row r="1118" spans="1:9" ht="15.75" thickBot="1" x14ac:dyDescent="0.3">
      <c r="A1118" s="1">
        <v>43466</v>
      </c>
      <c r="B1118" s="8" t="s">
        <v>6</v>
      </c>
      <c r="C1118" t="s">
        <v>7</v>
      </c>
      <c r="D1118" t="s">
        <v>290</v>
      </c>
      <c r="E1118" t="s">
        <v>15</v>
      </c>
      <c r="F1118" s="9">
        <v>79691.210000000006</v>
      </c>
      <c r="G1118" s="4">
        <v>2641</v>
      </c>
      <c r="H1118" s="8">
        <f t="shared" si="17"/>
        <v>2641</v>
      </c>
      <c r="I1118" s="10">
        <v>15</v>
      </c>
    </row>
    <row r="1119" spans="1:9" ht="15.75" thickBot="1" x14ac:dyDescent="0.3">
      <c r="A1119" s="1">
        <v>43466</v>
      </c>
      <c r="B1119" s="8" t="s">
        <v>6</v>
      </c>
      <c r="C1119" t="s">
        <v>7</v>
      </c>
      <c r="D1119" t="s">
        <v>290</v>
      </c>
      <c r="E1119" t="s">
        <v>10</v>
      </c>
      <c r="F1119" s="9">
        <v>289776.46000000002</v>
      </c>
      <c r="G1119" s="6">
        <v>10752450.523</v>
      </c>
      <c r="H1119" s="8">
        <f t="shared" si="17"/>
        <v>10752.450523</v>
      </c>
      <c r="I1119" s="10">
        <v>883</v>
      </c>
    </row>
    <row r="1120" spans="1:9" ht="15.75" thickBot="1" x14ac:dyDescent="0.3">
      <c r="A1120" s="1">
        <v>43466</v>
      </c>
      <c r="B1120" s="8" t="s">
        <v>6</v>
      </c>
      <c r="C1120" t="s">
        <v>7</v>
      </c>
      <c r="D1120" t="s">
        <v>290</v>
      </c>
      <c r="E1120" t="s">
        <v>17</v>
      </c>
      <c r="F1120" s="9">
        <v>263.92</v>
      </c>
      <c r="G1120" s="4">
        <v>6</v>
      </c>
      <c r="H1120" s="8">
        <f t="shared" si="17"/>
        <v>6</v>
      </c>
      <c r="I1120" s="10">
        <v>1</v>
      </c>
    </row>
    <row r="1121" spans="1:9" ht="15.75" thickBot="1" x14ac:dyDescent="0.3">
      <c r="A1121" s="1">
        <v>43800</v>
      </c>
      <c r="B1121" s="8" t="s">
        <v>6</v>
      </c>
      <c r="C1121" t="s">
        <v>7</v>
      </c>
      <c r="D1121" t="s">
        <v>290</v>
      </c>
      <c r="E1121" t="s">
        <v>11</v>
      </c>
      <c r="F1121" s="9">
        <v>25767.7</v>
      </c>
      <c r="G1121" s="7">
        <v>81565.69</v>
      </c>
      <c r="H1121" s="8">
        <f t="shared" si="17"/>
        <v>81565.69</v>
      </c>
      <c r="I1121" s="10">
        <v>18</v>
      </c>
    </row>
    <row r="1122" spans="1:9" ht="15.75" thickBot="1" x14ac:dyDescent="0.3">
      <c r="A1122" s="1">
        <v>43800</v>
      </c>
      <c r="B1122" s="8" t="s">
        <v>6</v>
      </c>
      <c r="C1122" t="s">
        <v>7</v>
      </c>
      <c r="D1122" t="s">
        <v>290</v>
      </c>
      <c r="E1122" t="s">
        <v>13</v>
      </c>
      <c r="F1122" s="9">
        <v>3968.21</v>
      </c>
      <c r="G1122" s="7">
        <v>62076.415999999997</v>
      </c>
      <c r="H1122" s="8">
        <f t="shared" si="17"/>
        <v>62076.415999999997</v>
      </c>
      <c r="I1122" s="10">
        <v>8</v>
      </c>
    </row>
    <row r="1123" spans="1:9" ht="15.75" thickBot="1" x14ac:dyDescent="0.3">
      <c r="A1123" s="1">
        <v>43800</v>
      </c>
      <c r="B1123" s="8" t="s">
        <v>6</v>
      </c>
      <c r="C1123" t="s">
        <v>7</v>
      </c>
      <c r="D1123" t="s">
        <v>291</v>
      </c>
      <c r="E1123" t="s">
        <v>9</v>
      </c>
      <c r="F1123" s="9">
        <v>1840.56</v>
      </c>
      <c r="G1123" s="4">
        <v>58</v>
      </c>
      <c r="H1123" s="8">
        <f t="shared" si="17"/>
        <v>58</v>
      </c>
      <c r="I1123" s="10">
        <v>2</v>
      </c>
    </row>
    <row r="1124" spans="1:9" ht="15.75" thickBot="1" x14ac:dyDescent="0.3">
      <c r="A1124" s="1">
        <v>43800</v>
      </c>
      <c r="B1124" s="8" t="s">
        <v>6</v>
      </c>
      <c r="C1124" t="s">
        <v>7</v>
      </c>
      <c r="D1124" t="s">
        <v>291</v>
      </c>
      <c r="E1124" t="s">
        <v>10</v>
      </c>
      <c r="F1124" s="9">
        <v>28401.77</v>
      </c>
      <c r="G1124" s="6">
        <v>771000</v>
      </c>
      <c r="H1124" s="8">
        <f t="shared" si="17"/>
        <v>771</v>
      </c>
      <c r="I1124" s="10">
        <v>108</v>
      </c>
    </row>
    <row r="1125" spans="1:9" ht="15.75" thickBot="1" x14ac:dyDescent="0.3">
      <c r="A1125" s="1">
        <v>43466</v>
      </c>
      <c r="B1125" s="8" t="s">
        <v>6</v>
      </c>
      <c r="C1125" t="s">
        <v>7</v>
      </c>
      <c r="D1125" t="s">
        <v>291</v>
      </c>
      <c r="E1125" t="s">
        <v>13</v>
      </c>
      <c r="F1125" s="9">
        <v>129.82</v>
      </c>
      <c r="G1125" s="6">
        <v>2000</v>
      </c>
      <c r="H1125" s="8">
        <f t="shared" si="17"/>
        <v>2000</v>
      </c>
      <c r="I1125" s="10">
        <v>1</v>
      </c>
    </row>
    <row r="1126" spans="1:9" ht="15.75" thickBot="1" x14ac:dyDescent="0.3">
      <c r="A1126" s="1">
        <v>43466</v>
      </c>
      <c r="B1126" s="8" t="s">
        <v>6</v>
      </c>
      <c r="C1126" t="s">
        <v>7</v>
      </c>
      <c r="D1126" t="s">
        <v>292</v>
      </c>
      <c r="E1126" t="s">
        <v>9</v>
      </c>
      <c r="F1126" s="9">
        <v>6804.68</v>
      </c>
      <c r="G1126" s="4">
        <v>99</v>
      </c>
      <c r="H1126" s="8">
        <f t="shared" si="17"/>
        <v>99</v>
      </c>
      <c r="I1126" s="10">
        <v>6</v>
      </c>
    </row>
    <row r="1127" spans="1:9" ht="15.75" thickBot="1" x14ac:dyDescent="0.3">
      <c r="A1127" s="1">
        <v>43466</v>
      </c>
      <c r="B1127" s="8" t="s">
        <v>6</v>
      </c>
      <c r="C1127" t="s">
        <v>7</v>
      </c>
      <c r="D1127" t="s">
        <v>292</v>
      </c>
      <c r="E1127" t="s">
        <v>15</v>
      </c>
      <c r="F1127" s="9">
        <v>2312.92</v>
      </c>
      <c r="G1127" s="4">
        <v>81</v>
      </c>
      <c r="H1127" s="8">
        <f t="shared" si="17"/>
        <v>81</v>
      </c>
      <c r="I1127" s="10">
        <v>1</v>
      </c>
    </row>
    <row r="1128" spans="1:9" ht="15.75" thickBot="1" x14ac:dyDescent="0.3">
      <c r="A1128" s="1">
        <v>43800</v>
      </c>
      <c r="B1128" s="8" t="s">
        <v>6</v>
      </c>
      <c r="C1128" t="s">
        <v>7</v>
      </c>
      <c r="D1128" t="s">
        <v>292</v>
      </c>
      <c r="E1128" t="s">
        <v>10</v>
      </c>
      <c r="F1128" s="9">
        <v>516151.72</v>
      </c>
      <c r="G1128" s="7">
        <v>20089024.278000001</v>
      </c>
      <c r="H1128" s="8">
        <f t="shared" si="17"/>
        <v>20089.024278000001</v>
      </c>
      <c r="I1128" s="10">
        <v>1061</v>
      </c>
    </row>
    <row r="1129" spans="1:9" ht="15.75" thickBot="1" x14ac:dyDescent="0.3">
      <c r="A1129" s="1">
        <v>43800</v>
      </c>
      <c r="B1129" s="8" t="s">
        <v>6</v>
      </c>
      <c r="C1129" t="s">
        <v>7</v>
      </c>
      <c r="D1129" t="s">
        <v>292</v>
      </c>
      <c r="E1129" t="s">
        <v>11</v>
      </c>
      <c r="F1129" s="9">
        <v>2762.92</v>
      </c>
      <c r="G1129" s="4">
        <v>22</v>
      </c>
      <c r="H1129" s="8">
        <f t="shared" si="17"/>
        <v>22</v>
      </c>
      <c r="I1129" s="10">
        <v>28</v>
      </c>
    </row>
    <row r="1130" spans="1:9" ht="15.75" thickBot="1" x14ac:dyDescent="0.3">
      <c r="A1130" s="1">
        <v>43800</v>
      </c>
      <c r="B1130" s="8" t="s">
        <v>6</v>
      </c>
      <c r="C1130" t="s">
        <v>7</v>
      </c>
      <c r="D1130" t="s">
        <v>292</v>
      </c>
      <c r="E1130" t="s">
        <v>13</v>
      </c>
      <c r="F1130" s="9">
        <v>3124.81</v>
      </c>
      <c r="G1130" s="6">
        <v>99000</v>
      </c>
      <c r="H1130" s="8">
        <f t="shared" si="17"/>
        <v>99000</v>
      </c>
      <c r="I1130" s="10">
        <v>14</v>
      </c>
    </row>
    <row r="1131" spans="1:9" ht="15.75" thickBot="1" x14ac:dyDescent="0.3">
      <c r="A1131" s="1">
        <v>43800</v>
      </c>
      <c r="B1131" s="8" t="s">
        <v>6</v>
      </c>
      <c r="C1131" t="s">
        <v>7</v>
      </c>
      <c r="D1131" t="s">
        <v>293</v>
      </c>
      <c r="E1131" t="s">
        <v>9</v>
      </c>
      <c r="F1131" s="9">
        <v>1083.52</v>
      </c>
      <c r="G1131" s="4">
        <v>36</v>
      </c>
      <c r="H1131" s="8">
        <f t="shared" si="17"/>
        <v>36</v>
      </c>
      <c r="I1131" s="10">
        <v>1</v>
      </c>
    </row>
    <row r="1132" spans="1:9" ht="15.75" thickBot="1" x14ac:dyDescent="0.3">
      <c r="A1132" s="1">
        <v>43466</v>
      </c>
      <c r="B1132" s="8" t="s">
        <v>6</v>
      </c>
      <c r="C1132" t="s">
        <v>7</v>
      </c>
      <c r="D1132" t="s">
        <v>293</v>
      </c>
      <c r="E1132" t="s">
        <v>15</v>
      </c>
      <c r="F1132" s="9">
        <v>3513.87</v>
      </c>
      <c r="G1132" s="4">
        <v>118</v>
      </c>
      <c r="H1132" s="8">
        <f t="shared" si="17"/>
        <v>118</v>
      </c>
      <c r="I1132" s="10">
        <v>3</v>
      </c>
    </row>
    <row r="1133" spans="1:9" ht="15.75" thickBot="1" x14ac:dyDescent="0.3">
      <c r="A1133" s="1">
        <v>43466</v>
      </c>
      <c r="B1133" s="8" t="s">
        <v>6</v>
      </c>
      <c r="C1133" t="s">
        <v>7</v>
      </c>
      <c r="D1133" t="s">
        <v>293</v>
      </c>
      <c r="E1133" t="s">
        <v>10</v>
      </c>
      <c r="F1133" s="9">
        <v>83422.37</v>
      </c>
      <c r="G1133" s="6">
        <v>2212174.6</v>
      </c>
      <c r="H1133" s="8">
        <f t="shared" si="17"/>
        <v>2212.1746000000003</v>
      </c>
      <c r="I1133" s="10">
        <v>183</v>
      </c>
    </row>
    <row r="1134" spans="1:9" ht="15.75" thickBot="1" x14ac:dyDescent="0.3">
      <c r="A1134" s="1">
        <v>43466</v>
      </c>
      <c r="B1134" s="8" t="s">
        <v>6</v>
      </c>
      <c r="C1134" t="s">
        <v>7</v>
      </c>
      <c r="D1134" t="s">
        <v>293</v>
      </c>
      <c r="E1134" t="s">
        <v>13</v>
      </c>
      <c r="F1134" s="9">
        <v>100</v>
      </c>
      <c r="G1134" s="6">
        <v>0</v>
      </c>
      <c r="H1134" s="8">
        <f t="shared" si="17"/>
        <v>0</v>
      </c>
      <c r="I1134" s="10">
        <v>1</v>
      </c>
    </row>
    <row r="1135" spans="1:9" ht="15.75" thickBot="1" x14ac:dyDescent="0.3">
      <c r="A1135" s="1">
        <v>43800</v>
      </c>
      <c r="B1135" s="8" t="s">
        <v>6</v>
      </c>
      <c r="C1135" t="s">
        <v>7</v>
      </c>
      <c r="D1135" t="s">
        <v>294</v>
      </c>
      <c r="E1135" t="s">
        <v>9</v>
      </c>
      <c r="F1135" s="9">
        <v>29338.75</v>
      </c>
      <c r="G1135" s="4">
        <v>947</v>
      </c>
      <c r="H1135" s="8">
        <f t="shared" si="17"/>
        <v>947</v>
      </c>
      <c r="I1135" s="10">
        <v>27</v>
      </c>
    </row>
    <row r="1136" spans="1:9" ht="15.75" thickBot="1" x14ac:dyDescent="0.3">
      <c r="A1136" s="1">
        <v>43800</v>
      </c>
      <c r="B1136" s="8" t="s">
        <v>6</v>
      </c>
      <c r="C1136" t="s">
        <v>7</v>
      </c>
      <c r="D1136" t="s">
        <v>294</v>
      </c>
      <c r="E1136" t="s">
        <v>15</v>
      </c>
      <c r="F1136" s="9">
        <v>27850.880000000001</v>
      </c>
      <c r="G1136" s="4">
        <v>884</v>
      </c>
      <c r="H1136" s="8">
        <f t="shared" si="17"/>
        <v>884</v>
      </c>
      <c r="I1136" s="10">
        <v>6</v>
      </c>
    </row>
    <row r="1137" spans="1:9" ht="15.75" thickBot="1" x14ac:dyDescent="0.3">
      <c r="A1137" s="1">
        <v>43800</v>
      </c>
      <c r="B1137" s="8" t="s">
        <v>6</v>
      </c>
      <c r="C1137" t="s">
        <v>7</v>
      </c>
      <c r="D1137" t="s">
        <v>294</v>
      </c>
      <c r="E1137" t="s">
        <v>10</v>
      </c>
      <c r="F1137" s="9">
        <v>146052.47</v>
      </c>
      <c r="G1137" s="6">
        <v>4533064.7690000003</v>
      </c>
      <c r="H1137" s="8">
        <f t="shared" si="17"/>
        <v>4533.0647690000005</v>
      </c>
      <c r="I1137" s="10">
        <v>344</v>
      </c>
    </row>
    <row r="1138" spans="1:9" ht="15.75" thickBot="1" x14ac:dyDescent="0.3">
      <c r="A1138" s="1">
        <v>43800</v>
      </c>
      <c r="B1138" s="8" t="s">
        <v>6</v>
      </c>
      <c r="C1138" t="s">
        <v>7</v>
      </c>
      <c r="D1138" t="s">
        <v>294</v>
      </c>
      <c r="E1138" t="s">
        <v>11</v>
      </c>
      <c r="F1138" s="9">
        <v>13107.5</v>
      </c>
      <c r="G1138" s="7">
        <v>31383</v>
      </c>
      <c r="H1138" s="8">
        <f t="shared" si="17"/>
        <v>31383</v>
      </c>
      <c r="I1138" s="10">
        <v>11</v>
      </c>
    </row>
    <row r="1139" spans="1:9" ht="15.75" thickBot="1" x14ac:dyDescent="0.3">
      <c r="A1139" s="1">
        <v>43466</v>
      </c>
      <c r="B1139" s="8" t="s">
        <v>6</v>
      </c>
      <c r="C1139" t="s">
        <v>7</v>
      </c>
      <c r="D1139" t="s">
        <v>294</v>
      </c>
      <c r="E1139" t="s">
        <v>13</v>
      </c>
      <c r="F1139" s="9">
        <v>478.92</v>
      </c>
      <c r="G1139" s="6">
        <v>12000</v>
      </c>
      <c r="H1139" s="8">
        <f t="shared" si="17"/>
        <v>12000</v>
      </c>
      <c r="I1139" s="10">
        <v>3</v>
      </c>
    </row>
    <row r="1140" spans="1:9" ht="15.75" thickBot="1" x14ac:dyDescent="0.3">
      <c r="A1140" s="1">
        <v>43466</v>
      </c>
      <c r="B1140" s="8" t="s">
        <v>6</v>
      </c>
      <c r="C1140" t="s">
        <v>7</v>
      </c>
      <c r="D1140" t="s">
        <v>295</v>
      </c>
      <c r="E1140" t="s">
        <v>9</v>
      </c>
      <c r="F1140" s="9">
        <v>22139.56</v>
      </c>
      <c r="G1140" s="4">
        <v>583</v>
      </c>
      <c r="H1140" s="8">
        <f t="shared" si="17"/>
        <v>583</v>
      </c>
      <c r="I1140" s="10">
        <v>7</v>
      </c>
    </row>
    <row r="1141" spans="1:9" ht="15.75" thickBot="1" x14ac:dyDescent="0.3">
      <c r="A1141" s="1">
        <v>43466</v>
      </c>
      <c r="B1141" s="8" t="s">
        <v>6</v>
      </c>
      <c r="C1141" t="s">
        <v>7</v>
      </c>
      <c r="D1141" t="s">
        <v>295</v>
      </c>
      <c r="E1141" t="s">
        <v>15</v>
      </c>
      <c r="F1141" s="9">
        <v>100</v>
      </c>
      <c r="G1141" s="4">
        <v>0</v>
      </c>
      <c r="H1141" s="8">
        <f t="shared" si="17"/>
        <v>0</v>
      </c>
      <c r="I1141" s="10">
        <v>1</v>
      </c>
    </row>
    <row r="1142" spans="1:9" ht="15.75" thickBot="1" x14ac:dyDescent="0.3">
      <c r="A1142" s="1">
        <v>43800</v>
      </c>
      <c r="B1142" s="8" t="s">
        <v>6</v>
      </c>
      <c r="C1142" t="s">
        <v>7</v>
      </c>
      <c r="D1142" t="s">
        <v>295</v>
      </c>
      <c r="E1142" t="s">
        <v>10</v>
      </c>
      <c r="F1142" s="9">
        <v>83534.8</v>
      </c>
      <c r="G1142" s="6">
        <v>3023628.2880000002</v>
      </c>
      <c r="H1142" s="8">
        <f t="shared" si="17"/>
        <v>3023.6282880000003</v>
      </c>
      <c r="I1142" s="10">
        <v>229</v>
      </c>
    </row>
    <row r="1143" spans="1:9" ht="15.75" thickBot="1" x14ac:dyDescent="0.3">
      <c r="A1143" s="1">
        <v>43800</v>
      </c>
      <c r="B1143" s="8" t="s">
        <v>6</v>
      </c>
      <c r="C1143" t="s">
        <v>7</v>
      </c>
      <c r="D1143" t="s">
        <v>295</v>
      </c>
      <c r="E1143" t="s">
        <v>13</v>
      </c>
      <c r="F1143" s="9">
        <v>474.23</v>
      </c>
      <c r="G1143" s="6">
        <v>17000</v>
      </c>
      <c r="H1143" s="8">
        <f t="shared" si="17"/>
        <v>17000</v>
      </c>
      <c r="I1143" s="10">
        <v>1</v>
      </c>
    </row>
    <row r="1144" spans="1:9" ht="15.75" thickBot="1" x14ac:dyDescent="0.3">
      <c r="A1144" s="1">
        <v>43800</v>
      </c>
      <c r="B1144" s="8" t="s">
        <v>6</v>
      </c>
      <c r="C1144" t="s">
        <v>7</v>
      </c>
      <c r="D1144" t="s">
        <v>296</v>
      </c>
      <c r="E1144" t="s">
        <v>9</v>
      </c>
      <c r="F1144" s="9">
        <v>13301.72</v>
      </c>
      <c r="G1144" s="4">
        <v>421</v>
      </c>
      <c r="H1144" s="8">
        <f t="shared" si="17"/>
        <v>421</v>
      </c>
      <c r="I1144" s="10">
        <v>2</v>
      </c>
    </row>
    <row r="1145" spans="1:9" ht="15.75" thickBot="1" x14ac:dyDescent="0.3">
      <c r="A1145" s="1">
        <v>43800</v>
      </c>
      <c r="B1145" s="8" t="s">
        <v>6</v>
      </c>
      <c r="C1145" t="s">
        <v>7</v>
      </c>
      <c r="D1145" t="s">
        <v>296</v>
      </c>
      <c r="E1145" t="s">
        <v>10</v>
      </c>
      <c r="F1145" s="9">
        <v>107093.35</v>
      </c>
      <c r="G1145" s="6">
        <v>4102921.6630000002</v>
      </c>
      <c r="H1145" s="8">
        <f t="shared" si="17"/>
        <v>4102.9216630000001</v>
      </c>
      <c r="I1145" s="10">
        <v>248</v>
      </c>
    </row>
    <row r="1146" spans="1:9" ht="15.75" thickBot="1" x14ac:dyDescent="0.3">
      <c r="A1146" s="1">
        <v>43466</v>
      </c>
      <c r="B1146" s="8" t="s">
        <v>6</v>
      </c>
      <c r="C1146" t="s">
        <v>7</v>
      </c>
      <c r="D1146" t="s">
        <v>296</v>
      </c>
      <c r="E1146" t="s">
        <v>11</v>
      </c>
      <c r="F1146" s="9">
        <v>1713.68</v>
      </c>
      <c r="G1146" s="6">
        <v>47000</v>
      </c>
      <c r="H1146" s="8">
        <f t="shared" si="17"/>
        <v>47000</v>
      </c>
      <c r="I1146" s="10">
        <v>6</v>
      </c>
    </row>
    <row r="1147" spans="1:9" ht="15.75" thickBot="1" x14ac:dyDescent="0.3">
      <c r="A1147" s="1">
        <v>43466</v>
      </c>
      <c r="B1147" s="8" t="s">
        <v>6</v>
      </c>
      <c r="C1147" t="s">
        <v>7</v>
      </c>
      <c r="D1147" t="s">
        <v>296</v>
      </c>
      <c r="E1147" t="s">
        <v>13</v>
      </c>
      <c r="F1147" s="9">
        <v>703.45</v>
      </c>
      <c r="G1147" s="6">
        <v>21000</v>
      </c>
      <c r="H1147" s="8">
        <f t="shared" si="17"/>
        <v>21000</v>
      </c>
      <c r="I1147" s="10">
        <v>3</v>
      </c>
    </row>
    <row r="1148" spans="1:9" ht="15.75" thickBot="1" x14ac:dyDescent="0.3">
      <c r="A1148" s="1">
        <v>43466</v>
      </c>
      <c r="B1148" s="8" t="s">
        <v>6</v>
      </c>
      <c r="C1148" t="s">
        <v>7</v>
      </c>
      <c r="D1148" t="s">
        <v>297</v>
      </c>
      <c r="E1148" t="s">
        <v>15</v>
      </c>
      <c r="F1148" s="9">
        <v>460.72</v>
      </c>
      <c r="G1148" s="4">
        <v>6</v>
      </c>
      <c r="H1148" s="8">
        <f t="shared" si="17"/>
        <v>6</v>
      </c>
      <c r="I1148" s="10">
        <v>3</v>
      </c>
    </row>
    <row r="1149" spans="1:9" ht="15.75" thickBot="1" x14ac:dyDescent="0.3">
      <c r="A1149" s="1">
        <v>43800</v>
      </c>
      <c r="B1149" s="8" t="s">
        <v>6</v>
      </c>
      <c r="C1149" t="s">
        <v>7</v>
      </c>
      <c r="D1149" t="s">
        <v>297</v>
      </c>
      <c r="E1149" t="s">
        <v>10</v>
      </c>
      <c r="F1149" s="9">
        <v>42608.25</v>
      </c>
      <c r="G1149" s="6">
        <v>1554355.43</v>
      </c>
      <c r="H1149" s="8">
        <f t="shared" si="17"/>
        <v>1554.3554299999998</v>
      </c>
      <c r="I1149" s="10">
        <v>169</v>
      </c>
    </row>
    <row r="1150" spans="1:9" ht="15.75" thickBot="1" x14ac:dyDescent="0.3">
      <c r="A1150" s="1">
        <v>43800</v>
      </c>
      <c r="B1150" s="8" t="s">
        <v>6</v>
      </c>
      <c r="C1150" t="s">
        <v>7</v>
      </c>
      <c r="D1150" t="s">
        <v>297</v>
      </c>
      <c r="E1150" t="s">
        <v>11</v>
      </c>
      <c r="F1150" s="9">
        <v>81.569999999999993</v>
      </c>
      <c r="G1150" s="5">
        <v>0</v>
      </c>
      <c r="H1150" s="8">
        <f t="shared" si="17"/>
        <v>0</v>
      </c>
      <c r="I1150" s="10">
        <v>1</v>
      </c>
    </row>
    <row r="1151" spans="1:9" ht="15.75" thickBot="1" x14ac:dyDescent="0.3">
      <c r="A1151" s="1">
        <v>43800</v>
      </c>
      <c r="B1151" s="8" t="s">
        <v>6</v>
      </c>
      <c r="C1151" t="s">
        <v>7</v>
      </c>
      <c r="D1151" t="s">
        <v>297</v>
      </c>
      <c r="E1151" t="s">
        <v>13</v>
      </c>
      <c r="F1151" s="9">
        <v>96.28</v>
      </c>
      <c r="G1151" s="6">
        <v>6000</v>
      </c>
      <c r="H1151" s="8">
        <f t="shared" si="17"/>
        <v>6000</v>
      </c>
      <c r="I1151" s="10">
        <v>1</v>
      </c>
    </row>
    <row r="1152" spans="1:9" ht="15.75" thickBot="1" x14ac:dyDescent="0.3">
      <c r="A1152" s="1">
        <v>43800</v>
      </c>
      <c r="B1152" s="8" t="s">
        <v>6</v>
      </c>
      <c r="C1152" t="s">
        <v>7</v>
      </c>
      <c r="D1152" t="s">
        <v>298</v>
      </c>
      <c r="E1152" t="s">
        <v>9</v>
      </c>
      <c r="F1152" s="9">
        <v>46492.87</v>
      </c>
      <c r="G1152" s="7">
        <v>34464.082999999999</v>
      </c>
      <c r="H1152" s="8">
        <f t="shared" si="17"/>
        <v>34464.082999999999</v>
      </c>
      <c r="I1152" s="10">
        <v>26</v>
      </c>
    </row>
    <row r="1153" spans="1:9" ht="15.75" thickBot="1" x14ac:dyDescent="0.3">
      <c r="A1153" s="1">
        <v>43466</v>
      </c>
      <c r="B1153" s="8" t="s">
        <v>6</v>
      </c>
      <c r="C1153" t="s">
        <v>7</v>
      </c>
      <c r="D1153" t="s">
        <v>298</v>
      </c>
      <c r="E1153" t="s">
        <v>15</v>
      </c>
      <c r="F1153" s="9">
        <v>25842.91</v>
      </c>
      <c r="G1153" s="7">
        <v>10093.682000000001</v>
      </c>
      <c r="H1153" s="8">
        <f t="shared" si="17"/>
        <v>10093.682000000001</v>
      </c>
      <c r="I1153" s="10">
        <v>20</v>
      </c>
    </row>
    <row r="1154" spans="1:9" ht="15.75" thickBot="1" x14ac:dyDescent="0.3">
      <c r="A1154" s="1">
        <v>43466</v>
      </c>
      <c r="B1154" s="8" t="s">
        <v>6</v>
      </c>
      <c r="C1154" t="s">
        <v>7</v>
      </c>
      <c r="D1154" t="s">
        <v>298</v>
      </c>
      <c r="E1154" t="s">
        <v>10</v>
      </c>
      <c r="F1154" s="9">
        <v>1222430.83</v>
      </c>
      <c r="G1154" s="7">
        <v>41561717.605999999</v>
      </c>
      <c r="H1154" s="8">
        <f t="shared" ref="H1154:H1217" si="18">IF(ISNUMBER(SEARCH("Domestic customer", E1154)),G1154/1000,G1154)</f>
        <v>41561.717605999998</v>
      </c>
      <c r="I1154" s="10">
        <v>3486</v>
      </c>
    </row>
    <row r="1155" spans="1:9" ht="15.75" thickBot="1" x14ac:dyDescent="0.3">
      <c r="A1155" s="1">
        <v>43466</v>
      </c>
      <c r="B1155" s="8" t="s">
        <v>6</v>
      </c>
      <c r="C1155" t="s">
        <v>7</v>
      </c>
      <c r="D1155" t="s">
        <v>298</v>
      </c>
      <c r="E1155" t="s">
        <v>11</v>
      </c>
      <c r="F1155" s="9">
        <v>81931.12</v>
      </c>
      <c r="G1155" s="7">
        <v>343910.70799999998</v>
      </c>
      <c r="H1155" s="8">
        <f t="shared" si="18"/>
        <v>343910.70799999998</v>
      </c>
      <c r="I1155" s="10">
        <v>62</v>
      </c>
    </row>
    <row r="1156" spans="1:9" ht="15.75" thickBot="1" x14ac:dyDescent="0.3">
      <c r="A1156" s="1">
        <v>43800</v>
      </c>
      <c r="B1156" s="8" t="s">
        <v>6</v>
      </c>
      <c r="C1156" t="s">
        <v>7</v>
      </c>
      <c r="D1156" t="s">
        <v>298</v>
      </c>
      <c r="E1156" t="s">
        <v>13</v>
      </c>
      <c r="F1156" s="9">
        <v>5466.93</v>
      </c>
      <c r="G1156" s="6">
        <v>142451.614</v>
      </c>
      <c r="H1156" s="8">
        <f t="shared" si="18"/>
        <v>142451.614</v>
      </c>
      <c r="I1156" s="10">
        <v>20</v>
      </c>
    </row>
    <row r="1157" spans="1:9" ht="15.75" thickBot="1" x14ac:dyDescent="0.3">
      <c r="A1157" s="1">
        <v>43800</v>
      </c>
      <c r="B1157" s="8" t="s">
        <v>6</v>
      </c>
      <c r="C1157" t="s">
        <v>7</v>
      </c>
      <c r="D1157" t="s">
        <v>299</v>
      </c>
      <c r="E1157" t="s">
        <v>9</v>
      </c>
      <c r="F1157" s="9">
        <v>250748.34</v>
      </c>
      <c r="G1157" s="7">
        <v>-18460.213</v>
      </c>
      <c r="H1157" s="8">
        <f t="shared" si="18"/>
        <v>-18460.213</v>
      </c>
      <c r="I1157" s="10">
        <v>48</v>
      </c>
    </row>
    <row r="1158" spans="1:9" ht="15.75" thickBot="1" x14ac:dyDescent="0.3">
      <c r="A1158" s="1">
        <v>43800</v>
      </c>
      <c r="B1158" s="8" t="s">
        <v>6</v>
      </c>
      <c r="C1158" t="s">
        <v>7</v>
      </c>
      <c r="D1158" t="s">
        <v>299</v>
      </c>
      <c r="E1158" t="s">
        <v>15</v>
      </c>
      <c r="F1158" s="9">
        <v>19847.2</v>
      </c>
      <c r="G1158" s="4">
        <v>651</v>
      </c>
      <c r="H1158" s="8">
        <f t="shared" si="18"/>
        <v>651</v>
      </c>
      <c r="I1158" s="10">
        <v>10</v>
      </c>
    </row>
    <row r="1159" spans="1:9" ht="15.75" thickBot="1" x14ac:dyDescent="0.3">
      <c r="A1159" s="1">
        <v>43800</v>
      </c>
      <c r="B1159" s="8" t="s">
        <v>6</v>
      </c>
      <c r="C1159" t="s">
        <v>7</v>
      </c>
      <c r="D1159" t="s">
        <v>299</v>
      </c>
      <c r="E1159" t="s">
        <v>10</v>
      </c>
      <c r="F1159" s="9">
        <v>718902.76</v>
      </c>
      <c r="G1159" s="7">
        <v>28070550.798999999</v>
      </c>
      <c r="H1159" s="8">
        <f t="shared" si="18"/>
        <v>28070.550798999997</v>
      </c>
      <c r="I1159" s="10">
        <v>942</v>
      </c>
    </row>
    <row r="1160" spans="1:9" ht="15.75" thickBot="1" x14ac:dyDescent="0.3">
      <c r="A1160" s="1">
        <v>43466</v>
      </c>
      <c r="B1160" s="8" t="s">
        <v>6</v>
      </c>
      <c r="C1160" t="s">
        <v>7</v>
      </c>
      <c r="D1160" t="s">
        <v>299</v>
      </c>
      <c r="E1160" t="s">
        <v>11</v>
      </c>
      <c r="F1160" s="9">
        <v>392762.56</v>
      </c>
      <c r="G1160" s="7">
        <v>574557.272</v>
      </c>
      <c r="H1160" s="8">
        <f t="shared" si="18"/>
        <v>574557.272</v>
      </c>
      <c r="I1160" s="10">
        <v>54</v>
      </c>
    </row>
    <row r="1161" spans="1:9" ht="15.75" thickBot="1" x14ac:dyDescent="0.3">
      <c r="A1161" s="1">
        <v>43466</v>
      </c>
      <c r="B1161" s="8" t="s">
        <v>6</v>
      </c>
      <c r="C1161" t="s">
        <v>7</v>
      </c>
      <c r="D1161" t="s">
        <v>299</v>
      </c>
      <c r="E1161" t="s">
        <v>13</v>
      </c>
      <c r="F1161" s="9">
        <v>2584.39</v>
      </c>
      <c r="G1161" s="6">
        <v>100355.16899999999</v>
      </c>
      <c r="H1161" s="8">
        <f t="shared" si="18"/>
        <v>100355.16899999999</v>
      </c>
      <c r="I1161" s="10">
        <v>6</v>
      </c>
    </row>
    <row r="1162" spans="1:9" ht="15.75" thickBot="1" x14ac:dyDescent="0.3">
      <c r="A1162" s="1">
        <v>43466</v>
      </c>
      <c r="B1162" s="8" t="s">
        <v>6</v>
      </c>
      <c r="C1162" t="s">
        <v>7</v>
      </c>
      <c r="D1162" t="s">
        <v>300</v>
      </c>
      <c r="E1162" t="s">
        <v>9</v>
      </c>
      <c r="F1162" s="9">
        <v>10178.48</v>
      </c>
      <c r="G1162" s="4">
        <v>314</v>
      </c>
      <c r="H1162" s="8">
        <f t="shared" si="18"/>
        <v>314</v>
      </c>
      <c r="I1162" s="10">
        <v>1</v>
      </c>
    </row>
    <row r="1163" spans="1:9" ht="15.75" thickBot="1" x14ac:dyDescent="0.3">
      <c r="A1163" s="1">
        <v>43800</v>
      </c>
      <c r="B1163" s="8" t="s">
        <v>6</v>
      </c>
      <c r="C1163" t="s">
        <v>7</v>
      </c>
      <c r="D1163" t="s">
        <v>300</v>
      </c>
      <c r="E1163" t="s">
        <v>15</v>
      </c>
      <c r="F1163" s="9">
        <v>761.81</v>
      </c>
      <c r="G1163" s="4">
        <v>44</v>
      </c>
      <c r="H1163" s="8">
        <f t="shared" si="18"/>
        <v>44</v>
      </c>
      <c r="I1163" s="10">
        <v>3</v>
      </c>
    </row>
    <row r="1164" spans="1:9" ht="15.75" thickBot="1" x14ac:dyDescent="0.3">
      <c r="A1164" s="1">
        <v>43800</v>
      </c>
      <c r="B1164" s="8" t="s">
        <v>6</v>
      </c>
      <c r="C1164" t="s">
        <v>7</v>
      </c>
      <c r="D1164" t="s">
        <v>300</v>
      </c>
      <c r="E1164" t="s">
        <v>10</v>
      </c>
      <c r="F1164" s="9">
        <v>130826.48</v>
      </c>
      <c r="G1164" s="6">
        <v>5044346.4359999998</v>
      </c>
      <c r="H1164" s="8">
        <f t="shared" si="18"/>
        <v>5044.3464359999998</v>
      </c>
      <c r="I1164" s="10">
        <v>499</v>
      </c>
    </row>
    <row r="1165" spans="1:9" ht="15.75" thickBot="1" x14ac:dyDescent="0.3">
      <c r="A1165" s="1">
        <v>43800</v>
      </c>
      <c r="B1165" s="8" t="s">
        <v>6</v>
      </c>
      <c r="C1165" t="s">
        <v>7</v>
      </c>
      <c r="D1165" t="s">
        <v>300</v>
      </c>
      <c r="E1165" t="s">
        <v>11</v>
      </c>
      <c r="F1165" s="9">
        <v>1297.01</v>
      </c>
      <c r="G1165" s="4">
        <v>5</v>
      </c>
      <c r="H1165" s="8">
        <f t="shared" si="18"/>
        <v>5</v>
      </c>
      <c r="I1165" s="10">
        <v>14</v>
      </c>
    </row>
    <row r="1166" spans="1:9" ht="15.75" thickBot="1" x14ac:dyDescent="0.3">
      <c r="A1166" s="1">
        <v>43800</v>
      </c>
      <c r="B1166" s="8" t="s">
        <v>6</v>
      </c>
      <c r="C1166" t="s">
        <v>7</v>
      </c>
      <c r="D1166" t="s">
        <v>300</v>
      </c>
      <c r="E1166" t="s">
        <v>13</v>
      </c>
      <c r="F1166" s="9">
        <v>658.29</v>
      </c>
      <c r="G1166" s="6">
        <v>24000</v>
      </c>
      <c r="H1166" s="8">
        <f t="shared" si="18"/>
        <v>24000</v>
      </c>
      <c r="I1166" s="10">
        <v>1</v>
      </c>
    </row>
    <row r="1167" spans="1:9" ht="15.75" thickBot="1" x14ac:dyDescent="0.3">
      <c r="A1167" s="1">
        <v>43466</v>
      </c>
      <c r="B1167" s="8" t="s">
        <v>6</v>
      </c>
      <c r="C1167" t="s">
        <v>7</v>
      </c>
      <c r="D1167" t="s">
        <v>301</v>
      </c>
      <c r="E1167" t="s">
        <v>9</v>
      </c>
      <c r="F1167" s="9">
        <v>2939.79</v>
      </c>
      <c r="G1167" s="4">
        <v>64</v>
      </c>
      <c r="H1167" s="8">
        <f t="shared" si="18"/>
        <v>64</v>
      </c>
      <c r="I1167" s="10">
        <v>2</v>
      </c>
    </row>
    <row r="1168" spans="1:9" ht="15.75" thickBot="1" x14ac:dyDescent="0.3">
      <c r="A1168" s="1">
        <v>43466</v>
      </c>
      <c r="B1168" s="8" t="s">
        <v>6</v>
      </c>
      <c r="C1168" t="s">
        <v>7</v>
      </c>
      <c r="D1168" t="s">
        <v>301</v>
      </c>
      <c r="E1168" t="s">
        <v>15</v>
      </c>
      <c r="F1168" s="9">
        <v>1539.43</v>
      </c>
      <c r="G1168" s="4">
        <v>7</v>
      </c>
      <c r="H1168" s="8">
        <f t="shared" si="18"/>
        <v>7</v>
      </c>
      <c r="I1168" s="10">
        <v>3</v>
      </c>
    </row>
    <row r="1169" spans="1:9" ht="15.75" thickBot="1" x14ac:dyDescent="0.3">
      <c r="A1169" s="1">
        <v>43466</v>
      </c>
      <c r="B1169" s="8" t="s">
        <v>6</v>
      </c>
      <c r="C1169" t="s">
        <v>7</v>
      </c>
      <c r="D1169" t="s">
        <v>301</v>
      </c>
      <c r="E1169" t="s">
        <v>10</v>
      </c>
      <c r="F1169" s="9">
        <v>44299.21</v>
      </c>
      <c r="G1169" s="6">
        <v>5635194.2999999998</v>
      </c>
      <c r="H1169" s="8">
        <f t="shared" si="18"/>
        <v>5635.1943000000001</v>
      </c>
      <c r="I1169" s="10">
        <v>588</v>
      </c>
    </row>
    <row r="1170" spans="1:9" ht="15.75" thickBot="1" x14ac:dyDescent="0.3">
      <c r="A1170" s="1">
        <v>43800</v>
      </c>
      <c r="B1170" s="8" t="s">
        <v>6</v>
      </c>
      <c r="C1170" t="s">
        <v>7</v>
      </c>
      <c r="D1170" t="s">
        <v>301</v>
      </c>
      <c r="E1170" t="s">
        <v>11</v>
      </c>
      <c r="F1170" s="9">
        <v>2377.5100000000002</v>
      </c>
      <c r="G1170" s="4">
        <v>28</v>
      </c>
      <c r="H1170" s="8">
        <f t="shared" si="18"/>
        <v>28</v>
      </c>
      <c r="I1170" s="10">
        <v>1</v>
      </c>
    </row>
    <row r="1171" spans="1:9" ht="15.75" thickBot="1" x14ac:dyDescent="0.3">
      <c r="A1171" s="1">
        <v>43800</v>
      </c>
      <c r="B1171" s="8" t="s">
        <v>6</v>
      </c>
      <c r="C1171" t="s">
        <v>7</v>
      </c>
      <c r="D1171" t="s">
        <v>301</v>
      </c>
      <c r="E1171" t="s">
        <v>13</v>
      </c>
      <c r="F1171" s="9">
        <v>292.54000000000002</v>
      </c>
      <c r="G1171" s="6">
        <v>12000</v>
      </c>
      <c r="H1171" s="8">
        <f t="shared" si="18"/>
        <v>12000</v>
      </c>
      <c r="I1171" s="10">
        <v>1</v>
      </c>
    </row>
    <row r="1172" spans="1:9" ht="15.75" thickBot="1" x14ac:dyDescent="0.3">
      <c r="A1172" s="1">
        <v>43800</v>
      </c>
      <c r="B1172" s="8" t="s">
        <v>6</v>
      </c>
      <c r="C1172" t="s">
        <v>7</v>
      </c>
      <c r="D1172" t="s">
        <v>302</v>
      </c>
      <c r="E1172" t="s">
        <v>15</v>
      </c>
      <c r="F1172" s="9">
        <v>450.32</v>
      </c>
      <c r="G1172" s="6">
        <v>3374.672</v>
      </c>
      <c r="H1172" s="8">
        <f t="shared" si="18"/>
        <v>3374.672</v>
      </c>
      <c r="I1172" s="10">
        <v>1</v>
      </c>
    </row>
    <row r="1173" spans="1:9" ht="15.75" thickBot="1" x14ac:dyDescent="0.3">
      <c r="A1173" s="1">
        <v>43800</v>
      </c>
      <c r="B1173" s="8" t="s">
        <v>6</v>
      </c>
      <c r="C1173" t="s">
        <v>7</v>
      </c>
      <c r="D1173" t="s">
        <v>302</v>
      </c>
      <c r="E1173" t="s">
        <v>10</v>
      </c>
      <c r="F1173" s="9">
        <v>33277.06</v>
      </c>
      <c r="G1173" s="6">
        <v>4596472.1679999996</v>
      </c>
      <c r="H1173" s="8">
        <f t="shared" si="18"/>
        <v>4596.4721679999993</v>
      </c>
      <c r="I1173" s="10">
        <v>784</v>
      </c>
    </row>
    <row r="1174" spans="1:9" ht="15.75" thickBot="1" x14ac:dyDescent="0.3">
      <c r="A1174" s="1">
        <v>43466</v>
      </c>
      <c r="B1174" s="8" t="s">
        <v>6</v>
      </c>
      <c r="C1174" t="s">
        <v>7</v>
      </c>
      <c r="D1174" t="s">
        <v>302</v>
      </c>
      <c r="E1174" t="s">
        <v>11</v>
      </c>
      <c r="F1174" s="9">
        <v>3287.69</v>
      </c>
      <c r="G1174" s="6">
        <v>157395</v>
      </c>
      <c r="H1174" s="8">
        <f t="shared" si="18"/>
        <v>157395</v>
      </c>
      <c r="I1174" s="10">
        <v>48</v>
      </c>
    </row>
    <row r="1175" spans="1:9" ht="15.75" thickBot="1" x14ac:dyDescent="0.3">
      <c r="A1175" s="1">
        <v>43466</v>
      </c>
      <c r="B1175" s="8" t="s">
        <v>6</v>
      </c>
      <c r="C1175" t="s">
        <v>7</v>
      </c>
      <c r="D1175" t="s">
        <v>302</v>
      </c>
      <c r="E1175" t="s">
        <v>13</v>
      </c>
      <c r="F1175" s="9">
        <v>7711.91</v>
      </c>
      <c r="G1175" s="6">
        <v>1112613.939</v>
      </c>
      <c r="H1175" s="8">
        <f t="shared" si="18"/>
        <v>1112613.939</v>
      </c>
      <c r="I1175" s="10">
        <v>184</v>
      </c>
    </row>
    <row r="1176" spans="1:9" ht="15.75" thickBot="1" x14ac:dyDescent="0.3">
      <c r="A1176" s="1">
        <v>43466</v>
      </c>
      <c r="B1176" s="8" t="s">
        <v>6</v>
      </c>
      <c r="C1176" t="s">
        <v>7</v>
      </c>
      <c r="D1176" t="s">
        <v>303</v>
      </c>
      <c r="E1176" t="s">
        <v>9</v>
      </c>
      <c r="F1176" s="9">
        <v>34249.96</v>
      </c>
      <c r="G1176" s="4">
        <v>14816</v>
      </c>
      <c r="H1176" s="8">
        <f t="shared" si="18"/>
        <v>14816</v>
      </c>
      <c r="I1176" s="10">
        <v>2</v>
      </c>
    </row>
    <row r="1177" spans="1:9" ht="15.75" thickBot="1" x14ac:dyDescent="0.3">
      <c r="A1177" s="1">
        <v>43800</v>
      </c>
      <c r="B1177" s="8" t="s">
        <v>6</v>
      </c>
      <c r="C1177" t="s">
        <v>7</v>
      </c>
      <c r="D1177" t="s">
        <v>303</v>
      </c>
      <c r="E1177" t="s">
        <v>10</v>
      </c>
      <c r="F1177" s="9">
        <v>89329.46</v>
      </c>
      <c r="G1177" s="6">
        <v>4395448.2680000002</v>
      </c>
      <c r="H1177" s="8">
        <f t="shared" si="18"/>
        <v>4395.4482680000001</v>
      </c>
      <c r="I1177" s="10">
        <v>255</v>
      </c>
    </row>
    <row r="1178" spans="1:9" ht="15.75" thickBot="1" x14ac:dyDescent="0.3">
      <c r="A1178" s="1">
        <v>43800</v>
      </c>
      <c r="B1178" s="8" t="s">
        <v>6</v>
      </c>
      <c r="C1178" t="s">
        <v>7</v>
      </c>
      <c r="D1178" t="s">
        <v>303</v>
      </c>
      <c r="E1178" t="s">
        <v>11</v>
      </c>
      <c r="F1178" s="9">
        <v>0</v>
      </c>
      <c r="G1178" s="6">
        <v>0</v>
      </c>
      <c r="H1178" s="8">
        <f t="shared" si="18"/>
        <v>0</v>
      </c>
      <c r="I1178" s="10">
        <v>1</v>
      </c>
    </row>
    <row r="1179" spans="1:9" ht="15.75" thickBot="1" x14ac:dyDescent="0.3">
      <c r="A1179" s="1">
        <v>43800</v>
      </c>
      <c r="B1179" s="8" t="s">
        <v>6</v>
      </c>
      <c r="C1179" t="s">
        <v>7</v>
      </c>
      <c r="D1179" t="s">
        <v>303</v>
      </c>
      <c r="E1179" t="s">
        <v>13</v>
      </c>
      <c r="F1179" s="9">
        <v>156.19</v>
      </c>
      <c r="G1179" s="6">
        <v>9000</v>
      </c>
      <c r="H1179" s="8">
        <f t="shared" si="18"/>
        <v>9000</v>
      </c>
      <c r="I1179" s="10">
        <v>1</v>
      </c>
    </row>
    <row r="1180" spans="1:9" ht="15.75" thickBot="1" x14ac:dyDescent="0.3">
      <c r="A1180" s="1">
        <v>43800</v>
      </c>
      <c r="B1180" s="8" t="s">
        <v>6</v>
      </c>
      <c r="C1180" t="s">
        <v>7</v>
      </c>
      <c r="D1180" t="s">
        <v>304</v>
      </c>
      <c r="E1180" t="s">
        <v>9</v>
      </c>
      <c r="F1180" s="9">
        <v>7527.57</v>
      </c>
      <c r="G1180" s="4">
        <v>262</v>
      </c>
      <c r="H1180" s="8">
        <f t="shared" si="18"/>
        <v>262</v>
      </c>
      <c r="I1180" s="10">
        <v>2</v>
      </c>
    </row>
    <row r="1181" spans="1:9" ht="15.75" thickBot="1" x14ac:dyDescent="0.3">
      <c r="A1181" s="1">
        <v>43466</v>
      </c>
      <c r="B1181" s="8" t="s">
        <v>6</v>
      </c>
      <c r="C1181" t="s">
        <v>7</v>
      </c>
      <c r="D1181" t="s">
        <v>304</v>
      </c>
      <c r="E1181" t="s">
        <v>15</v>
      </c>
      <c r="F1181" s="9">
        <v>31918.99</v>
      </c>
      <c r="G1181" s="4">
        <v>434</v>
      </c>
      <c r="H1181" s="8">
        <f t="shared" si="18"/>
        <v>434</v>
      </c>
      <c r="I1181" s="10">
        <v>31</v>
      </c>
    </row>
    <row r="1182" spans="1:9" ht="15.75" thickBot="1" x14ac:dyDescent="0.3">
      <c r="A1182" s="1">
        <v>43466</v>
      </c>
      <c r="B1182" s="8" t="s">
        <v>6</v>
      </c>
      <c r="C1182" t="s">
        <v>7</v>
      </c>
      <c r="D1182" t="s">
        <v>304</v>
      </c>
      <c r="E1182" t="s">
        <v>10</v>
      </c>
      <c r="F1182" s="9">
        <v>147391</v>
      </c>
      <c r="G1182" s="6">
        <v>5808669.1059999997</v>
      </c>
      <c r="H1182" s="8">
        <f t="shared" si="18"/>
        <v>5808.6691059999994</v>
      </c>
      <c r="I1182" s="10">
        <v>503</v>
      </c>
    </row>
    <row r="1183" spans="1:9" ht="15.75" thickBot="1" x14ac:dyDescent="0.3">
      <c r="A1183" s="1">
        <v>43466</v>
      </c>
      <c r="B1183" s="8" t="s">
        <v>6</v>
      </c>
      <c r="C1183" t="s">
        <v>7</v>
      </c>
      <c r="D1183" t="s">
        <v>304</v>
      </c>
      <c r="E1183" t="s">
        <v>13</v>
      </c>
      <c r="F1183" s="9">
        <v>622.19000000000005</v>
      </c>
      <c r="G1183" s="6">
        <v>23000</v>
      </c>
      <c r="H1183" s="8">
        <f t="shared" si="18"/>
        <v>23000</v>
      </c>
      <c r="I1183" s="10">
        <v>2</v>
      </c>
    </row>
    <row r="1184" spans="1:9" ht="15.75" thickBot="1" x14ac:dyDescent="0.3">
      <c r="A1184" s="1">
        <v>43800</v>
      </c>
      <c r="B1184" s="8" t="s">
        <v>6</v>
      </c>
      <c r="C1184" t="s">
        <v>7</v>
      </c>
      <c r="D1184" t="s">
        <v>305</v>
      </c>
      <c r="E1184" t="s">
        <v>9</v>
      </c>
      <c r="F1184" s="9">
        <v>118391.21</v>
      </c>
      <c r="G1184" s="4">
        <v>3974</v>
      </c>
      <c r="H1184" s="8">
        <f t="shared" si="18"/>
        <v>3974</v>
      </c>
      <c r="I1184" s="10">
        <v>29</v>
      </c>
    </row>
    <row r="1185" spans="1:9" ht="15.75" thickBot="1" x14ac:dyDescent="0.3">
      <c r="A1185" s="1">
        <v>43800</v>
      </c>
      <c r="B1185" s="8" t="s">
        <v>6</v>
      </c>
      <c r="C1185" t="s">
        <v>7</v>
      </c>
      <c r="D1185" t="s">
        <v>305</v>
      </c>
      <c r="E1185" t="s">
        <v>15</v>
      </c>
      <c r="F1185" s="9">
        <v>961174.06</v>
      </c>
      <c r="G1185" s="7">
        <v>13721474.1</v>
      </c>
      <c r="H1185" s="8">
        <f t="shared" si="18"/>
        <v>13721474.1</v>
      </c>
      <c r="I1185" s="10">
        <v>116</v>
      </c>
    </row>
    <row r="1186" spans="1:9" ht="15.75" thickBot="1" x14ac:dyDescent="0.3">
      <c r="A1186" s="1">
        <v>43800</v>
      </c>
      <c r="B1186" s="8" t="s">
        <v>6</v>
      </c>
      <c r="C1186" t="s">
        <v>7</v>
      </c>
      <c r="D1186" t="s">
        <v>305</v>
      </c>
      <c r="E1186" t="s">
        <v>10</v>
      </c>
      <c r="F1186" s="9">
        <v>793389.21</v>
      </c>
      <c r="G1186" s="7">
        <v>116927306.264</v>
      </c>
      <c r="H1186" s="8">
        <f t="shared" si="18"/>
        <v>116927.306264</v>
      </c>
      <c r="I1186" s="10">
        <v>8471</v>
      </c>
    </row>
    <row r="1187" spans="1:9" ht="15.75" thickBot="1" x14ac:dyDescent="0.3">
      <c r="A1187" s="1">
        <v>43800</v>
      </c>
      <c r="B1187" s="8" t="s">
        <v>6</v>
      </c>
      <c r="C1187" t="s">
        <v>7</v>
      </c>
      <c r="D1187" t="s">
        <v>305</v>
      </c>
      <c r="E1187" t="s">
        <v>11</v>
      </c>
      <c r="F1187" s="9">
        <v>237661.29</v>
      </c>
      <c r="G1187" s="7">
        <v>36221.826999999997</v>
      </c>
      <c r="H1187" s="8">
        <f t="shared" si="18"/>
        <v>36221.826999999997</v>
      </c>
      <c r="I1187" s="10">
        <v>126</v>
      </c>
    </row>
    <row r="1188" spans="1:9" ht="15.75" thickBot="1" x14ac:dyDescent="0.3">
      <c r="A1188" s="1">
        <v>43466</v>
      </c>
      <c r="B1188" s="8" t="s">
        <v>6</v>
      </c>
      <c r="C1188" t="s">
        <v>7</v>
      </c>
      <c r="D1188" t="s">
        <v>305</v>
      </c>
      <c r="E1188" t="s">
        <v>13</v>
      </c>
      <c r="F1188" s="9">
        <v>1896.52</v>
      </c>
      <c r="G1188" s="7">
        <v>221731.4</v>
      </c>
      <c r="H1188" s="8">
        <f t="shared" si="18"/>
        <v>221731.4</v>
      </c>
      <c r="I1188" s="10">
        <v>20</v>
      </c>
    </row>
    <row r="1189" spans="1:9" ht="15.75" thickBot="1" x14ac:dyDescent="0.3">
      <c r="A1189" s="1">
        <v>43466</v>
      </c>
      <c r="B1189" s="8" t="s">
        <v>6</v>
      </c>
      <c r="C1189" t="s">
        <v>7</v>
      </c>
      <c r="D1189" t="s">
        <v>306</v>
      </c>
      <c r="E1189" t="s">
        <v>10</v>
      </c>
      <c r="F1189" s="9">
        <v>67480.22</v>
      </c>
      <c r="G1189" s="6">
        <v>2164602.088</v>
      </c>
      <c r="H1189" s="8">
        <f t="shared" si="18"/>
        <v>2164.6020880000001</v>
      </c>
      <c r="I1189" s="10">
        <v>180</v>
      </c>
    </row>
    <row r="1190" spans="1:9" ht="15.75" thickBot="1" x14ac:dyDescent="0.3">
      <c r="A1190" s="1">
        <v>43466</v>
      </c>
      <c r="B1190" s="8" t="s">
        <v>6</v>
      </c>
      <c r="C1190" t="s">
        <v>7</v>
      </c>
      <c r="D1190" t="s">
        <v>306</v>
      </c>
      <c r="E1190" t="s">
        <v>11</v>
      </c>
      <c r="F1190" s="9">
        <v>81.569999999999993</v>
      </c>
      <c r="G1190" s="5">
        <v>0</v>
      </c>
      <c r="H1190" s="8">
        <f t="shared" si="18"/>
        <v>0</v>
      </c>
      <c r="I1190" s="10">
        <v>1</v>
      </c>
    </row>
    <row r="1191" spans="1:9" ht="15.75" thickBot="1" x14ac:dyDescent="0.3">
      <c r="A1191" s="1">
        <v>43800</v>
      </c>
      <c r="B1191" s="8" t="s">
        <v>6</v>
      </c>
      <c r="C1191" t="s">
        <v>7</v>
      </c>
      <c r="D1191" t="s">
        <v>307</v>
      </c>
      <c r="E1191" t="s">
        <v>9</v>
      </c>
      <c r="F1191" s="9">
        <v>761.6</v>
      </c>
      <c r="G1191" s="4">
        <v>5</v>
      </c>
      <c r="H1191" s="8">
        <f t="shared" si="18"/>
        <v>5</v>
      </c>
      <c r="I1191" s="10">
        <v>1</v>
      </c>
    </row>
    <row r="1192" spans="1:9" ht="15.75" thickBot="1" x14ac:dyDescent="0.3">
      <c r="A1192" s="1">
        <v>43800</v>
      </c>
      <c r="B1192" s="8" t="s">
        <v>6</v>
      </c>
      <c r="C1192" t="s">
        <v>7</v>
      </c>
      <c r="D1192" t="s">
        <v>307</v>
      </c>
      <c r="E1192" t="s">
        <v>15</v>
      </c>
      <c r="F1192" s="9">
        <v>356</v>
      </c>
      <c r="G1192" s="4">
        <v>113</v>
      </c>
      <c r="H1192" s="8">
        <f t="shared" si="18"/>
        <v>113</v>
      </c>
      <c r="I1192" s="10">
        <v>5</v>
      </c>
    </row>
    <row r="1193" spans="1:9" ht="15.75" thickBot="1" x14ac:dyDescent="0.3">
      <c r="A1193" s="1">
        <v>43800</v>
      </c>
      <c r="B1193" s="8" t="s">
        <v>6</v>
      </c>
      <c r="C1193" t="s">
        <v>7</v>
      </c>
      <c r="D1193" t="s">
        <v>307</v>
      </c>
      <c r="E1193" t="s">
        <v>10</v>
      </c>
      <c r="F1193" s="9">
        <v>209208.13</v>
      </c>
      <c r="G1193" s="6">
        <v>6883718.2980000004</v>
      </c>
      <c r="H1193" s="8">
        <f t="shared" si="18"/>
        <v>6883.7182980000007</v>
      </c>
      <c r="I1193" s="10">
        <v>817</v>
      </c>
    </row>
    <row r="1194" spans="1:9" ht="15.75" thickBot="1" x14ac:dyDescent="0.3">
      <c r="A1194" s="1">
        <v>43800</v>
      </c>
      <c r="B1194" s="8" t="s">
        <v>6</v>
      </c>
      <c r="C1194" t="s">
        <v>7</v>
      </c>
      <c r="D1194" t="s">
        <v>307</v>
      </c>
      <c r="E1194" t="s">
        <v>17</v>
      </c>
      <c r="F1194" s="9">
        <v>15133.72</v>
      </c>
      <c r="G1194" s="4">
        <v>346</v>
      </c>
      <c r="H1194" s="8">
        <f t="shared" si="18"/>
        <v>346</v>
      </c>
      <c r="I1194" s="10">
        <v>2</v>
      </c>
    </row>
    <row r="1195" spans="1:9" ht="15.75" thickBot="1" x14ac:dyDescent="0.3">
      <c r="A1195" s="1">
        <v>43466</v>
      </c>
      <c r="B1195" s="8" t="s">
        <v>6</v>
      </c>
      <c r="C1195" t="s">
        <v>7</v>
      </c>
      <c r="D1195" t="s">
        <v>307</v>
      </c>
      <c r="E1195" t="s">
        <v>11</v>
      </c>
      <c r="F1195" s="9">
        <v>12267.58</v>
      </c>
      <c r="G1195" s="7">
        <v>317015.565</v>
      </c>
      <c r="H1195" s="8">
        <f t="shared" si="18"/>
        <v>317015.565</v>
      </c>
      <c r="I1195" s="10">
        <v>61</v>
      </c>
    </row>
    <row r="1196" spans="1:9" ht="15.75" thickBot="1" x14ac:dyDescent="0.3">
      <c r="A1196" s="1">
        <v>43466</v>
      </c>
      <c r="B1196" s="8" t="s">
        <v>6</v>
      </c>
      <c r="C1196" t="s">
        <v>7</v>
      </c>
      <c r="D1196" t="s">
        <v>307</v>
      </c>
      <c r="E1196" t="s">
        <v>13</v>
      </c>
      <c r="F1196" s="9">
        <v>2822.11</v>
      </c>
      <c r="G1196" s="6">
        <v>95308.332999999999</v>
      </c>
      <c r="H1196" s="8">
        <f t="shared" si="18"/>
        <v>95308.332999999999</v>
      </c>
      <c r="I1196" s="10">
        <v>11</v>
      </c>
    </row>
    <row r="1197" spans="1:9" ht="15.75" thickBot="1" x14ac:dyDescent="0.3">
      <c r="A1197" s="1">
        <v>43466</v>
      </c>
      <c r="B1197" s="8" t="s">
        <v>6</v>
      </c>
      <c r="C1197" t="s">
        <v>7</v>
      </c>
      <c r="D1197" t="s">
        <v>308</v>
      </c>
      <c r="E1197" t="s">
        <v>9</v>
      </c>
      <c r="F1197" s="9">
        <v>53206.080000000002</v>
      </c>
      <c r="G1197" s="7">
        <v>2556.741</v>
      </c>
      <c r="H1197" s="8">
        <f t="shared" si="18"/>
        <v>2556.741</v>
      </c>
      <c r="I1197" s="10">
        <v>12</v>
      </c>
    </row>
    <row r="1198" spans="1:9" ht="15.75" thickBot="1" x14ac:dyDescent="0.3">
      <c r="A1198" s="1">
        <v>43800</v>
      </c>
      <c r="B1198" s="8" t="s">
        <v>6</v>
      </c>
      <c r="C1198" t="s">
        <v>7</v>
      </c>
      <c r="D1198" t="s">
        <v>308</v>
      </c>
      <c r="E1198" t="s">
        <v>15</v>
      </c>
      <c r="F1198" s="9">
        <v>19278.02</v>
      </c>
      <c r="G1198" s="7">
        <v>6922921.2379999999</v>
      </c>
      <c r="H1198" s="8">
        <f t="shared" si="18"/>
        <v>6922921.2379999999</v>
      </c>
      <c r="I1198" s="10">
        <v>138</v>
      </c>
    </row>
    <row r="1199" spans="1:9" ht="15.75" thickBot="1" x14ac:dyDescent="0.3">
      <c r="A1199" s="1">
        <v>43800</v>
      </c>
      <c r="B1199" s="8" t="s">
        <v>6</v>
      </c>
      <c r="C1199" t="s">
        <v>7</v>
      </c>
      <c r="D1199" t="s">
        <v>308</v>
      </c>
      <c r="E1199" t="s">
        <v>10</v>
      </c>
      <c r="F1199" s="9">
        <v>291537.86</v>
      </c>
      <c r="G1199" s="7">
        <v>338087846.08899999</v>
      </c>
      <c r="H1199" s="8">
        <f t="shared" si="18"/>
        <v>338087.846089</v>
      </c>
      <c r="I1199" s="10">
        <v>3859</v>
      </c>
    </row>
    <row r="1200" spans="1:9" ht="15.75" thickBot="1" x14ac:dyDescent="0.3">
      <c r="A1200" s="1">
        <v>43800</v>
      </c>
      <c r="B1200" s="8" t="s">
        <v>6</v>
      </c>
      <c r="C1200" t="s">
        <v>7</v>
      </c>
      <c r="D1200" t="s">
        <v>308</v>
      </c>
      <c r="E1200" t="s">
        <v>17</v>
      </c>
      <c r="F1200" s="9">
        <v>79359.47</v>
      </c>
      <c r="G1200" s="4">
        <v>2713</v>
      </c>
      <c r="H1200" s="8">
        <f t="shared" si="18"/>
        <v>2713</v>
      </c>
      <c r="I1200" s="10">
        <v>7</v>
      </c>
    </row>
    <row r="1201" spans="1:9" ht="15.75" thickBot="1" x14ac:dyDescent="0.3">
      <c r="A1201" s="1">
        <v>43800</v>
      </c>
      <c r="B1201" s="8" t="s">
        <v>6</v>
      </c>
      <c r="C1201" t="s">
        <v>7</v>
      </c>
      <c r="D1201" t="s">
        <v>308</v>
      </c>
      <c r="E1201" t="s">
        <v>11</v>
      </c>
      <c r="F1201" s="9">
        <v>25892.78</v>
      </c>
      <c r="G1201" s="4">
        <v>709</v>
      </c>
      <c r="H1201" s="8">
        <f t="shared" si="18"/>
        <v>709</v>
      </c>
      <c r="I1201" s="10">
        <v>25</v>
      </c>
    </row>
    <row r="1202" spans="1:9" ht="15.75" thickBot="1" x14ac:dyDescent="0.3">
      <c r="A1202" s="1">
        <v>43466</v>
      </c>
      <c r="B1202" s="8" t="s">
        <v>6</v>
      </c>
      <c r="C1202" t="s">
        <v>7</v>
      </c>
      <c r="D1202" t="s">
        <v>308</v>
      </c>
      <c r="E1202" t="s">
        <v>13</v>
      </c>
      <c r="F1202" s="9">
        <v>2044.61</v>
      </c>
      <c r="G1202" s="6">
        <v>202249.34</v>
      </c>
      <c r="H1202" s="8">
        <f t="shared" si="18"/>
        <v>202249.34</v>
      </c>
      <c r="I1202" s="10">
        <v>22</v>
      </c>
    </row>
    <row r="1203" spans="1:9" ht="15.75" thickBot="1" x14ac:dyDescent="0.3">
      <c r="A1203" s="1">
        <v>43466</v>
      </c>
      <c r="B1203" s="8" t="s">
        <v>6</v>
      </c>
      <c r="C1203" t="s">
        <v>7</v>
      </c>
      <c r="D1203" t="s">
        <v>309</v>
      </c>
      <c r="E1203" t="s">
        <v>15</v>
      </c>
      <c r="F1203" s="9">
        <v>55777.71</v>
      </c>
      <c r="G1203" s="4">
        <v>2472</v>
      </c>
      <c r="H1203" s="8">
        <f t="shared" si="18"/>
        <v>2472</v>
      </c>
      <c r="I1203" s="10">
        <v>5</v>
      </c>
    </row>
    <row r="1204" spans="1:9" ht="15.75" thickBot="1" x14ac:dyDescent="0.3">
      <c r="A1204" s="1">
        <v>43466</v>
      </c>
      <c r="B1204" s="8" t="s">
        <v>6</v>
      </c>
      <c r="C1204" t="s">
        <v>7</v>
      </c>
      <c r="D1204" t="s">
        <v>309</v>
      </c>
      <c r="E1204" t="s">
        <v>10</v>
      </c>
      <c r="F1204" s="9">
        <v>24256.65</v>
      </c>
      <c r="G1204" s="6">
        <v>7517687.4390000002</v>
      </c>
      <c r="H1204" s="8">
        <f t="shared" si="18"/>
        <v>7517.6874390000003</v>
      </c>
      <c r="I1204" s="10">
        <v>719</v>
      </c>
    </row>
    <row r="1205" spans="1:9" ht="15.75" thickBot="1" x14ac:dyDescent="0.3">
      <c r="A1205" s="1">
        <v>43800</v>
      </c>
      <c r="B1205" s="8" t="s">
        <v>6</v>
      </c>
      <c r="C1205" t="s">
        <v>7</v>
      </c>
      <c r="D1205" t="s">
        <v>309</v>
      </c>
      <c r="E1205" t="s">
        <v>11</v>
      </c>
      <c r="F1205" s="9">
        <v>81.569999999999993</v>
      </c>
      <c r="G1205" s="5">
        <v>0</v>
      </c>
      <c r="H1205" s="8">
        <f t="shared" si="18"/>
        <v>0</v>
      </c>
      <c r="I1205" s="10">
        <v>1</v>
      </c>
    </row>
    <row r="1206" spans="1:9" ht="15.75" thickBot="1" x14ac:dyDescent="0.3">
      <c r="A1206" s="1">
        <v>43800</v>
      </c>
      <c r="B1206" s="8" t="s">
        <v>6</v>
      </c>
      <c r="C1206" t="s">
        <v>7</v>
      </c>
      <c r="D1206" t="s">
        <v>309</v>
      </c>
      <c r="E1206" t="s">
        <v>13</v>
      </c>
      <c r="F1206" s="9">
        <v>80</v>
      </c>
      <c r="G1206" s="6">
        <v>24000</v>
      </c>
      <c r="H1206" s="8">
        <f t="shared" si="18"/>
        <v>24000</v>
      </c>
      <c r="I1206" s="10">
        <v>2</v>
      </c>
    </row>
    <row r="1207" spans="1:9" ht="15.75" thickBot="1" x14ac:dyDescent="0.3">
      <c r="A1207" s="1">
        <v>43800</v>
      </c>
      <c r="B1207" s="8" t="s">
        <v>6</v>
      </c>
      <c r="C1207" t="s">
        <v>7</v>
      </c>
      <c r="D1207" t="s">
        <v>310</v>
      </c>
      <c r="E1207" t="s">
        <v>9</v>
      </c>
      <c r="F1207" s="9">
        <v>-105404.49</v>
      </c>
      <c r="G1207" s="4">
        <v>-3929</v>
      </c>
      <c r="H1207" s="8">
        <f t="shared" si="18"/>
        <v>-3929</v>
      </c>
      <c r="I1207" s="10">
        <v>2</v>
      </c>
    </row>
    <row r="1208" spans="1:9" ht="15.75" thickBot="1" x14ac:dyDescent="0.3">
      <c r="A1208" s="1">
        <v>43800</v>
      </c>
      <c r="B1208" s="8" t="s">
        <v>6</v>
      </c>
      <c r="C1208" t="s">
        <v>7</v>
      </c>
      <c r="D1208" t="s">
        <v>310</v>
      </c>
      <c r="E1208" t="s">
        <v>15</v>
      </c>
      <c r="F1208" s="9">
        <v>34844.67</v>
      </c>
      <c r="G1208" s="4">
        <v>1212</v>
      </c>
      <c r="H1208" s="8">
        <f t="shared" si="18"/>
        <v>1212</v>
      </c>
      <c r="I1208" s="10">
        <v>19</v>
      </c>
    </row>
    <row r="1209" spans="1:9" ht="15.75" thickBot="1" x14ac:dyDescent="0.3">
      <c r="A1209" s="1">
        <v>43466</v>
      </c>
      <c r="B1209" s="8" t="s">
        <v>6</v>
      </c>
      <c r="C1209" t="s">
        <v>7</v>
      </c>
      <c r="D1209" t="s">
        <v>310</v>
      </c>
      <c r="E1209" t="s">
        <v>10</v>
      </c>
      <c r="F1209" s="9">
        <v>46818.32</v>
      </c>
      <c r="G1209" s="7">
        <v>338659797.52100003</v>
      </c>
      <c r="H1209" s="8">
        <f t="shared" si="18"/>
        <v>338659.79752100003</v>
      </c>
      <c r="I1209" s="10">
        <v>4530</v>
      </c>
    </row>
    <row r="1210" spans="1:9" ht="15.75" thickBot="1" x14ac:dyDescent="0.3">
      <c r="A1210" s="1">
        <v>43466</v>
      </c>
      <c r="B1210" s="8" t="s">
        <v>6</v>
      </c>
      <c r="C1210" t="s">
        <v>7</v>
      </c>
      <c r="D1210" t="s">
        <v>310</v>
      </c>
      <c r="E1210" t="s">
        <v>11</v>
      </c>
      <c r="F1210" s="9">
        <v>32369.8</v>
      </c>
      <c r="G1210" s="7">
        <v>2099.2660000000001</v>
      </c>
      <c r="H1210" s="8">
        <f t="shared" si="18"/>
        <v>2099.2660000000001</v>
      </c>
      <c r="I1210" s="10">
        <v>16</v>
      </c>
    </row>
    <row r="1211" spans="1:9" ht="15.75" thickBot="1" x14ac:dyDescent="0.3">
      <c r="A1211" s="1">
        <v>43466</v>
      </c>
      <c r="B1211" s="8" t="s">
        <v>6</v>
      </c>
      <c r="C1211" t="s">
        <v>7</v>
      </c>
      <c r="D1211" t="s">
        <v>310</v>
      </c>
      <c r="E1211" t="s">
        <v>13</v>
      </c>
      <c r="F1211" s="9">
        <v>81.569999999999993</v>
      </c>
      <c r="G1211" s="6">
        <v>16769.231</v>
      </c>
      <c r="H1211" s="8">
        <f t="shared" si="18"/>
        <v>16769.231</v>
      </c>
      <c r="I1211" s="10">
        <v>4</v>
      </c>
    </row>
    <row r="1212" spans="1:9" ht="15.75" thickBot="1" x14ac:dyDescent="0.3">
      <c r="A1212" s="1">
        <v>43800</v>
      </c>
      <c r="B1212" s="8" t="s">
        <v>6</v>
      </c>
      <c r="C1212" t="s">
        <v>7</v>
      </c>
      <c r="D1212" t="s">
        <v>311</v>
      </c>
      <c r="E1212" t="s">
        <v>9</v>
      </c>
      <c r="F1212" s="9">
        <v>12290.12</v>
      </c>
      <c r="G1212" s="4">
        <v>416</v>
      </c>
      <c r="H1212" s="8">
        <f t="shared" si="18"/>
        <v>416</v>
      </c>
      <c r="I1212" s="10">
        <v>4</v>
      </c>
    </row>
    <row r="1213" spans="1:9" ht="15.75" thickBot="1" x14ac:dyDescent="0.3">
      <c r="A1213" s="1">
        <v>43800</v>
      </c>
      <c r="B1213" s="8" t="s">
        <v>6</v>
      </c>
      <c r="C1213" t="s">
        <v>7</v>
      </c>
      <c r="D1213" t="s">
        <v>311</v>
      </c>
      <c r="E1213" t="s">
        <v>15</v>
      </c>
      <c r="F1213" s="9">
        <v>846.4</v>
      </c>
      <c r="G1213" s="4">
        <v>20</v>
      </c>
      <c r="H1213" s="8">
        <f t="shared" si="18"/>
        <v>20</v>
      </c>
      <c r="I1213" s="10">
        <v>3</v>
      </c>
    </row>
    <row r="1214" spans="1:9" ht="15.75" thickBot="1" x14ac:dyDescent="0.3">
      <c r="A1214" s="1">
        <v>43800</v>
      </c>
      <c r="B1214" s="8" t="s">
        <v>6</v>
      </c>
      <c r="C1214" t="s">
        <v>7</v>
      </c>
      <c r="D1214" t="s">
        <v>311</v>
      </c>
      <c r="E1214" t="s">
        <v>10</v>
      </c>
      <c r="F1214" s="9">
        <v>102856.79</v>
      </c>
      <c r="G1214" s="6">
        <v>4162000</v>
      </c>
      <c r="H1214" s="8">
        <f t="shared" si="18"/>
        <v>4162</v>
      </c>
      <c r="I1214" s="10">
        <v>168</v>
      </c>
    </row>
    <row r="1215" spans="1:9" ht="15.75" thickBot="1" x14ac:dyDescent="0.3">
      <c r="A1215" s="1">
        <v>43800</v>
      </c>
      <c r="B1215" s="8" t="s">
        <v>6</v>
      </c>
      <c r="C1215" t="s">
        <v>7</v>
      </c>
      <c r="D1215" t="s">
        <v>311</v>
      </c>
      <c r="E1215" t="s">
        <v>11</v>
      </c>
      <c r="F1215" s="9">
        <v>7899.06</v>
      </c>
      <c r="G1215" s="4">
        <v>231</v>
      </c>
      <c r="H1215" s="8">
        <f t="shared" si="18"/>
        <v>231</v>
      </c>
      <c r="I1215" s="10">
        <v>13</v>
      </c>
    </row>
    <row r="1216" spans="1:9" ht="15.75" thickBot="1" x14ac:dyDescent="0.3">
      <c r="A1216" s="1">
        <v>43466</v>
      </c>
      <c r="B1216" s="8" t="s">
        <v>6</v>
      </c>
      <c r="C1216" t="s">
        <v>7</v>
      </c>
      <c r="D1216" t="s">
        <v>311</v>
      </c>
      <c r="E1216" t="s">
        <v>13</v>
      </c>
      <c r="F1216" s="9">
        <v>933.35</v>
      </c>
      <c r="G1216" s="6">
        <v>31702.5</v>
      </c>
      <c r="H1216" s="8">
        <f t="shared" si="18"/>
        <v>31702.5</v>
      </c>
      <c r="I1216" s="10">
        <v>4</v>
      </c>
    </row>
    <row r="1217" spans="1:9" ht="15.75" thickBot="1" x14ac:dyDescent="0.3">
      <c r="A1217" s="1">
        <v>43466</v>
      </c>
      <c r="B1217" s="8" t="s">
        <v>6</v>
      </c>
      <c r="C1217" t="s">
        <v>7</v>
      </c>
      <c r="D1217" t="s">
        <v>312</v>
      </c>
      <c r="E1217" t="s">
        <v>9</v>
      </c>
      <c r="F1217" s="9">
        <v>200528.56</v>
      </c>
      <c r="G1217" s="4">
        <v>7054</v>
      </c>
      <c r="H1217" s="8">
        <f t="shared" si="18"/>
        <v>7054</v>
      </c>
      <c r="I1217" s="10">
        <v>21</v>
      </c>
    </row>
    <row r="1218" spans="1:9" ht="15.75" thickBot="1" x14ac:dyDescent="0.3">
      <c r="A1218" s="1">
        <v>43466</v>
      </c>
      <c r="B1218" s="8" t="s">
        <v>6</v>
      </c>
      <c r="C1218" t="s">
        <v>7</v>
      </c>
      <c r="D1218" t="s">
        <v>312</v>
      </c>
      <c r="E1218" t="s">
        <v>15</v>
      </c>
      <c r="F1218" s="9">
        <v>40638.879999999997</v>
      </c>
      <c r="G1218" s="4">
        <v>1041</v>
      </c>
      <c r="H1218" s="8">
        <f t="shared" ref="H1218:H1281" si="19">IF(ISNUMBER(SEARCH("Domestic customer", E1218)),G1218/1000,G1218)</f>
        <v>1041</v>
      </c>
      <c r="I1218" s="10">
        <v>12</v>
      </c>
    </row>
    <row r="1219" spans="1:9" ht="15.75" thickBot="1" x14ac:dyDescent="0.3">
      <c r="A1219" s="1">
        <v>43800</v>
      </c>
      <c r="B1219" s="8" t="s">
        <v>6</v>
      </c>
      <c r="C1219" t="s">
        <v>7</v>
      </c>
      <c r="D1219" t="s">
        <v>312</v>
      </c>
      <c r="E1219" t="s">
        <v>10</v>
      </c>
      <c r="F1219" s="9">
        <v>3504.99</v>
      </c>
      <c r="G1219" s="6">
        <v>15023.082</v>
      </c>
      <c r="H1219" s="8">
        <f t="shared" si="19"/>
        <v>15.023082</v>
      </c>
      <c r="I1219" s="10">
        <v>3</v>
      </c>
    </row>
    <row r="1220" spans="1:9" ht="15.75" thickBot="1" x14ac:dyDescent="0.3">
      <c r="A1220" s="1">
        <v>43800</v>
      </c>
      <c r="B1220" s="8" t="s">
        <v>6</v>
      </c>
      <c r="C1220" t="s">
        <v>7</v>
      </c>
      <c r="D1220" t="s">
        <v>312</v>
      </c>
      <c r="E1220" t="s">
        <v>11</v>
      </c>
      <c r="F1220" s="9">
        <v>30283.49</v>
      </c>
      <c r="G1220" s="4">
        <v>878</v>
      </c>
      <c r="H1220" s="8">
        <f t="shared" si="19"/>
        <v>878</v>
      </c>
      <c r="I1220" s="10">
        <v>10</v>
      </c>
    </row>
    <row r="1221" spans="1:9" ht="15.75" thickBot="1" x14ac:dyDescent="0.3">
      <c r="A1221" s="1">
        <v>43800</v>
      </c>
      <c r="B1221" s="8" t="s">
        <v>6</v>
      </c>
      <c r="C1221" t="s">
        <v>7</v>
      </c>
      <c r="D1221" t="s">
        <v>313</v>
      </c>
      <c r="E1221" t="s">
        <v>15</v>
      </c>
      <c r="F1221" s="9">
        <v>5491.36</v>
      </c>
      <c r="G1221" s="4">
        <v>148</v>
      </c>
      <c r="H1221" s="8">
        <f t="shared" si="19"/>
        <v>148</v>
      </c>
      <c r="I1221" s="10">
        <v>17</v>
      </c>
    </row>
    <row r="1222" spans="1:9" ht="15.75" thickBot="1" x14ac:dyDescent="0.3">
      <c r="A1222" s="1">
        <v>43800</v>
      </c>
      <c r="B1222" s="8" t="s">
        <v>6</v>
      </c>
      <c r="C1222" t="s">
        <v>7</v>
      </c>
      <c r="D1222" t="s">
        <v>313</v>
      </c>
      <c r="E1222" t="s">
        <v>10</v>
      </c>
      <c r="F1222" s="9">
        <v>169644.91</v>
      </c>
      <c r="G1222" s="6">
        <v>5629524.7079999996</v>
      </c>
      <c r="H1222" s="8">
        <f t="shared" si="19"/>
        <v>5629.5247079999999</v>
      </c>
      <c r="I1222" s="10">
        <v>751</v>
      </c>
    </row>
    <row r="1223" spans="1:9" ht="15.75" thickBot="1" x14ac:dyDescent="0.3">
      <c r="A1223" s="1">
        <v>43466</v>
      </c>
      <c r="B1223" s="8" t="s">
        <v>6</v>
      </c>
      <c r="C1223" t="s">
        <v>7</v>
      </c>
      <c r="D1223" t="s">
        <v>313</v>
      </c>
      <c r="E1223" t="s">
        <v>11</v>
      </c>
      <c r="F1223" s="9">
        <v>59.76</v>
      </c>
      <c r="G1223" s="6">
        <v>252</v>
      </c>
      <c r="H1223" s="8">
        <f t="shared" si="19"/>
        <v>252</v>
      </c>
      <c r="I1223" s="10">
        <v>1</v>
      </c>
    </row>
    <row r="1224" spans="1:9" ht="15.75" thickBot="1" x14ac:dyDescent="0.3">
      <c r="A1224" s="1">
        <v>43466</v>
      </c>
      <c r="B1224" s="8" t="s">
        <v>6</v>
      </c>
      <c r="C1224" t="s">
        <v>7</v>
      </c>
      <c r="D1224" t="s">
        <v>313</v>
      </c>
      <c r="E1224" t="s">
        <v>13</v>
      </c>
      <c r="F1224" s="9">
        <v>393.78</v>
      </c>
      <c r="G1224" s="6">
        <v>16000</v>
      </c>
      <c r="H1224" s="8">
        <f t="shared" si="19"/>
        <v>16000</v>
      </c>
      <c r="I1224" s="10">
        <v>2</v>
      </c>
    </row>
    <row r="1225" spans="1:9" ht="15.75" thickBot="1" x14ac:dyDescent="0.3">
      <c r="A1225" s="1">
        <v>43466</v>
      </c>
      <c r="B1225" s="8" t="s">
        <v>6</v>
      </c>
      <c r="C1225" t="s">
        <v>7</v>
      </c>
      <c r="D1225" t="s">
        <v>314</v>
      </c>
      <c r="E1225" t="s">
        <v>9</v>
      </c>
      <c r="F1225" s="9">
        <v>19451.27</v>
      </c>
      <c r="G1225" s="4">
        <v>576</v>
      </c>
      <c r="H1225" s="8">
        <f t="shared" si="19"/>
        <v>576</v>
      </c>
      <c r="I1225" s="10">
        <v>12</v>
      </c>
    </row>
    <row r="1226" spans="1:9" ht="15.75" thickBot="1" x14ac:dyDescent="0.3">
      <c r="A1226" s="1">
        <v>43800</v>
      </c>
      <c r="B1226" s="8" t="s">
        <v>6</v>
      </c>
      <c r="C1226" t="s">
        <v>7</v>
      </c>
      <c r="D1226" t="s">
        <v>314</v>
      </c>
      <c r="E1226" t="s">
        <v>15</v>
      </c>
      <c r="F1226" s="9">
        <v>62.45</v>
      </c>
      <c r="G1226" s="4">
        <v>0</v>
      </c>
      <c r="H1226" s="8">
        <f t="shared" si="19"/>
        <v>0</v>
      </c>
      <c r="I1226" s="10">
        <v>1</v>
      </c>
    </row>
    <row r="1227" spans="1:9" ht="15.75" thickBot="1" x14ac:dyDescent="0.3">
      <c r="A1227" s="1">
        <v>43800</v>
      </c>
      <c r="B1227" s="8" t="s">
        <v>6</v>
      </c>
      <c r="C1227" t="s">
        <v>7</v>
      </c>
      <c r="D1227" t="s">
        <v>314</v>
      </c>
      <c r="E1227" t="s">
        <v>17</v>
      </c>
      <c r="F1227" s="9">
        <v>107194.48</v>
      </c>
      <c r="G1227" s="4">
        <v>3372</v>
      </c>
      <c r="H1227" s="8">
        <f t="shared" si="19"/>
        <v>3372</v>
      </c>
      <c r="I1227" s="10">
        <v>42</v>
      </c>
    </row>
    <row r="1228" spans="1:9" ht="15.75" thickBot="1" x14ac:dyDescent="0.3">
      <c r="A1228" s="1">
        <v>43800</v>
      </c>
      <c r="B1228" s="8" t="s">
        <v>6</v>
      </c>
      <c r="C1228" t="s">
        <v>7</v>
      </c>
      <c r="D1228" t="s">
        <v>314</v>
      </c>
      <c r="E1228" t="s">
        <v>11</v>
      </c>
      <c r="F1228" s="9">
        <v>3429.75</v>
      </c>
      <c r="G1228" s="4">
        <v>91</v>
      </c>
      <c r="H1228" s="8">
        <f t="shared" si="19"/>
        <v>91</v>
      </c>
      <c r="I1228" s="10">
        <v>5</v>
      </c>
    </row>
    <row r="1229" spans="1:9" ht="15.75" thickBot="1" x14ac:dyDescent="0.3">
      <c r="A1229" s="1">
        <v>43800</v>
      </c>
      <c r="B1229" s="8" t="s">
        <v>6</v>
      </c>
      <c r="C1229" t="s">
        <v>7</v>
      </c>
      <c r="D1229" t="s">
        <v>315</v>
      </c>
      <c r="E1229" t="s">
        <v>9</v>
      </c>
      <c r="F1229" s="9">
        <v>987.6</v>
      </c>
      <c r="G1229" s="4">
        <v>30</v>
      </c>
      <c r="H1229" s="8">
        <f t="shared" si="19"/>
        <v>30</v>
      </c>
      <c r="I1229" s="10">
        <v>3</v>
      </c>
    </row>
    <row r="1230" spans="1:9" ht="15.75" thickBot="1" x14ac:dyDescent="0.3">
      <c r="A1230" s="1">
        <v>43466</v>
      </c>
      <c r="B1230" s="8" t="s">
        <v>6</v>
      </c>
      <c r="C1230" t="s">
        <v>7</v>
      </c>
      <c r="D1230" t="s">
        <v>315</v>
      </c>
      <c r="E1230" t="s">
        <v>15</v>
      </c>
      <c r="F1230" s="9">
        <v>10395.26</v>
      </c>
      <c r="G1230" s="4">
        <v>303</v>
      </c>
      <c r="H1230" s="8">
        <f t="shared" si="19"/>
        <v>303</v>
      </c>
      <c r="I1230" s="10">
        <v>46</v>
      </c>
    </row>
    <row r="1231" spans="1:9" ht="15.75" thickBot="1" x14ac:dyDescent="0.3">
      <c r="A1231" s="1">
        <v>43466</v>
      </c>
      <c r="B1231" s="8" t="s">
        <v>6</v>
      </c>
      <c r="C1231" t="s">
        <v>7</v>
      </c>
      <c r="D1231" t="s">
        <v>315</v>
      </c>
      <c r="E1231" t="s">
        <v>10</v>
      </c>
      <c r="F1231" s="9">
        <v>163078.79</v>
      </c>
      <c r="G1231" s="7">
        <v>8682471.466</v>
      </c>
      <c r="H1231" s="8">
        <f t="shared" si="19"/>
        <v>8682.4714660000009</v>
      </c>
      <c r="I1231" s="10">
        <v>792</v>
      </c>
    </row>
    <row r="1232" spans="1:9" ht="15.75" thickBot="1" x14ac:dyDescent="0.3">
      <c r="A1232" s="1">
        <v>43466</v>
      </c>
      <c r="B1232" s="8" t="s">
        <v>6</v>
      </c>
      <c r="C1232" t="s">
        <v>7</v>
      </c>
      <c r="D1232" t="s">
        <v>315</v>
      </c>
      <c r="E1232" t="s">
        <v>11</v>
      </c>
      <c r="F1232" s="9">
        <v>28224.55</v>
      </c>
      <c r="G1232" s="7">
        <v>11812.162</v>
      </c>
      <c r="H1232" s="8">
        <f t="shared" si="19"/>
        <v>11812.162</v>
      </c>
      <c r="I1232" s="10">
        <v>35</v>
      </c>
    </row>
    <row r="1233" spans="1:9" ht="15.75" thickBot="1" x14ac:dyDescent="0.3">
      <c r="A1233" s="1">
        <v>43800</v>
      </c>
      <c r="B1233" s="8" t="s">
        <v>6</v>
      </c>
      <c r="C1233" t="s">
        <v>7</v>
      </c>
      <c r="D1233" t="s">
        <v>315</v>
      </c>
      <c r="E1233" t="s">
        <v>13</v>
      </c>
      <c r="F1233" s="9">
        <v>6305.86</v>
      </c>
      <c r="G1233" s="7">
        <v>84119.490999999995</v>
      </c>
      <c r="H1233" s="8">
        <f t="shared" si="19"/>
        <v>84119.490999999995</v>
      </c>
      <c r="I1233" s="10">
        <v>24</v>
      </c>
    </row>
    <row r="1234" spans="1:9" ht="15.75" thickBot="1" x14ac:dyDescent="0.3">
      <c r="A1234" s="1">
        <v>43800</v>
      </c>
      <c r="B1234" s="8" t="s">
        <v>6</v>
      </c>
      <c r="C1234" t="s">
        <v>7</v>
      </c>
      <c r="D1234" t="s">
        <v>316</v>
      </c>
      <c r="E1234" t="s">
        <v>9</v>
      </c>
      <c r="F1234" s="9">
        <v>10283.280000000001</v>
      </c>
      <c r="G1234" s="4">
        <v>79</v>
      </c>
      <c r="H1234" s="8">
        <f t="shared" si="19"/>
        <v>79</v>
      </c>
      <c r="I1234" s="10">
        <v>2</v>
      </c>
    </row>
    <row r="1235" spans="1:9" ht="15.75" thickBot="1" x14ac:dyDescent="0.3">
      <c r="A1235" s="1">
        <v>43800</v>
      </c>
      <c r="B1235" s="8" t="s">
        <v>6</v>
      </c>
      <c r="C1235" t="s">
        <v>7</v>
      </c>
      <c r="D1235" t="s">
        <v>316</v>
      </c>
      <c r="E1235" t="s">
        <v>10</v>
      </c>
      <c r="F1235" s="9">
        <v>81.569999999999993</v>
      </c>
      <c r="G1235" s="5">
        <v>0</v>
      </c>
      <c r="H1235" s="8">
        <f t="shared" si="19"/>
        <v>0</v>
      </c>
      <c r="I1235" s="10">
        <v>1</v>
      </c>
    </row>
    <row r="1236" spans="1:9" ht="15.75" thickBot="1" x14ac:dyDescent="0.3">
      <c r="A1236" s="1">
        <v>43800</v>
      </c>
      <c r="B1236" s="8" t="s">
        <v>6</v>
      </c>
      <c r="C1236" t="s">
        <v>7</v>
      </c>
      <c r="D1236" t="s">
        <v>316</v>
      </c>
      <c r="E1236" t="s">
        <v>11</v>
      </c>
      <c r="F1236" s="9">
        <v>7536.62</v>
      </c>
      <c r="G1236" s="4">
        <v>64</v>
      </c>
      <c r="H1236" s="8">
        <f t="shared" si="19"/>
        <v>64</v>
      </c>
      <c r="I1236" s="10">
        <v>3</v>
      </c>
    </row>
    <row r="1237" spans="1:9" ht="15.75" thickBot="1" x14ac:dyDescent="0.3">
      <c r="A1237" s="1">
        <v>43466</v>
      </c>
      <c r="B1237" s="8" t="s">
        <v>6</v>
      </c>
      <c r="C1237" t="s">
        <v>7</v>
      </c>
      <c r="D1237" t="s">
        <v>317</v>
      </c>
      <c r="E1237" t="s">
        <v>9</v>
      </c>
      <c r="F1237" s="9">
        <v>20643.28</v>
      </c>
      <c r="G1237" s="4">
        <v>404</v>
      </c>
      <c r="H1237" s="8">
        <f t="shared" si="19"/>
        <v>404</v>
      </c>
      <c r="I1237" s="10">
        <v>11</v>
      </c>
    </row>
    <row r="1238" spans="1:9" ht="15.75" thickBot="1" x14ac:dyDescent="0.3">
      <c r="A1238" s="1">
        <v>43466</v>
      </c>
      <c r="B1238" s="8" t="s">
        <v>6</v>
      </c>
      <c r="C1238" t="s">
        <v>7</v>
      </c>
      <c r="D1238" t="s">
        <v>317</v>
      </c>
      <c r="E1238" t="s">
        <v>10</v>
      </c>
      <c r="F1238" s="9">
        <v>43501.120000000003</v>
      </c>
      <c r="G1238" s="6">
        <v>1779000</v>
      </c>
      <c r="H1238" s="8">
        <f t="shared" si="19"/>
        <v>1779</v>
      </c>
      <c r="I1238" s="10">
        <v>9</v>
      </c>
    </row>
    <row r="1239" spans="1:9" ht="15.75" thickBot="1" x14ac:dyDescent="0.3">
      <c r="A1239" s="1">
        <v>43466</v>
      </c>
      <c r="B1239" s="8" t="s">
        <v>6</v>
      </c>
      <c r="C1239" t="s">
        <v>7</v>
      </c>
      <c r="D1239" t="s">
        <v>317</v>
      </c>
      <c r="E1239" t="s">
        <v>11</v>
      </c>
      <c r="F1239" s="9">
        <v>15612.58</v>
      </c>
      <c r="G1239" s="7">
        <v>632040</v>
      </c>
      <c r="H1239" s="8">
        <f t="shared" si="19"/>
        <v>632040</v>
      </c>
      <c r="I1239" s="10">
        <v>8</v>
      </c>
    </row>
    <row r="1240" spans="1:9" ht="15.75" thickBot="1" x14ac:dyDescent="0.3">
      <c r="A1240" s="1">
        <v>43800</v>
      </c>
      <c r="B1240" s="8" t="s">
        <v>6</v>
      </c>
      <c r="C1240" t="s">
        <v>7</v>
      </c>
      <c r="D1240" t="s">
        <v>317</v>
      </c>
      <c r="E1240" t="s">
        <v>13</v>
      </c>
      <c r="F1240" s="9">
        <v>1370.74</v>
      </c>
      <c r="G1240" s="6">
        <v>37000</v>
      </c>
      <c r="H1240" s="8">
        <f t="shared" si="19"/>
        <v>37000</v>
      </c>
      <c r="I1240" s="10">
        <v>1</v>
      </c>
    </row>
    <row r="1241" spans="1:9" ht="15.75" thickBot="1" x14ac:dyDescent="0.3">
      <c r="A1241" s="1">
        <v>43800</v>
      </c>
      <c r="B1241" s="8" t="s">
        <v>6</v>
      </c>
      <c r="C1241" t="s">
        <v>7</v>
      </c>
      <c r="D1241" t="s">
        <v>318</v>
      </c>
      <c r="E1241" t="s">
        <v>9</v>
      </c>
      <c r="F1241" s="9">
        <v>13803.37</v>
      </c>
      <c r="G1241" s="4">
        <v>448</v>
      </c>
      <c r="H1241" s="8">
        <f t="shared" si="19"/>
        <v>448</v>
      </c>
      <c r="I1241" s="10">
        <v>12</v>
      </c>
    </row>
    <row r="1242" spans="1:9" ht="15.75" thickBot="1" x14ac:dyDescent="0.3">
      <c r="A1242" s="1">
        <v>43800</v>
      </c>
      <c r="B1242" s="8" t="s">
        <v>6</v>
      </c>
      <c r="C1242" t="s">
        <v>7</v>
      </c>
      <c r="D1242" t="s">
        <v>318</v>
      </c>
      <c r="E1242" t="s">
        <v>15</v>
      </c>
      <c r="F1242" s="9">
        <v>691.24</v>
      </c>
      <c r="G1242" s="4">
        <v>7</v>
      </c>
      <c r="H1242" s="8">
        <f t="shared" si="19"/>
        <v>7</v>
      </c>
      <c r="I1242" s="10">
        <v>2</v>
      </c>
    </row>
    <row r="1243" spans="1:9" ht="15.75" thickBot="1" x14ac:dyDescent="0.3">
      <c r="A1243" s="1">
        <v>43800</v>
      </c>
      <c r="B1243" s="8" t="s">
        <v>6</v>
      </c>
      <c r="C1243" t="s">
        <v>7</v>
      </c>
      <c r="D1243" t="s">
        <v>318</v>
      </c>
      <c r="E1243" t="s">
        <v>10</v>
      </c>
      <c r="F1243" s="9">
        <v>334005.53999999998</v>
      </c>
      <c r="G1243" s="7">
        <v>12154336.290999999</v>
      </c>
      <c r="H1243" s="8">
        <f t="shared" si="19"/>
        <v>12154.336291</v>
      </c>
      <c r="I1243" s="10">
        <v>969</v>
      </c>
    </row>
    <row r="1244" spans="1:9" ht="15.75" thickBot="1" x14ac:dyDescent="0.3">
      <c r="A1244" s="1">
        <v>43466</v>
      </c>
      <c r="B1244" s="8" t="s">
        <v>6</v>
      </c>
      <c r="C1244" t="s">
        <v>7</v>
      </c>
      <c r="D1244" t="s">
        <v>318</v>
      </c>
      <c r="E1244" t="s">
        <v>11</v>
      </c>
      <c r="F1244" s="9">
        <v>34285.379999999997</v>
      </c>
      <c r="G1244" s="7">
        <v>13183.09</v>
      </c>
      <c r="H1244" s="8">
        <f t="shared" si="19"/>
        <v>13183.09</v>
      </c>
      <c r="I1244" s="10">
        <v>23</v>
      </c>
    </row>
    <row r="1245" spans="1:9" ht="15.75" thickBot="1" x14ac:dyDescent="0.3">
      <c r="A1245" s="1">
        <v>43466</v>
      </c>
      <c r="B1245" s="8" t="s">
        <v>6</v>
      </c>
      <c r="C1245" t="s">
        <v>7</v>
      </c>
      <c r="D1245" t="s">
        <v>318</v>
      </c>
      <c r="E1245" t="s">
        <v>13</v>
      </c>
      <c r="F1245" s="9">
        <v>4928.92</v>
      </c>
      <c r="G1245" s="7">
        <v>110296.912</v>
      </c>
      <c r="H1245" s="8">
        <f t="shared" si="19"/>
        <v>110296.912</v>
      </c>
      <c r="I1245" s="10">
        <v>9</v>
      </c>
    </row>
    <row r="1246" spans="1:9" ht="15.75" thickBot="1" x14ac:dyDescent="0.3">
      <c r="A1246" s="1">
        <v>43466</v>
      </c>
      <c r="B1246" s="8" t="s">
        <v>6</v>
      </c>
      <c r="C1246" t="s">
        <v>7</v>
      </c>
      <c r="D1246" t="s">
        <v>319</v>
      </c>
      <c r="E1246" t="s">
        <v>10</v>
      </c>
      <c r="F1246" s="9">
        <v>17098.66</v>
      </c>
      <c r="G1246" s="6">
        <v>490573.2</v>
      </c>
      <c r="H1246" s="8">
        <f t="shared" si="19"/>
        <v>490.57319999999999</v>
      </c>
      <c r="I1246" s="10">
        <v>81</v>
      </c>
    </row>
    <row r="1247" spans="1:9" ht="15.75" thickBot="1" x14ac:dyDescent="0.3">
      <c r="A1247" s="1">
        <v>43800</v>
      </c>
      <c r="B1247" s="8" t="s">
        <v>6</v>
      </c>
      <c r="C1247" t="s">
        <v>7</v>
      </c>
      <c r="D1247" t="s">
        <v>320</v>
      </c>
      <c r="E1247" t="s">
        <v>9</v>
      </c>
      <c r="F1247" s="9">
        <v>4487.8599999999997</v>
      </c>
      <c r="G1247" s="4">
        <v>124</v>
      </c>
      <c r="H1247" s="8">
        <f t="shared" si="19"/>
        <v>124</v>
      </c>
      <c r="I1247" s="10">
        <v>7</v>
      </c>
    </row>
    <row r="1248" spans="1:9" ht="15.75" thickBot="1" x14ac:dyDescent="0.3">
      <c r="A1248" s="1">
        <v>43800</v>
      </c>
      <c r="B1248" s="8" t="s">
        <v>6</v>
      </c>
      <c r="C1248" t="s">
        <v>7</v>
      </c>
      <c r="D1248" t="s">
        <v>320</v>
      </c>
      <c r="E1248" t="s">
        <v>15</v>
      </c>
      <c r="F1248" s="9">
        <v>435223.42</v>
      </c>
      <c r="G1248" s="7">
        <v>6610729.0310000004</v>
      </c>
      <c r="H1248" s="8">
        <f t="shared" si="19"/>
        <v>6610729.0310000004</v>
      </c>
      <c r="I1248" s="10">
        <v>52</v>
      </c>
    </row>
    <row r="1249" spans="1:9" ht="15.75" thickBot="1" x14ac:dyDescent="0.3">
      <c r="A1249" s="1">
        <v>43800</v>
      </c>
      <c r="B1249" s="8" t="s">
        <v>6</v>
      </c>
      <c r="C1249" t="s">
        <v>7</v>
      </c>
      <c r="D1249" t="s">
        <v>320</v>
      </c>
      <c r="E1249" t="s">
        <v>10</v>
      </c>
      <c r="F1249" s="9">
        <v>411898.34</v>
      </c>
      <c r="G1249" s="7">
        <v>21157643.497000001</v>
      </c>
      <c r="H1249" s="8">
        <f t="shared" si="19"/>
        <v>21157.643497000001</v>
      </c>
      <c r="I1249" s="10">
        <v>2162</v>
      </c>
    </row>
    <row r="1250" spans="1:9" ht="15.75" thickBot="1" x14ac:dyDescent="0.3">
      <c r="A1250" s="1">
        <v>43800</v>
      </c>
      <c r="B1250" s="8" t="s">
        <v>6</v>
      </c>
      <c r="C1250" t="s">
        <v>7</v>
      </c>
      <c r="D1250" t="s">
        <v>320</v>
      </c>
      <c r="E1250" t="s">
        <v>17</v>
      </c>
      <c r="F1250" s="9">
        <v>356.52</v>
      </c>
      <c r="G1250" s="4">
        <v>11</v>
      </c>
      <c r="H1250" s="8">
        <f t="shared" si="19"/>
        <v>11</v>
      </c>
      <c r="I1250" s="10">
        <v>1</v>
      </c>
    </row>
    <row r="1251" spans="1:9" ht="15.75" thickBot="1" x14ac:dyDescent="0.3">
      <c r="A1251" s="1">
        <v>43466</v>
      </c>
      <c r="B1251" s="8" t="s">
        <v>6</v>
      </c>
      <c r="C1251" t="s">
        <v>7</v>
      </c>
      <c r="D1251" t="s">
        <v>320</v>
      </c>
      <c r="E1251" t="s">
        <v>11</v>
      </c>
      <c r="F1251" s="9">
        <v>235201.87</v>
      </c>
      <c r="G1251" s="7">
        <v>490073.29800000001</v>
      </c>
      <c r="H1251" s="8">
        <f t="shared" si="19"/>
        <v>490073.29800000001</v>
      </c>
      <c r="I1251" s="10">
        <v>154</v>
      </c>
    </row>
    <row r="1252" spans="1:9" ht="15.75" thickBot="1" x14ac:dyDescent="0.3">
      <c r="A1252" s="1">
        <v>43466</v>
      </c>
      <c r="B1252" s="8" t="s">
        <v>6</v>
      </c>
      <c r="C1252" t="s">
        <v>7</v>
      </c>
      <c r="D1252" t="s">
        <v>320</v>
      </c>
      <c r="E1252" t="s">
        <v>13</v>
      </c>
      <c r="F1252" s="9">
        <v>37216.980000000003</v>
      </c>
      <c r="G1252" s="7">
        <v>552951.19900000002</v>
      </c>
      <c r="H1252" s="8">
        <f t="shared" si="19"/>
        <v>552951.19900000002</v>
      </c>
      <c r="I1252" s="10">
        <v>140</v>
      </c>
    </row>
    <row r="1253" spans="1:9" ht="15.75" thickBot="1" x14ac:dyDescent="0.3">
      <c r="A1253" s="1">
        <v>43466</v>
      </c>
      <c r="B1253" s="8" t="s">
        <v>6</v>
      </c>
      <c r="C1253" t="s">
        <v>7</v>
      </c>
      <c r="D1253" t="s">
        <v>321</v>
      </c>
      <c r="E1253" t="s">
        <v>9</v>
      </c>
      <c r="F1253" s="9">
        <v>2842.12</v>
      </c>
      <c r="G1253" s="4">
        <v>91</v>
      </c>
      <c r="H1253" s="8">
        <f t="shared" si="19"/>
        <v>91</v>
      </c>
      <c r="I1253" s="10">
        <v>4</v>
      </c>
    </row>
    <row r="1254" spans="1:9" ht="15.75" thickBot="1" x14ac:dyDescent="0.3">
      <c r="A1254" s="1">
        <v>43800</v>
      </c>
      <c r="B1254" s="8" t="s">
        <v>6</v>
      </c>
      <c r="C1254" t="s">
        <v>7</v>
      </c>
      <c r="D1254" t="s">
        <v>321</v>
      </c>
      <c r="E1254" t="s">
        <v>10</v>
      </c>
      <c r="F1254" s="9">
        <v>104303.82</v>
      </c>
      <c r="G1254" s="6">
        <v>2984723.9219999998</v>
      </c>
      <c r="H1254" s="8">
        <f t="shared" si="19"/>
        <v>2984.7239219999997</v>
      </c>
      <c r="I1254" s="10">
        <v>262</v>
      </c>
    </row>
    <row r="1255" spans="1:9" ht="15.75" thickBot="1" x14ac:dyDescent="0.3">
      <c r="A1255" s="1">
        <v>43800</v>
      </c>
      <c r="B1255" s="8" t="s">
        <v>6</v>
      </c>
      <c r="C1255" t="s">
        <v>7</v>
      </c>
      <c r="D1255" t="s">
        <v>321</v>
      </c>
      <c r="E1255" t="s">
        <v>13</v>
      </c>
      <c r="F1255" s="9">
        <v>263.14</v>
      </c>
      <c r="G1255" s="6">
        <v>0</v>
      </c>
      <c r="H1255" s="8">
        <f t="shared" si="19"/>
        <v>0</v>
      </c>
      <c r="I1255" s="10">
        <v>3</v>
      </c>
    </row>
    <row r="1256" spans="1:9" ht="15.75" thickBot="1" x14ac:dyDescent="0.3">
      <c r="A1256" s="1">
        <v>43800</v>
      </c>
      <c r="B1256" s="8" t="s">
        <v>6</v>
      </c>
      <c r="C1256" t="s">
        <v>7</v>
      </c>
      <c r="D1256" t="s">
        <v>322</v>
      </c>
      <c r="E1256" t="s">
        <v>9</v>
      </c>
      <c r="F1256" s="9">
        <v>4935.84</v>
      </c>
      <c r="G1256" s="4">
        <v>37</v>
      </c>
      <c r="H1256" s="8">
        <f t="shared" si="19"/>
        <v>37</v>
      </c>
      <c r="I1256" s="10">
        <v>2</v>
      </c>
    </row>
    <row r="1257" spans="1:9" ht="15.75" thickBot="1" x14ac:dyDescent="0.3">
      <c r="A1257" s="1">
        <v>43800</v>
      </c>
      <c r="B1257" s="8" t="s">
        <v>6</v>
      </c>
      <c r="C1257" t="s">
        <v>7</v>
      </c>
      <c r="D1257" t="s">
        <v>322</v>
      </c>
      <c r="E1257" t="s">
        <v>10</v>
      </c>
      <c r="F1257" s="9">
        <v>5420.7</v>
      </c>
      <c r="G1257" s="6">
        <v>98000</v>
      </c>
      <c r="H1257" s="8">
        <f t="shared" si="19"/>
        <v>98</v>
      </c>
      <c r="I1257" s="10">
        <v>5</v>
      </c>
    </row>
    <row r="1258" spans="1:9" ht="15.75" thickBot="1" x14ac:dyDescent="0.3">
      <c r="A1258" s="1">
        <v>43466</v>
      </c>
      <c r="B1258" s="8" t="s">
        <v>6</v>
      </c>
      <c r="C1258" t="s">
        <v>7</v>
      </c>
      <c r="D1258" t="s">
        <v>322</v>
      </c>
      <c r="E1258" t="s">
        <v>17</v>
      </c>
      <c r="F1258" s="9">
        <v>114991.98</v>
      </c>
      <c r="G1258" s="4">
        <v>2819</v>
      </c>
      <c r="H1258" s="8">
        <f t="shared" si="19"/>
        <v>2819</v>
      </c>
      <c r="I1258" s="10">
        <v>72</v>
      </c>
    </row>
    <row r="1259" spans="1:9" ht="15.75" thickBot="1" x14ac:dyDescent="0.3">
      <c r="A1259" s="1">
        <v>43466</v>
      </c>
      <c r="B1259" s="8" t="s">
        <v>6</v>
      </c>
      <c r="C1259" t="s">
        <v>7</v>
      </c>
      <c r="D1259" t="s">
        <v>322</v>
      </c>
      <c r="E1259" t="s">
        <v>11</v>
      </c>
      <c r="F1259" s="9">
        <v>6183.58</v>
      </c>
      <c r="G1259" s="4">
        <v>59</v>
      </c>
      <c r="H1259" s="8">
        <f t="shared" si="19"/>
        <v>59</v>
      </c>
      <c r="I1259" s="10">
        <v>14</v>
      </c>
    </row>
    <row r="1260" spans="1:9" ht="15.75" thickBot="1" x14ac:dyDescent="0.3">
      <c r="A1260" s="1">
        <v>43466</v>
      </c>
      <c r="B1260" s="8" t="s">
        <v>6</v>
      </c>
      <c r="C1260" t="s">
        <v>7</v>
      </c>
      <c r="D1260" t="s">
        <v>322</v>
      </c>
      <c r="E1260" t="s">
        <v>13</v>
      </c>
      <c r="F1260" s="9">
        <v>483.84</v>
      </c>
      <c r="G1260" s="4">
        <v>12</v>
      </c>
      <c r="H1260" s="8">
        <f t="shared" si="19"/>
        <v>12</v>
      </c>
      <c r="I1260" s="10">
        <v>1</v>
      </c>
    </row>
    <row r="1261" spans="1:9" ht="15.75" thickBot="1" x14ac:dyDescent="0.3">
      <c r="A1261" s="1">
        <v>43800</v>
      </c>
      <c r="B1261" s="8" t="s">
        <v>6</v>
      </c>
      <c r="C1261" t="s">
        <v>7</v>
      </c>
      <c r="D1261" t="s">
        <v>323</v>
      </c>
      <c r="E1261" t="s">
        <v>10</v>
      </c>
      <c r="F1261" s="9">
        <v>38694.89</v>
      </c>
      <c r="G1261" s="6">
        <v>1381000</v>
      </c>
      <c r="H1261" s="8">
        <f t="shared" si="19"/>
        <v>1381</v>
      </c>
      <c r="I1261" s="10">
        <v>130</v>
      </c>
    </row>
    <row r="1262" spans="1:9" ht="15.75" thickBot="1" x14ac:dyDescent="0.3">
      <c r="A1262" s="1">
        <v>43800</v>
      </c>
      <c r="B1262" s="8" t="s">
        <v>6</v>
      </c>
      <c r="C1262" t="s">
        <v>7</v>
      </c>
      <c r="D1262" t="s">
        <v>324</v>
      </c>
      <c r="E1262" t="s">
        <v>9</v>
      </c>
      <c r="F1262" s="9">
        <v>12257.48</v>
      </c>
      <c r="G1262" s="7">
        <v>91168</v>
      </c>
      <c r="H1262" s="8">
        <f t="shared" si="19"/>
        <v>91168</v>
      </c>
      <c r="I1262" s="10">
        <v>3</v>
      </c>
    </row>
    <row r="1263" spans="1:9" ht="15.75" thickBot="1" x14ac:dyDescent="0.3">
      <c r="A1263" s="1">
        <v>43800</v>
      </c>
      <c r="B1263" s="8" t="s">
        <v>6</v>
      </c>
      <c r="C1263" t="s">
        <v>7</v>
      </c>
      <c r="D1263" t="s">
        <v>324</v>
      </c>
      <c r="E1263" t="s">
        <v>10</v>
      </c>
      <c r="F1263" s="9">
        <v>138238.39000000001</v>
      </c>
      <c r="G1263" s="7">
        <v>2956452.8849999998</v>
      </c>
      <c r="H1263" s="8">
        <f t="shared" si="19"/>
        <v>2956.4528849999997</v>
      </c>
      <c r="I1263" s="10">
        <v>653</v>
      </c>
    </row>
    <row r="1264" spans="1:9" ht="15.75" thickBot="1" x14ac:dyDescent="0.3">
      <c r="A1264" s="1">
        <v>43800</v>
      </c>
      <c r="B1264" s="8" t="s">
        <v>6</v>
      </c>
      <c r="C1264" t="s">
        <v>7</v>
      </c>
      <c r="D1264" t="s">
        <v>324</v>
      </c>
      <c r="E1264" t="s">
        <v>11</v>
      </c>
      <c r="F1264" s="9">
        <v>48427.28</v>
      </c>
      <c r="G1264" s="7">
        <v>7533.3919999999998</v>
      </c>
      <c r="H1264" s="8">
        <f t="shared" si="19"/>
        <v>7533.3919999999998</v>
      </c>
      <c r="I1264" s="10">
        <v>5</v>
      </c>
    </row>
    <row r="1265" spans="1:9" ht="15.75" thickBot="1" x14ac:dyDescent="0.3">
      <c r="A1265" s="1">
        <v>43466</v>
      </c>
      <c r="B1265" s="8" t="s">
        <v>6</v>
      </c>
      <c r="C1265" t="s">
        <v>7</v>
      </c>
      <c r="D1265" t="s">
        <v>324</v>
      </c>
      <c r="E1265" t="s">
        <v>13</v>
      </c>
      <c r="F1265" s="9">
        <v>1661.49</v>
      </c>
      <c r="G1265" s="6">
        <v>37000</v>
      </c>
      <c r="H1265" s="8">
        <f t="shared" si="19"/>
        <v>37000</v>
      </c>
      <c r="I1265" s="10">
        <v>11</v>
      </c>
    </row>
    <row r="1266" spans="1:9" ht="15.75" thickBot="1" x14ac:dyDescent="0.3">
      <c r="A1266" s="1">
        <v>43466</v>
      </c>
      <c r="B1266" s="8" t="s">
        <v>6</v>
      </c>
      <c r="C1266" t="s">
        <v>7</v>
      </c>
      <c r="D1266" t="s">
        <v>325</v>
      </c>
      <c r="E1266" t="s">
        <v>9</v>
      </c>
      <c r="F1266" s="9">
        <v>127.32</v>
      </c>
      <c r="G1266" s="4">
        <v>1</v>
      </c>
      <c r="H1266" s="8">
        <f t="shared" si="19"/>
        <v>1</v>
      </c>
      <c r="I1266" s="10">
        <v>1</v>
      </c>
    </row>
    <row r="1267" spans="1:9" ht="15.75" thickBot="1" x14ac:dyDescent="0.3">
      <c r="A1267" s="1">
        <v>43466</v>
      </c>
      <c r="B1267" s="8" t="s">
        <v>6</v>
      </c>
      <c r="C1267" t="s">
        <v>7</v>
      </c>
      <c r="D1267" t="s">
        <v>325</v>
      </c>
      <c r="E1267" t="s">
        <v>10</v>
      </c>
      <c r="F1267" s="9">
        <v>55558.77</v>
      </c>
      <c r="G1267" s="6">
        <v>1733649.3359999999</v>
      </c>
      <c r="H1267" s="8">
        <f t="shared" si="19"/>
        <v>1733.6493359999999</v>
      </c>
      <c r="I1267" s="10">
        <v>132</v>
      </c>
    </row>
    <row r="1268" spans="1:9" ht="15.75" thickBot="1" x14ac:dyDescent="0.3">
      <c r="A1268" s="1">
        <v>43800</v>
      </c>
      <c r="B1268" s="8" t="s">
        <v>6</v>
      </c>
      <c r="C1268" t="s">
        <v>7</v>
      </c>
      <c r="D1268" t="s">
        <v>325</v>
      </c>
      <c r="E1268" t="s">
        <v>11</v>
      </c>
      <c r="F1268" s="9">
        <v>808.37</v>
      </c>
      <c r="G1268" s="4">
        <v>11</v>
      </c>
      <c r="H1268" s="8">
        <f t="shared" si="19"/>
        <v>11</v>
      </c>
      <c r="I1268" s="10">
        <v>6</v>
      </c>
    </row>
    <row r="1269" spans="1:9" ht="15.75" thickBot="1" x14ac:dyDescent="0.3">
      <c r="A1269" s="1">
        <v>43800</v>
      </c>
      <c r="B1269" s="8" t="s">
        <v>6</v>
      </c>
      <c r="C1269" t="s">
        <v>7</v>
      </c>
      <c r="D1269" t="s">
        <v>325</v>
      </c>
      <c r="E1269" t="s">
        <v>13</v>
      </c>
      <c r="F1269" s="9">
        <v>-1060.27</v>
      </c>
      <c r="G1269" s="7">
        <v>-1351093.91</v>
      </c>
      <c r="H1269" s="8">
        <f t="shared" si="19"/>
        <v>-1351093.91</v>
      </c>
      <c r="I1269" s="10">
        <v>3</v>
      </c>
    </row>
    <row r="1270" spans="1:9" ht="15.75" thickBot="1" x14ac:dyDescent="0.3">
      <c r="A1270" s="1">
        <v>43800</v>
      </c>
      <c r="B1270" s="8" t="s">
        <v>6</v>
      </c>
      <c r="C1270" t="s">
        <v>7</v>
      </c>
      <c r="D1270" t="s">
        <v>326</v>
      </c>
      <c r="E1270" t="s">
        <v>9</v>
      </c>
      <c r="F1270" s="9">
        <v>50120.19</v>
      </c>
      <c r="G1270" s="7">
        <v>30665</v>
      </c>
      <c r="H1270" s="8">
        <f t="shared" si="19"/>
        <v>30665</v>
      </c>
      <c r="I1270" s="10">
        <v>6</v>
      </c>
    </row>
    <row r="1271" spans="1:9" ht="15.75" thickBot="1" x14ac:dyDescent="0.3">
      <c r="A1271" s="1">
        <v>43800</v>
      </c>
      <c r="B1271" s="8" t="s">
        <v>6</v>
      </c>
      <c r="C1271" t="s">
        <v>7</v>
      </c>
      <c r="D1271" t="s">
        <v>326</v>
      </c>
      <c r="E1271" t="s">
        <v>15</v>
      </c>
      <c r="F1271" s="9">
        <v>200</v>
      </c>
      <c r="G1271" s="4">
        <v>0</v>
      </c>
      <c r="H1271" s="8">
        <f t="shared" si="19"/>
        <v>0</v>
      </c>
      <c r="I1271" s="10">
        <v>2</v>
      </c>
    </row>
    <row r="1272" spans="1:9" ht="15.75" thickBot="1" x14ac:dyDescent="0.3">
      <c r="A1272" s="1">
        <v>43466</v>
      </c>
      <c r="B1272" s="8" t="s">
        <v>6</v>
      </c>
      <c r="C1272" t="s">
        <v>7</v>
      </c>
      <c r="D1272" t="s">
        <v>326</v>
      </c>
      <c r="E1272" t="s">
        <v>10</v>
      </c>
      <c r="F1272" s="9">
        <v>427337.32</v>
      </c>
      <c r="G1272" s="7">
        <v>13019931.921</v>
      </c>
      <c r="H1272" s="8">
        <f t="shared" si="19"/>
        <v>13019.931920999999</v>
      </c>
      <c r="I1272" s="10">
        <v>1138</v>
      </c>
    </row>
    <row r="1273" spans="1:9" ht="15.75" thickBot="1" x14ac:dyDescent="0.3">
      <c r="A1273" s="1">
        <v>43466</v>
      </c>
      <c r="B1273" s="8" t="s">
        <v>6</v>
      </c>
      <c r="C1273" t="s">
        <v>7</v>
      </c>
      <c r="D1273" t="s">
        <v>326</v>
      </c>
      <c r="E1273" t="s">
        <v>11</v>
      </c>
      <c r="F1273" s="9">
        <v>5224.7700000000004</v>
      </c>
      <c r="G1273" s="7">
        <v>28049</v>
      </c>
      <c r="H1273" s="8">
        <f t="shared" si="19"/>
        <v>28049</v>
      </c>
      <c r="I1273" s="10">
        <v>18</v>
      </c>
    </row>
    <row r="1274" spans="1:9" ht="15.75" thickBot="1" x14ac:dyDescent="0.3">
      <c r="A1274" s="1">
        <v>43466</v>
      </c>
      <c r="B1274" s="8" t="s">
        <v>6</v>
      </c>
      <c r="C1274" t="s">
        <v>7</v>
      </c>
      <c r="D1274" t="s">
        <v>326</v>
      </c>
      <c r="E1274" t="s">
        <v>13</v>
      </c>
      <c r="F1274" s="9">
        <v>3223.02</v>
      </c>
      <c r="G1274" s="6">
        <v>104000</v>
      </c>
      <c r="H1274" s="8">
        <f t="shared" si="19"/>
        <v>104000</v>
      </c>
      <c r="I1274" s="10">
        <v>9</v>
      </c>
    </row>
    <row r="1275" spans="1:9" ht="15.75" thickBot="1" x14ac:dyDescent="0.3">
      <c r="A1275" s="1">
        <v>43800</v>
      </c>
      <c r="B1275" s="8" t="s">
        <v>6</v>
      </c>
      <c r="C1275" t="s">
        <v>7</v>
      </c>
      <c r="D1275" t="s">
        <v>327</v>
      </c>
      <c r="E1275" t="s">
        <v>15</v>
      </c>
      <c r="F1275" s="9">
        <v>100</v>
      </c>
      <c r="G1275" s="4">
        <v>0</v>
      </c>
      <c r="H1275" s="8">
        <f t="shared" si="19"/>
        <v>0</v>
      </c>
      <c r="I1275" s="10">
        <v>1</v>
      </c>
    </row>
    <row r="1276" spans="1:9" ht="15.75" thickBot="1" x14ac:dyDescent="0.3">
      <c r="A1276" s="1">
        <v>43800</v>
      </c>
      <c r="B1276" s="8" t="s">
        <v>6</v>
      </c>
      <c r="C1276" t="s">
        <v>7</v>
      </c>
      <c r="D1276" t="s">
        <v>327</v>
      </c>
      <c r="E1276" t="s">
        <v>10</v>
      </c>
      <c r="F1276" s="9">
        <v>17765.72</v>
      </c>
      <c r="G1276" s="6">
        <v>571777.77800000005</v>
      </c>
      <c r="H1276" s="8">
        <f t="shared" si="19"/>
        <v>571.77777800000001</v>
      </c>
      <c r="I1276" s="10">
        <v>88</v>
      </c>
    </row>
    <row r="1277" spans="1:9" ht="15.75" thickBot="1" x14ac:dyDescent="0.3">
      <c r="A1277" s="1">
        <v>43800</v>
      </c>
      <c r="B1277" s="8" t="s">
        <v>6</v>
      </c>
      <c r="C1277" t="s">
        <v>7</v>
      </c>
      <c r="D1277" t="s">
        <v>327</v>
      </c>
      <c r="E1277" t="s">
        <v>11</v>
      </c>
      <c r="F1277" s="9">
        <v>492.34</v>
      </c>
      <c r="G1277" s="4">
        <v>10</v>
      </c>
      <c r="H1277" s="8">
        <f t="shared" si="19"/>
        <v>10</v>
      </c>
      <c r="I1277" s="10">
        <v>3</v>
      </c>
    </row>
    <row r="1278" spans="1:9" ht="15.75" thickBot="1" x14ac:dyDescent="0.3">
      <c r="A1278" s="1">
        <v>43800</v>
      </c>
      <c r="B1278" s="8" t="s">
        <v>6</v>
      </c>
      <c r="C1278" t="s">
        <v>7</v>
      </c>
      <c r="D1278" t="s">
        <v>328</v>
      </c>
      <c r="E1278" t="s">
        <v>9</v>
      </c>
      <c r="F1278" s="9">
        <v>1392.8</v>
      </c>
      <c r="G1278" s="4">
        <v>40</v>
      </c>
      <c r="H1278" s="8">
        <f t="shared" si="19"/>
        <v>40</v>
      </c>
      <c r="I1278" s="10">
        <v>3</v>
      </c>
    </row>
    <row r="1279" spans="1:9" ht="15.75" thickBot="1" x14ac:dyDescent="0.3">
      <c r="A1279" s="1">
        <v>43466</v>
      </c>
      <c r="B1279" s="8" t="s">
        <v>6</v>
      </c>
      <c r="C1279" t="s">
        <v>7</v>
      </c>
      <c r="D1279" t="s">
        <v>328</v>
      </c>
      <c r="E1279" t="s">
        <v>15</v>
      </c>
      <c r="F1279" s="9">
        <v>3266.52</v>
      </c>
      <c r="G1279" s="4">
        <v>61</v>
      </c>
      <c r="H1279" s="8">
        <f t="shared" si="19"/>
        <v>61</v>
      </c>
      <c r="I1279" s="10">
        <v>1</v>
      </c>
    </row>
    <row r="1280" spans="1:9" ht="15.75" thickBot="1" x14ac:dyDescent="0.3">
      <c r="A1280" s="1">
        <v>43466</v>
      </c>
      <c r="B1280" s="8" t="s">
        <v>6</v>
      </c>
      <c r="C1280" t="s">
        <v>7</v>
      </c>
      <c r="D1280" t="s">
        <v>328</v>
      </c>
      <c r="E1280" t="s">
        <v>10</v>
      </c>
      <c r="F1280" s="9">
        <v>126990.43</v>
      </c>
      <c r="G1280" s="7">
        <v>3630118.0959999999</v>
      </c>
      <c r="H1280" s="8">
        <f t="shared" si="19"/>
        <v>3630.1180959999997</v>
      </c>
      <c r="I1280" s="10">
        <v>357</v>
      </c>
    </row>
    <row r="1281" spans="1:9" ht="15.75" thickBot="1" x14ac:dyDescent="0.3">
      <c r="A1281" s="1">
        <v>43466</v>
      </c>
      <c r="B1281" s="8" t="s">
        <v>6</v>
      </c>
      <c r="C1281" t="s">
        <v>7</v>
      </c>
      <c r="D1281" t="s">
        <v>328</v>
      </c>
      <c r="E1281" t="s">
        <v>11</v>
      </c>
      <c r="F1281" s="9">
        <v>7273.4</v>
      </c>
      <c r="G1281" s="4">
        <v>145</v>
      </c>
      <c r="H1281" s="8">
        <f t="shared" si="19"/>
        <v>145</v>
      </c>
      <c r="I1281" s="10">
        <v>4</v>
      </c>
    </row>
    <row r="1282" spans="1:9" ht="15.75" thickBot="1" x14ac:dyDescent="0.3">
      <c r="A1282" s="1">
        <v>43800</v>
      </c>
      <c r="B1282" s="8" t="s">
        <v>6</v>
      </c>
      <c r="C1282" t="s">
        <v>7</v>
      </c>
      <c r="D1282" t="s">
        <v>328</v>
      </c>
      <c r="E1282" t="s">
        <v>13</v>
      </c>
      <c r="F1282" s="9">
        <v>323.45999999999998</v>
      </c>
      <c r="G1282" s="7">
        <v>4617.3850000000002</v>
      </c>
      <c r="H1282" s="8">
        <f t="shared" ref="H1282:H1345" si="20">IF(ISNUMBER(SEARCH("Domestic customer", E1282)),G1282/1000,G1282)</f>
        <v>4617.3850000000002</v>
      </c>
      <c r="I1282" s="10">
        <v>2</v>
      </c>
    </row>
    <row r="1283" spans="1:9" ht="15.75" thickBot="1" x14ac:dyDescent="0.3">
      <c r="A1283" s="1">
        <v>43800</v>
      </c>
      <c r="B1283" s="8" t="s">
        <v>6</v>
      </c>
      <c r="C1283" t="s">
        <v>7</v>
      </c>
      <c r="D1283" t="s">
        <v>329</v>
      </c>
      <c r="E1283" t="s">
        <v>9</v>
      </c>
      <c r="F1283" s="9">
        <v>36186.71</v>
      </c>
      <c r="G1283" s="7">
        <v>1509899.014</v>
      </c>
      <c r="H1283" s="8">
        <f t="shared" si="20"/>
        <v>1509899.014</v>
      </c>
      <c r="I1283" s="10">
        <v>5</v>
      </c>
    </row>
    <row r="1284" spans="1:9" ht="15.75" thickBot="1" x14ac:dyDescent="0.3">
      <c r="A1284" s="1">
        <v>43800</v>
      </c>
      <c r="B1284" s="8" t="s">
        <v>6</v>
      </c>
      <c r="C1284" t="s">
        <v>7</v>
      </c>
      <c r="D1284" t="s">
        <v>329</v>
      </c>
      <c r="E1284" t="s">
        <v>10</v>
      </c>
      <c r="F1284" s="9">
        <v>175172.12</v>
      </c>
      <c r="G1284" s="6">
        <v>6470424.9170000004</v>
      </c>
      <c r="H1284" s="8">
        <f t="shared" si="20"/>
        <v>6470.4249170000003</v>
      </c>
      <c r="I1284" s="10">
        <v>417</v>
      </c>
    </row>
    <row r="1285" spans="1:9" ht="15.75" thickBot="1" x14ac:dyDescent="0.3">
      <c r="A1285" s="1">
        <v>43800</v>
      </c>
      <c r="B1285" s="8" t="s">
        <v>6</v>
      </c>
      <c r="C1285" t="s">
        <v>7</v>
      </c>
      <c r="D1285" t="s">
        <v>329</v>
      </c>
      <c r="E1285" t="s">
        <v>11</v>
      </c>
      <c r="F1285" s="9">
        <v>8092.82</v>
      </c>
      <c r="G1285" s="4">
        <v>115</v>
      </c>
      <c r="H1285" s="8">
        <f t="shared" si="20"/>
        <v>115</v>
      </c>
      <c r="I1285" s="10">
        <v>13</v>
      </c>
    </row>
    <row r="1286" spans="1:9" ht="15.75" thickBot="1" x14ac:dyDescent="0.3">
      <c r="A1286" s="1">
        <v>43466</v>
      </c>
      <c r="B1286" s="8" t="s">
        <v>6</v>
      </c>
      <c r="C1286" t="s">
        <v>7</v>
      </c>
      <c r="D1286" t="s">
        <v>329</v>
      </c>
      <c r="E1286" t="s">
        <v>13</v>
      </c>
      <c r="F1286" s="9">
        <v>17409.650000000001</v>
      </c>
      <c r="G1286" s="6">
        <v>908000</v>
      </c>
      <c r="H1286" s="8">
        <f t="shared" si="20"/>
        <v>908000</v>
      </c>
      <c r="I1286" s="10">
        <v>4</v>
      </c>
    </row>
    <row r="1287" spans="1:9" ht="15.75" thickBot="1" x14ac:dyDescent="0.3">
      <c r="A1287" s="1">
        <v>43466</v>
      </c>
      <c r="B1287" s="8" t="s">
        <v>6</v>
      </c>
      <c r="C1287" t="s">
        <v>7</v>
      </c>
      <c r="D1287" t="s">
        <v>330</v>
      </c>
      <c r="E1287" t="s">
        <v>10</v>
      </c>
      <c r="F1287" s="9">
        <v>28025.31</v>
      </c>
      <c r="G1287" s="6">
        <v>1177000</v>
      </c>
      <c r="H1287" s="8">
        <f t="shared" si="20"/>
        <v>1177</v>
      </c>
      <c r="I1287" s="10">
        <v>2</v>
      </c>
    </row>
    <row r="1288" spans="1:9" ht="15.75" thickBot="1" x14ac:dyDescent="0.3">
      <c r="A1288" s="1">
        <v>43466</v>
      </c>
      <c r="B1288" s="8" t="s">
        <v>6</v>
      </c>
      <c r="C1288" t="s">
        <v>7</v>
      </c>
      <c r="D1288" t="s">
        <v>330</v>
      </c>
      <c r="E1288" t="s">
        <v>11</v>
      </c>
      <c r="F1288" s="9">
        <v>326.27999999999997</v>
      </c>
      <c r="G1288" s="5">
        <v>0</v>
      </c>
      <c r="H1288" s="8">
        <f t="shared" si="20"/>
        <v>0</v>
      </c>
      <c r="I1288" s="10">
        <v>4</v>
      </c>
    </row>
    <row r="1289" spans="1:9" ht="15.75" thickBot="1" x14ac:dyDescent="0.3">
      <c r="A1289" s="1">
        <v>43800</v>
      </c>
      <c r="B1289" s="8" t="s">
        <v>6</v>
      </c>
      <c r="C1289" t="s">
        <v>7</v>
      </c>
      <c r="D1289" t="s">
        <v>331</v>
      </c>
      <c r="E1289" t="s">
        <v>9</v>
      </c>
      <c r="F1289" s="9">
        <v>1714.6</v>
      </c>
      <c r="G1289" s="4">
        <v>55</v>
      </c>
      <c r="H1289" s="8">
        <f t="shared" si="20"/>
        <v>55</v>
      </c>
      <c r="I1289" s="10">
        <v>3</v>
      </c>
    </row>
    <row r="1290" spans="1:9" ht="15.75" thickBot="1" x14ac:dyDescent="0.3">
      <c r="A1290" s="1">
        <v>43800</v>
      </c>
      <c r="B1290" s="8" t="s">
        <v>6</v>
      </c>
      <c r="C1290" t="s">
        <v>7</v>
      </c>
      <c r="D1290" t="s">
        <v>331</v>
      </c>
      <c r="E1290" t="s">
        <v>15</v>
      </c>
      <c r="F1290" s="9">
        <v>5155.54</v>
      </c>
      <c r="G1290" s="4">
        <v>127</v>
      </c>
      <c r="H1290" s="8">
        <f t="shared" si="20"/>
        <v>127</v>
      </c>
      <c r="I1290" s="10">
        <v>7</v>
      </c>
    </row>
    <row r="1291" spans="1:9" ht="15.75" thickBot="1" x14ac:dyDescent="0.3">
      <c r="A1291" s="1">
        <v>43800</v>
      </c>
      <c r="B1291" s="8" t="s">
        <v>6</v>
      </c>
      <c r="C1291" t="s">
        <v>7</v>
      </c>
      <c r="D1291" t="s">
        <v>331</v>
      </c>
      <c r="E1291" t="s">
        <v>10</v>
      </c>
      <c r="F1291" s="9">
        <v>336131.08</v>
      </c>
      <c r="G1291" s="6">
        <v>12009093.946</v>
      </c>
      <c r="H1291" s="8">
        <f t="shared" si="20"/>
        <v>12009.093946000001</v>
      </c>
      <c r="I1291" s="10">
        <v>1172</v>
      </c>
    </row>
    <row r="1292" spans="1:9" ht="15.75" thickBot="1" x14ac:dyDescent="0.3">
      <c r="A1292" s="1">
        <v>43800</v>
      </c>
      <c r="B1292" s="8" t="s">
        <v>6</v>
      </c>
      <c r="C1292" t="s">
        <v>7</v>
      </c>
      <c r="D1292" t="s">
        <v>331</v>
      </c>
      <c r="E1292" t="s">
        <v>11</v>
      </c>
      <c r="F1292" s="9">
        <v>28441.3</v>
      </c>
      <c r="G1292" s="7">
        <v>2597.027</v>
      </c>
      <c r="H1292" s="8">
        <f t="shared" si="20"/>
        <v>2597.027</v>
      </c>
      <c r="I1292" s="10">
        <v>9</v>
      </c>
    </row>
    <row r="1293" spans="1:9" ht="15.75" thickBot="1" x14ac:dyDescent="0.3">
      <c r="A1293" s="1">
        <v>43466</v>
      </c>
      <c r="B1293" s="8" t="s">
        <v>6</v>
      </c>
      <c r="C1293" t="s">
        <v>7</v>
      </c>
      <c r="D1293" t="s">
        <v>331</v>
      </c>
      <c r="E1293" t="s">
        <v>13</v>
      </c>
      <c r="F1293" s="9">
        <v>1061.92</v>
      </c>
      <c r="G1293" s="6">
        <v>34000</v>
      </c>
      <c r="H1293" s="8">
        <f t="shared" si="20"/>
        <v>34000</v>
      </c>
      <c r="I1293" s="10">
        <v>4</v>
      </c>
    </row>
    <row r="1294" spans="1:9" ht="15.75" thickBot="1" x14ac:dyDescent="0.3">
      <c r="A1294" s="1">
        <v>43466</v>
      </c>
      <c r="B1294" s="8" t="s">
        <v>6</v>
      </c>
      <c r="C1294" t="s">
        <v>7</v>
      </c>
      <c r="D1294" t="s">
        <v>332</v>
      </c>
      <c r="E1294" t="s">
        <v>9</v>
      </c>
      <c r="F1294" s="9">
        <v>7787.92</v>
      </c>
      <c r="G1294" s="4">
        <v>204</v>
      </c>
      <c r="H1294" s="8">
        <f t="shared" si="20"/>
        <v>204</v>
      </c>
      <c r="I1294" s="10">
        <v>2</v>
      </c>
    </row>
    <row r="1295" spans="1:9" ht="15.75" thickBot="1" x14ac:dyDescent="0.3">
      <c r="A1295" s="1">
        <v>43466</v>
      </c>
      <c r="B1295" s="8" t="s">
        <v>6</v>
      </c>
      <c r="C1295" t="s">
        <v>7</v>
      </c>
      <c r="D1295" t="s">
        <v>332</v>
      </c>
      <c r="E1295" t="s">
        <v>15</v>
      </c>
      <c r="F1295" s="9">
        <v>949.96</v>
      </c>
      <c r="G1295" s="4">
        <v>3</v>
      </c>
      <c r="H1295" s="8">
        <f t="shared" si="20"/>
        <v>3</v>
      </c>
      <c r="I1295" s="10">
        <v>5</v>
      </c>
    </row>
    <row r="1296" spans="1:9" ht="15.75" thickBot="1" x14ac:dyDescent="0.3">
      <c r="A1296" s="1">
        <v>43800</v>
      </c>
      <c r="B1296" s="8" t="s">
        <v>6</v>
      </c>
      <c r="C1296" t="s">
        <v>7</v>
      </c>
      <c r="D1296" t="s">
        <v>332</v>
      </c>
      <c r="E1296" t="s">
        <v>10</v>
      </c>
      <c r="F1296" s="9">
        <v>226176.19</v>
      </c>
      <c r="G1296" s="6">
        <v>7676248.3870000001</v>
      </c>
      <c r="H1296" s="8">
        <f t="shared" si="20"/>
        <v>7676.2483870000005</v>
      </c>
      <c r="I1296" s="10">
        <v>931</v>
      </c>
    </row>
    <row r="1297" spans="1:9" ht="15.75" thickBot="1" x14ac:dyDescent="0.3">
      <c r="A1297" s="1">
        <v>43800</v>
      </c>
      <c r="B1297" s="8" t="s">
        <v>6</v>
      </c>
      <c r="C1297" t="s">
        <v>7</v>
      </c>
      <c r="D1297" t="s">
        <v>332</v>
      </c>
      <c r="E1297" t="s">
        <v>11</v>
      </c>
      <c r="F1297" s="9">
        <v>81.569999999999993</v>
      </c>
      <c r="G1297" s="5">
        <v>0</v>
      </c>
      <c r="H1297" s="8">
        <f t="shared" si="20"/>
        <v>0</v>
      </c>
      <c r="I1297" s="10">
        <v>1</v>
      </c>
    </row>
    <row r="1298" spans="1:9" ht="15.75" thickBot="1" x14ac:dyDescent="0.3">
      <c r="A1298" s="1">
        <v>43800</v>
      </c>
      <c r="B1298" s="8" t="s">
        <v>6</v>
      </c>
      <c r="C1298" t="s">
        <v>7</v>
      </c>
      <c r="D1298" t="s">
        <v>332</v>
      </c>
      <c r="E1298" t="s">
        <v>13</v>
      </c>
      <c r="F1298" s="9">
        <v>753.25</v>
      </c>
      <c r="G1298" s="6">
        <v>25000</v>
      </c>
      <c r="H1298" s="8">
        <f t="shared" si="20"/>
        <v>25000</v>
      </c>
      <c r="I1298" s="10">
        <v>5</v>
      </c>
    </row>
    <row r="1299" spans="1:9" ht="15.75" thickBot="1" x14ac:dyDescent="0.3">
      <c r="A1299" s="1">
        <v>43800</v>
      </c>
      <c r="B1299" s="8" t="s">
        <v>6</v>
      </c>
      <c r="C1299" t="s">
        <v>7</v>
      </c>
      <c r="D1299" t="s">
        <v>333</v>
      </c>
      <c r="E1299" t="s">
        <v>10</v>
      </c>
      <c r="F1299" s="9">
        <v>41848.21</v>
      </c>
      <c r="G1299" s="6">
        <v>1222652.2069999999</v>
      </c>
      <c r="H1299" s="8">
        <f t="shared" si="20"/>
        <v>1222.6522069999999</v>
      </c>
      <c r="I1299" s="10">
        <v>245</v>
      </c>
    </row>
    <row r="1300" spans="1:9" ht="15.75" thickBot="1" x14ac:dyDescent="0.3">
      <c r="A1300" s="1">
        <v>43466</v>
      </c>
      <c r="B1300" s="8" t="s">
        <v>6</v>
      </c>
      <c r="C1300" t="s">
        <v>7</v>
      </c>
      <c r="D1300" t="s">
        <v>333</v>
      </c>
      <c r="E1300" t="s">
        <v>11</v>
      </c>
      <c r="F1300" s="9">
        <v>400.52</v>
      </c>
      <c r="G1300" s="4">
        <v>11</v>
      </c>
      <c r="H1300" s="8">
        <f t="shared" si="20"/>
        <v>11</v>
      </c>
      <c r="I1300" s="10">
        <v>1</v>
      </c>
    </row>
    <row r="1301" spans="1:9" ht="15.75" thickBot="1" x14ac:dyDescent="0.3">
      <c r="A1301" s="1">
        <v>43466</v>
      </c>
      <c r="B1301" s="8" t="s">
        <v>6</v>
      </c>
      <c r="C1301" t="s">
        <v>7</v>
      </c>
      <c r="D1301" t="s">
        <v>333</v>
      </c>
      <c r="E1301" t="s">
        <v>13</v>
      </c>
      <c r="F1301" s="9">
        <v>244.71</v>
      </c>
      <c r="G1301" s="5">
        <v>0</v>
      </c>
      <c r="H1301" s="8">
        <f t="shared" si="20"/>
        <v>0</v>
      </c>
      <c r="I1301" s="10">
        <v>3</v>
      </c>
    </row>
    <row r="1302" spans="1:9" ht="15.75" thickBot="1" x14ac:dyDescent="0.3">
      <c r="A1302" s="1">
        <v>43466</v>
      </c>
      <c r="B1302" s="8" t="s">
        <v>6</v>
      </c>
      <c r="C1302" t="s">
        <v>7</v>
      </c>
      <c r="D1302" t="s">
        <v>334</v>
      </c>
      <c r="E1302" t="s">
        <v>15</v>
      </c>
      <c r="F1302" s="9">
        <v>156</v>
      </c>
      <c r="G1302" s="4">
        <v>0</v>
      </c>
      <c r="H1302" s="8">
        <f t="shared" si="20"/>
        <v>0</v>
      </c>
      <c r="I1302" s="10">
        <v>1</v>
      </c>
    </row>
    <row r="1303" spans="1:9" ht="15.75" thickBot="1" x14ac:dyDescent="0.3">
      <c r="A1303" s="1">
        <v>43800</v>
      </c>
      <c r="B1303" s="8" t="s">
        <v>6</v>
      </c>
      <c r="C1303" t="s">
        <v>7</v>
      </c>
      <c r="D1303" t="s">
        <v>334</v>
      </c>
      <c r="E1303" t="s">
        <v>10</v>
      </c>
      <c r="F1303" s="9">
        <v>77450.84</v>
      </c>
      <c r="G1303" s="6">
        <v>2318541.3289999999</v>
      </c>
      <c r="H1303" s="8">
        <f t="shared" si="20"/>
        <v>2318.5413290000001</v>
      </c>
      <c r="I1303" s="10">
        <v>306</v>
      </c>
    </row>
    <row r="1304" spans="1:9" ht="15.75" thickBot="1" x14ac:dyDescent="0.3">
      <c r="A1304" s="1">
        <v>43800</v>
      </c>
      <c r="B1304" s="8" t="s">
        <v>6</v>
      </c>
      <c r="C1304" t="s">
        <v>7</v>
      </c>
      <c r="D1304" t="s">
        <v>334</v>
      </c>
      <c r="E1304" t="s">
        <v>11</v>
      </c>
      <c r="F1304" s="9">
        <v>163.13999999999999</v>
      </c>
      <c r="G1304" s="5">
        <v>0</v>
      </c>
      <c r="H1304" s="8">
        <f t="shared" si="20"/>
        <v>0</v>
      </c>
      <c r="I1304" s="10">
        <v>2</v>
      </c>
    </row>
    <row r="1305" spans="1:9" ht="15.75" thickBot="1" x14ac:dyDescent="0.3">
      <c r="A1305" s="1">
        <v>43800</v>
      </c>
      <c r="B1305" s="8" t="s">
        <v>6</v>
      </c>
      <c r="C1305" t="s">
        <v>7</v>
      </c>
      <c r="D1305" t="s">
        <v>334</v>
      </c>
      <c r="E1305" t="s">
        <v>13</v>
      </c>
      <c r="F1305" s="9">
        <v>1268.08</v>
      </c>
      <c r="G1305" s="6">
        <v>44000</v>
      </c>
      <c r="H1305" s="8">
        <f t="shared" si="20"/>
        <v>44000</v>
      </c>
      <c r="I1305" s="10">
        <v>6</v>
      </c>
    </row>
    <row r="1306" spans="1:9" ht="15.75" thickBot="1" x14ac:dyDescent="0.3">
      <c r="A1306" s="1">
        <v>43800</v>
      </c>
      <c r="B1306" s="8" t="s">
        <v>6</v>
      </c>
      <c r="C1306" t="s">
        <v>7</v>
      </c>
      <c r="D1306" t="s">
        <v>335</v>
      </c>
      <c r="E1306" t="s">
        <v>10</v>
      </c>
      <c r="F1306" s="9">
        <v>13229.88</v>
      </c>
      <c r="G1306" s="6">
        <v>412322.49900000001</v>
      </c>
      <c r="H1306" s="8">
        <f t="shared" si="20"/>
        <v>412.32249899999999</v>
      </c>
      <c r="I1306" s="10">
        <v>36</v>
      </c>
    </row>
    <row r="1307" spans="1:9" ht="15.75" thickBot="1" x14ac:dyDescent="0.3">
      <c r="A1307" s="1">
        <v>43466</v>
      </c>
      <c r="B1307" s="8" t="s">
        <v>6</v>
      </c>
      <c r="C1307" t="s">
        <v>7</v>
      </c>
      <c r="D1307" t="s">
        <v>336</v>
      </c>
      <c r="E1307" t="s">
        <v>9</v>
      </c>
      <c r="F1307" s="9">
        <v>11141.08</v>
      </c>
      <c r="G1307" s="4">
        <v>353</v>
      </c>
      <c r="H1307" s="8">
        <f t="shared" si="20"/>
        <v>353</v>
      </c>
      <c r="I1307" s="10">
        <v>21</v>
      </c>
    </row>
    <row r="1308" spans="1:9" ht="15.75" thickBot="1" x14ac:dyDescent="0.3">
      <c r="A1308" s="1">
        <v>43466</v>
      </c>
      <c r="B1308" s="8" t="s">
        <v>6</v>
      </c>
      <c r="C1308" t="s">
        <v>7</v>
      </c>
      <c r="D1308" t="s">
        <v>336</v>
      </c>
      <c r="E1308" t="s">
        <v>15</v>
      </c>
      <c r="F1308" s="9">
        <v>-15738.9</v>
      </c>
      <c r="G1308" s="4">
        <v>-488</v>
      </c>
      <c r="H1308" s="8">
        <f t="shared" si="20"/>
        <v>-488</v>
      </c>
      <c r="I1308" s="10">
        <v>4</v>
      </c>
    </row>
    <row r="1309" spans="1:9" ht="15.75" thickBot="1" x14ac:dyDescent="0.3">
      <c r="A1309" s="1">
        <v>43466</v>
      </c>
      <c r="B1309" s="8" t="s">
        <v>6</v>
      </c>
      <c r="C1309" t="s">
        <v>7</v>
      </c>
      <c r="D1309" t="s">
        <v>336</v>
      </c>
      <c r="E1309" t="s">
        <v>10</v>
      </c>
      <c r="F1309" s="9">
        <v>169585.08</v>
      </c>
      <c r="G1309" s="6">
        <v>5934651.4529999997</v>
      </c>
      <c r="H1309" s="8">
        <f t="shared" si="20"/>
        <v>5934.6514529999995</v>
      </c>
      <c r="I1309" s="10">
        <v>620</v>
      </c>
    </row>
    <row r="1310" spans="1:9" ht="15.75" thickBot="1" x14ac:dyDescent="0.3">
      <c r="A1310" s="1">
        <v>43800</v>
      </c>
      <c r="B1310" s="8" t="s">
        <v>6</v>
      </c>
      <c r="C1310" t="s">
        <v>7</v>
      </c>
      <c r="D1310" t="s">
        <v>336</v>
      </c>
      <c r="E1310" t="s">
        <v>17</v>
      </c>
      <c r="F1310" s="9">
        <v>211.46</v>
      </c>
      <c r="G1310" s="4">
        <v>6</v>
      </c>
      <c r="H1310" s="8">
        <f t="shared" si="20"/>
        <v>6</v>
      </c>
      <c r="I1310" s="10">
        <v>1</v>
      </c>
    </row>
    <row r="1311" spans="1:9" ht="15.75" thickBot="1" x14ac:dyDescent="0.3">
      <c r="A1311" s="1">
        <v>43800</v>
      </c>
      <c r="B1311" s="8" t="s">
        <v>6</v>
      </c>
      <c r="C1311" t="s">
        <v>7</v>
      </c>
      <c r="D1311" t="s">
        <v>336</v>
      </c>
      <c r="E1311" t="s">
        <v>11</v>
      </c>
      <c r="F1311" s="9">
        <v>432.69</v>
      </c>
      <c r="G1311" s="7">
        <v>1002</v>
      </c>
      <c r="H1311" s="8">
        <f t="shared" si="20"/>
        <v>1002</v>
      </c>
      <c r="I1311" s="10">
        <v>4</v>
      </c>
    </row>
    <row r="1312" spans="1:9" ht="15.75" thickBot="1" x14ac:dyDescent="0.3">
      <c r="A1312" s="1">
        <v>43800</v>
      </c>
      <c r="B1312" s="8" t="s">
        <v>6</v>
      </c>
      <c r="C1312" t="s">
        <v>7</v>
      </c>
      <c r="D1312" t="s">
        <v>337</v>
      </c>
      <c r="E1312" t="s">
        <v>15</v>
      </c>
      <c r="F1312" s="9">
        <v>400</v>
      </c>
      <c r="G1312" s="4">
        <v>0</v>
      </c>
      <c r="H1312" s="8">
        <f t="shared" si="20"/>
        <v>0</v>
      </c>
      <c r="I1312" s="10">
        <v>1</v>
      </c>
    </row>
    <row r="1313" spans="1:9" ht="15.75" thickBot="1" x14ac:dyDescent="0.3">
      <c r="A1313" s="1">
        <v>43800</v>
      </c>
      <c r="B1313" s="8" t="s">
        <v>6</v>
      </c>
      <c r="C1313" t="s">
        <v>7</v>
      </c>
      <c r="D1313" t="s">
        <v>337</v>
      </c>
      <c r="E1313" t="s">
        <v>10</v>
      </c>
      <c r="F1313" s="9">
        <v>43125.15</v>
      </c>
      <c r="G1313" s="6">
        <v>1557934.193</v>
      </c>
      <c r="H1313" s="8">
        <f t="shared" si="20"/>
        <v>1557.9341930000001</v>
      </c>
      <c r="I1313" s="10">
        <v>190</v>
      </c>
    </row>
    <row r="1314" spans="1:9" ht="15.75" thickBot="1" x14ac:dyDescent="0.3">
      <c r="A1314" s="1">
        <v>43466</v>
      </c>
      <c r="B1314" s="8" t="s">
        <v>6</v>
      </c>
      <c r="C1314" t="s">
        <v>7</v>
      </c>
      <c r="D1314" t="s">
        <v>337</v>
      </c>
      <c r="E1314" t="s">
        <v>11</v>
      </c>
      <c r="F1314" s="9">
        <v>551.49</v>
      </c>
      <c r="G1314" s="6">
        <v>17000</v>
      </c>
      <c r="H1314" s="8">
        <f t="shared" si="20"/>
        <v>17000</v>
      </c>
      <c r="I1314" s="10">
        <v>2</v>
      </c>
    </row>
    <row r="1315" spans="1:9" ht="15.75" thickBot="1" x14ac:dyDescent="0.3">
      <c r="A1315" s="1">
        <v>43466</v>
      </c>
      <c r="B1315" s="8" t="s">
        <v>6</v>
      </c>
      <c r="C1315" t="s">
        <v>7</v>
      </c>
      <c r="D1315" t="s">
        <v>337</v>
      </c>
      <c r="E1315" t="s">
        <v>13</v>
      </c>
      <c r="F1315" s="9">
        <v>228.78</v>
      </c>
      <c r="G1315" s="6">
        <v>8000</v>
      </c>
      <c r="H1315" s="8">
        <f t="shared" si="20"/>
        <v>8000</v>
      </c>
      <c r="I1315" s="10">
        <v>1</v>
      </c>
    </row>
    <row r="1316" spans="1:9" ht="15.75" thickBot="1" x14ac:dyDescent="0.3">
      <c r="A1316" s="1">
        <v>43466</v>
      </c>
      <c r="B1316" s="8" t="s">
        <v>6</v>
      </c>
      <c r="C1316" t="s">
        <v>7</v>
      </c>
      <c r="D1316" t="s">
        <v>338</v>
      </c>
      <c r="E1316" t="s">
        <v>9</v>
      </c>
      <c r="F1316" s="9">
        <v>1444.6</v>
      </c>
      <c r="G1316" s="4">
        <v>30</v>
      </c>
      <c r="H1316" s="8">
        <f t="shared" si="20"/>
        <v>30</v>
      </c>
      <c r="I1316" s="10">
        <v>1</v>
      </c>
    </row>
    <row r="1317" spans="1:9" ht="15.75" thickBot="1" x14ac:dyDescent="0.3">
      <c r="A1317" s="1">
        <v>43800</v>
      </c>
      <c r="B1317" s="8" t="s">
        <v>6</v>
      </c>
      <c r="C1317" t="s">
        <v>7</v>
      </c>
      <c r="D1317" t="s">
        <v>338</v>
      </c>
      <c r="E1317" t="s">
        <v>15</v>
      </c>
      <c r="F1317" s="9">
        <v>3085.11</v>
      </c>
      <c r="G1317" s="4">
        <v>8</v>
      </c>
      <c r="H1317" s="8">
        <f t="shared" si="20"/>
        <v>8</v>
      </c>
      <c r="I1317" s="10">
        <v>8</v>
      </c>
    </row>
    <row r="1318" spans="1:9" ht="15.75" thickBot="1" x14ac:dyDescent="0.3">
      <c r="A1318" s="1">
        <v>43800</v>
      </c>
      <c r="B1318" s="8" t="s">
        <v>6</v>
      </c>
      <c r="C1318" t="s">
        <v>7</v>
      </c>
      <c r="D1318" t="s">
        <v>338</v>
      </c>
      <c r="E1318" t="s">
        <v>10</v>
      </c>
      <c r="F1318" s="9">
        <v>61897.8</v>
      </c>
      <c r="G1318" s="6">
        <v>1980231.371</v>
      </c>
      <c r="H1318" s="8">
        <f t="shared" si="20"/>
        <v>1980.2313710000001</v>
      </c>
      <c r="I1318" s="10">
        <v>178</v>
      </c>
    </row>
    <row r="1319" spans="1:9" ht="15.75" thickBot="1" x14ac:dyDescent="0.3">
      <c r="A1319" s="1">
        <v>43800</v>
      </c>
      <c r="B1319" s="8" t="s">
        <v>6</v>
      </c>
      <c r="C1319" t="s">
        <v>7</v>
      </c>
      <c r="D1319" t="s">
        <v>338</v>
      </c>
      <c r="E1319" t="s">
        <v>11</v>
      </c>
      <c r="F1319" s="9">
        <v>47327.040000000001</v>
      </c>
      <c r="G1319" s="7">
        <v>1000039</v>
      </c>
      <c r="H1319" s="8">
        <f t="shared" si="20"/>
        <v>1000039</v>
      </c>
      <c r="I1319" s="10">
        <v>2</v>
      </c>
    </row>
    <row r="1320" spans="1:9" ht="15.75" thickBot="1" x14ac:dyDescent="0.3">
      <c r="A1320" s="1">
        <v>43800</v>
      </c>
      <c r="B1320" s="8" t="s">
        <v>6</v>
      </c>
      <c r="C1320" t="s">
        <v>7</v>
      </c>
      <c r="D1320" t="s">
        <v>339</v>
      </c>
      <c r="E1320" t="s">
        <v>9</v>
      </c>
      <c r="F1320" s="9">
        <v>875.6</v>
      </c>
      <c r="G1320" s="4">
        <v>30</v>
      </c>
      <c r="H1320" s="8">
        <f t="shared" si="20"/>
        <v>30</v>
      </c>
      <c r="I1320" s="10">
        <v>1</v>
      </c>
    </row>
    <row r="1321" spans="1:9" ht="15.75" thickBot="1" x14ac:dyDescent="0.3">
      <c r="A1321" s="1">
        <v>43466</v>
      </c>
      <c r="B1321" s="8" t="s">
        <v>6</v>
      </c>
      <c r="C1321" t="s">
        <v>7</v>
      </c>
      <c r="D1321" t="s">
        <v>339</v>
      </c>
      <c r="E1321" t="s">
        <v>10</v>
      </c>
      <c r="F1321" s="9">
        <v>33672.43</v>
      </c>
      <c r="G1321" s="6">
        <v>1200588.115</v>
      </c>
      <c r="H1321" s="8">
        <f t="shared" si="20"/>
        <v>1200.588115</v>
      </c>
      <c r="I1321" s="10">
        <v>102</v>
      </c>
    </row>
    <row r="1322" spans="1:9" ht="15.75" thickBot="1" x14ac:dyDescent="0.3">
      <c r="A1322" s="1">
        <v>43466</v>
      </c>
      <c r="B1322" s="8" t="s">
        <v>6</v>
      </c>
      <c r="C1322" t="s">
        <v>7</v>
      </c>
      <c r="D1322" t="s">
        <v>339</v>
      </c>
      <c r="E1322" t="s">
        <v>11</v>
      </c>
      <c r="F1322" s="9">
        <v>81.569999999999993</v>
      </c>
      <c r="G1322" s="5">
        <v>0</v>
      </c>
      <c r="H1322" s="8">
        <f t="shared" si="20"/>
        <v>0</v>
      </c>
      <c r="I1322" s="10">
        <v>1</v>
      </c>
    </row>
    <row r="1323" spans="1:9" ht="15.75" thickBot="1" x14ac:dyDescent="0.3">
      <c r="A1323" s="1">
        <v>43466</v>
      </c>
      <c r="B1323" s="8" t="s">
        <v>6</v>
      </c>
      <c r="C1323" t="s">
        <v>7</v>
      </c>
      <c r="D1323" t="s">
        <v>339</v>
      </c>
      <c r="E1323" t="s">
        <v>13</v>
      </c>
      <c r="F1323" s="9">
        <v>173.49</v>
      </c>
      <c r="G1323" s="6">
        <v>7000</v>
      </c>
      <c r="H1323" s="8">
        <f t="shared" si="20"/>
        <v>7000</v>
      </c>
      <c r="I1323" s="10">
        <v>1</v>
      </c>
    </row>
    <row r="1324" spans="1:9" ht="15.75" thickBot="1" x14ac:dyDescent="0.3">
      <c r="A1324" s="1">
        <v>43800</v>
      </c>
      <c r="B1324" s="8" t="s">
        <v>6</v>
      </c>
      <c r="C1324" t="s">
        <v>7</v>
      </c>
      <c r="D1324" t="s">
        <v>340</v>
      </c>
      <c r="E1324" t="s">
        <v>9</v>
      </c>
      <c r="F1324" s="9">
        <v>154521.71</v>
      </c>
      <c r="G1324" s="7">
        <v>34822.065000000002</v>
      </c>
      <c r="H1324" s="8">
        <f t="shared" si="20"/>
        <v>34822.065000000002</v>
      </c>
      <c r="I1324" s="10">
        <v>78</v>
      </c>
    </row>
    <row r="1325" spans="1:9" ht="15.75" thickBot="1" x14ac:dyDescent="0.3">
      <c r="A1325" s="1">
        <v>43800</v>
      </c>
      <c r="B1325" s="8" t="s">
        <v>6</v>
      </c>
      <c r="C1325" t="s">
        <v>7</v>
      </c>
      <c r="D1325" t="s">
        <v>340</v>
      </c>
      <c r="E1325" t="s">
        <v>15</v>
      </c>
      <c r="F1325" s="9">
        <v>402399.44</v>
      </c>
      <c r="G1325" s="7">
        <v>5680160.8720000004</v>
      </c>
      <c r="H1325" s="8">
        <f t="shared" si="20"/>
        <v>5680160.8720000004</v>
      </c>
      <c r="I1325" s="10">
        <v>285</v>
      </c>
    </row>
    <row r="1326" spans="1:9" ht="15.75" thickBot="1" x14ac:dyDescent="0.3">
      <c r="A1326" s="1">
        <v>43800</v>
      </c>
      <c r="B1326" s="8" t="s">
        <v>6</v>
      </c>
      <c r="C1326" t="s">
        <v>7</v>
      </c>
      <c r="D1326" t="s">
        <v>340</v>
      </c>
      <c r="E1326" t="s">
        <v>10</v>
      </c>
      <c r="F1326" s="9">
        <v>1807643.7</v>
      </c>
      <c r="G1326" s="7">
        <v>57078686.204000004</v>
      </c>
      <c r="H1326" s="8">
        <f t="shared" si="20"/>
        <v>57078.686204000005</v>
      </c>
      <c r="I1326" s="10">
        <v>3789</v>
      </c>
    </row>
    <row r="1327" spans="1:9" ht="15.75" thickBot="1" x14ac:dyDescent="0.3">
      <c r="A1327" s="1">
        <v>43800</v>
      </c>
      <c r="B1327" s="8" t="s">
        <v>6</v>
      </c>
      <c r="C1327" t="s">
        <v>7</v>
      </c>
      <c r="D1327" t="s">
        <v>340</v>
      </c>
      <c r="E1327" t="s">
        <v>17</v>
      </c>
      <c r="F1327" s="9">
        <v>64161.79</v>
      </c>
      <c r="G1327" s="4">
        <v>1953</v>
      </c>
      <c r="H1327" s="8">
        <f t="shared" si="20"/>
        <v>1953</v>
      </c>
      <c r="I1327" s="10">
        <v>13</v>
      </c>
    </row>
    <row r="1328" spans="1:9" ht="15.75" thickBot="1" x14ac:dyDescent="0.3">
      <c r="A1328" s="1">
        <v>43466</v>
      </c>
      <c r="B1328" s="8" t="s">
        <v>6</v>
      </c>
      <c r="C1328" t="s">
        <v>7</v>
      </c>
      <c r="D1328" t="s">
        <v>340</v>
      </c>
      <c r="E1328" t="s">
        <v>11</v>
      </c>
      <c r="F1328" s="9">
        <v>188189.22</v>
      </c>
      <c r="G1328" s="7">
        <v>1218727.004</v>
      </c>
      <c r="H1328" s="8">
        <f t="shared" si="20"/>
        <v>1218727.004</v>
      </c>
      <c r="I1328" s="10">
        <v>162</v>
      </c>
    </row>
    <row r="1329" spans="1:9" ht="15.75" thickBot="1" x14ac:dyDescent="0.3">
      <c r="A1329" s="1">
        <v>43466</v>
      </c>
      <c r="B1329" s="8" t="s">
        <v>6</v>
      </c>
      <c r="C1329" t="s">
        <v>7</v>
      </c>
      <c r="D1329" t="s">
        <v>340</v>
      </c>
      <c r="E1329" t="s">
        <v>13</v>
      </c>
      <c r="F1329" s="9">
        <v>11583.67</v>
      </c>
      <c r="G1329" s="7">
        <v>288380.92800000001</v>
      </c>
      <c r="H1329" s="8">
        <f t="shared" si="20"/>
        <v>288380.92800000001</v>
      </c>
      <c r="I1329" s="10">
        <v>32</v>
      </c>
    </row>
    <row r="1330" spans="1:9" ht="15.75" thickBot="1" x14ac:dyDescent="0.3">
      <c r="A1330" s="1">
        <v>43466</v>
      </c>
      <c r="B1330" s="8" t="s">
        <v>6</v>
      </c>
      <c r="C1330" t="s">
        <v>7</v>
      </c>
      <c r="D1330" t="s">
        <v>341</v>
      </c>
      <c r="E1330" t="s">
        <v>9</v>
      </c>
      <c r="F1330" s="9">
        <v>1856.72</v>
      </c>
      <c r="G1330" s="4">
        <v>46</v>
      </c>
      <c r="H1330" s="8">
        <f t="shared" si="20"/>
        <v>46</v>
      </c>
      <c r="I1330" s="10">
        <v>5</v>
      </c>
    </row>
    <row r="1331" spans="1:9" ht="15.75" thickBot="1" x14ac:dyDescent="0.3">
      <c r="A1331" s="1">
        <v>43800</v>
      </c>
      <c r="B1331" s="8" t="s">
        <v>6</v>
      </c>
      <c r="C1331" t="s">
        <v>7</v>
      </c>
      <c r="D1331" t="s">
        <v>341</v>
      </c>
      <c r="E1331" t="s">
        <v>10</v>
      </c>
      <c r="F1331" s="9">
        <v>26388.37</v>
      </c>
      <c r="G1331" s="7">
        <v>556094.88899999997</v>
      </c>
      <c r="H1331" s="8">
        <f t="shared" si="20"/>
        <v>556.09488899999997</v>
      </c>
      <c r="I1331" s="10">
        <v>52</v>
      </c>
    </row>
    <row r="1332" spans="1:9" ht="15.75" thickBot="1" x14ac:dyDescent="0.3">
      <c r="A1332" s="1">
        <v>43800</v>
      </c>
      <c r="B1332" s="8" t="s">
        <v>6</v>
      </c>
      <c r="C1332" t="s">
        <v>7</v>
      </c>
      <c r="D1332" t="s">
        <v>341</v>
      </c>
      <c r="E1332" t="s">
        <v>11</v>
      </c>
      <c r="F1332" s="9">
        <v>244.71</v>
      </c>
      <c r="G1332" s="5">
        <v>0</v>
      </c>
      <c r="H1332" s="8">
        <f t="shared" si="20"/>
        <v>0</v>
      </c>
      <c r="I1332" s="10">
        <v>3</v>
      </c>
    </row>
    <row r="1333" spans="1:9" ht="15.75" thickBot="1" x14ac:dyDescent="0.3">
      <c r="A1333" s="1">
        <v>43800</v>
      </c>
      <c r="B1333" s="8" t="s">
        <v>6</v>
      </c>
      <c r="C1333" t="s">
        <v>7</v>
      </c>
      <c r="D1333" t="s">
        <v>342</v>
      </c>
      <c r="E1333" t="s">
        <v>15</v>
      </c>
      <c r="F1333" s="9">
        <v>400</v>
      </c>
      <c r="G1333" s="4">
        <v>0</v>
      </c>
      <c r="H1333" s="8">
        <f t="shared" si="20"/>
        <v>0</v>
      </c>
      <c r="I1333" s="10">
        <v>1</v>
      </c>
    </row>
    <row r="1334" spans="1:9" ht="15.75" thickBot="1" x14ac:dyDescent="0.3">
      <c r="A1334" s="1">
        <v>43800</v>
      </c>
      <c r="B1334" s="8" t="s">
        <v>6</v>
      </c>
      <c r="C1334" t="s">
        <v>7</v>
      </c>
      <c r="D1334" t="s">
        <v>342</v>
      </c>
      <c r="E1334" t="s">
        <v>10</v>
      </c>
      <c r="F1334" s="9">
        <v>87777.08</v>
      </c>
      <c r="G1334" s="6">
        <v>3109183.5970000001</v>
      </c>
      <c r="H1334" s="8">
        <f t="shared" si="20"/>
        <v>3109.1835970000002</v>
      </c>
      <c r="I1334" s="10">
        <v>363</v>
      </c>
    </row>
    <row r="1335" spans="1:9" ht="15.75" thickBot="1" x14ac:dyDescent="0.3">
      <c r="A1335" s="1">
        <v>43466</v>
      </c>
      <c r="B1335" s="8" t="s">
        <v>6</v>
      </c>
      <c r="C1335" t="s">
        <v>7</v>
      </c>
      <c r="D1335" t="s">
        <v>342</v>
      </c>
      <c r="E1335" t="s">
        <v>11</v>
      </c>
      <c r="F1335" s="9">
        <v>81.569999999999993</v>
      </c>
      <c r="G1335" s="5">
        <v>0</v>
      </c>
      <c r="H1335" s="8">
        <f t="shared" si="20"/>
        <v>0</v>
      </c>
      <c r="I1335" s="10">
        <v>1</v>
      </c>
    </row>
    <row r="1336" spans="1:9" ht="15.75" thickBot="1" x14ac:dyDescent="0.3">
      <c r="A1336" s="1">
        <v>43466</v>
      </c>
      <c r="B1336" s="8" t="s">
        <v>6</v>
      </c>
      <c r="C1336" t="s">
        <v>7</v>
      </c>
      <c r="D1336" t="s">
        <v>342</v>
      </c>
      <c r="E1336" t="s">
        <v>13</v>
      </c>
      <c r="F1336" s="9">
        <v>343.94</v>
      </c>
      <c r="G1336" s="6">
        <v>13000</v>
      </c>
      <c r="H1336" s="8">
        <f t="shared" si="20"/>
        <v>13000</v>
      </c>
      <c r="I1336" s="10">
        <v>2</v>
      </c>
    </row>
    <row r="1337" spans="1:9" ht="15.75" thickBot="1" x14ac:dyDescent="0.3">
      <c r="A1337" s="1">
        <v>43466</v>
      </c>
      <c r="B1337" s="8" t="s">
        <v>6</v>
      </c>
      <c r="C1337" t="s">
        <v>7</v>
      </c>
      <c r="D1337" t="s">
        <v>343</v>
      </c>
      <c r="E1337" t="s">
        <v>15</v>
      </c>
      <c r="F1337" s="9">
        <v>922.69</v>
      </c>
      <c r="G1337" s="4">
        <v>19</v>
      </c>
      <c r="H1337" s="8">
        <f t="shared" si="20"/>
        <v>19</v>
      </c>
      <c r="I1337" s="10">
        <v>1</v>
      </c>
    </row>
    <row r="1338" spans="1:9" ht="15.75" thickBot="1" x14ac:dyDescent="0.3">
      <c r="A1338" s="1">
        <v>43800</v>
      </c>
      <c r="B1338" s="8" t="s">
        <v>6</v>
      </c>
      <c r="C1338" t="s">
        <v>7</v>
      </c>
      <c r="D1338" t="s">
        <v>343</v>
      </c>
      <c r="E1338" t="s">
        <v>10</v>
      </c>
      <c r="F1338" s="9">
        <v>17507.23</v>
      </c>
      <c r="G1338" s="6">
        <v>615000</v>
      </c>
      <c r="H1338" s="8">
        <f t="shared" si="20"/>
        <v>615</v>
      </c>
      <c r="I1338" s="10">
        <v>70</v>
      </c>
    </row>
    <row r="1339" spans="1:9" ht="15.75" thickBot="1" x14ac:dyDescent="0.3">
      <c r="A1339" s="1">
        <v>43800</v>
      </c>
      <c r="B1339" s="8" t="s">
        <v>6</v>
      </c>
      <c r="C1339" t="s">
        <v>7</v>
      </c>
      <c r="D1339" t="s">
        <v>343</v>
      </c>
      <c r="E1339" t="s">
        <v>11</v>
      </c>
      <c r="F1339" s="9">
        <v>14156.21</v>
      </c>
      <c r="G1339" s="4">
        <v>452</v>
      </c>
      <c r="H1339" s="8">
        <f t="shared" si="20"/>
        <v>452</v>
      </c>
      <c r="I1339" s="10">
        <v>3</v>
      </c>
    </row>
    <row r="1340" spans="1:9" ht="15.75" thickBot="1" x14ac:dyDescent="0.3">
      <c r="A1340" s="1">
        <v>43800</v>
      </c>
      <c r="B1340" s="8" t="s">
        <v>6</v>
      </c>
      <c r="C1340" t="s">
        <v>7</v>
      </c>
      <c r="D1340" t="s">
        <v>344</v>
      </c>
      <c r="E1340" t="s">
        <v>9</v>
      </c>
      <c r="F1340" s="9">
        <v>10681.03</v>
      </c>
      <c r="G1340" s="4">
        <v>311</v>
      </c>
      <c r="H1340" s="8">
        <f t="shared" si="20"/>
        <v>311</v>
      </c>
      <c r="I1340" s="10">
        <v>5</v>
      </c>
    </row>
    <row r="1341" spans="1:9" ht="15.75" thickBot="1" x14ac:dyDescent="0.3">
      <c r="A1341" s="1">
        <v>43800</v>
      </c>
      <c r="B1341" s="8" t="s">
        <v>6</v>
      </c>
      <c r="C1341" t="s">
        <v>7</v>
      </c>
      <c r="D1341" t="s">
        <v>344</v>
      </c>
      <c r="E1341" t="s">
        <v>15</v>
      </c>
      <c r="F1341" s="9">
        <v>19557.599999999999</v>
      </c>
      <c r="G1341" s="7">
        <v>120288.19100000001</v>
      </c>
      <c r="H1341" s="8">
        <f t="shared" si="20"/>
        <v>120288.19100000001</v>
      </c>
      <c r="I1341" s="10">
        <v>11</v>
      </c>
    </row>
    <row r="1342" spans="1:9" ht="15.75" thickBot="1" x14ac:dyDescent="0.3">
      <c r="A1342" s="1">
        <v>43466</v>
      </c>
      <c r="B1342" s="8" t="s">
        <v>6</v>
      </c>
      <c r="C1342" t="s">
        <v>7</v>
      </c>
      <c r="D1342" t="s">
        <v>344</v>
      </c>
      <c r="E1342" t="s">
        <v>10</v>
      </c>
      <c r="F1342" s="9">
        <v>524911.68000000005</v>
      </c>
      <c r="G1342" s="6">
        <v>18199853.868999999</v>
      </c>
      <c r="H1342" s="8">
        <f t="shared" si="20"/>
        <v>18199.853868999999</v>
      </c>
      <c r="I1342" s="10">
        <v>2241</v>
      </c>
    </row>
    <row r="1343" spans="1:9" ht="15.75" thickBot="1" x14ac:dyDescent="0.3">
      <c r="A1343" s="1">
        <v>43466</v>
      </c>
      <c r="B1343" s="8" t="s">
        <v>6</v>
      </c>
      <c r="C1343" t="s">
        <v>7</v>
      </c>
      <c r="D1343" t="s">
        <v>344</v>
      </c>
      <c r="E1343" t="s">
        <v>11</v>
      </c>
      <c r="F1343" s="9">
        <v>33170</v>
      </c>
      <c r="G1343" s="7">
        <v>480353.24400000001</v>
      </c>
      <c r="H1343" s="8">
        <f t="shared" si="20"/>
        <v>480353.24400000001</v>
      </c>
      <c r="I1343" s="10">
        <v>151</v>
      </c>
    </row>
    <row r="1344" spans="1:9" ht="15.75" thickBot="1" x14ac:dyDescent="0.3">
      <c r="A1344" s="1">
        <v>43466</v>
      </c>
      <c r="B1344" s="8" t="s">
        <v>6</v>
      </c>
      <c r="C1344" t="s">
        <v>7</v>
      </c>
      <c r="D1344" t="s">
        <v>344</v>
      </c>
      <c r="E1344" t="s">
        <v>13</v>
      </c>
      <c r="F1344" s="9">
        <v>4290.84</v>
      </c>
      <c r="G1344" s="7">
        <v>135007</v>
      </c>
      <c r="H1344" s="8">
        <f t="shared" si="20"/>
        <v>135007</v>
      </c>
      <c r="I1344" s="10">
        <v>12</v>
      </c>
    </row>
    <row r="1345" spans="1:9" ht="15.75" thickBot="1" x14ac:dyDescent="0.3">
      <c r="A1345" s="1">
        <v>43800</v>
      </c>
      <c r="B1345" s="8" t="s">
        <v>6</v>
      </c>
      <c r="C1345" t="s">
        <v>7</v>
      </c>
      <c r="D1345" t="s">
        <v>345</v>
      </c>
      <c r="E1345" t="s">
        <v>9</v>
      </c>
      <c r="F1345" s="9">
        <v>8146.37</v>
      </c>
      <c r="G1345" s="4">
        <v>247</v>
      </c>
      <c r="H1345" s="8">
        <f t="shared" si="20"/>
        <v>247</v>
      </c>
      <c r="I1345" s="10">
        <v>7</v>
      </c>
    </row>
    <row r="1346" spans="1:9" ht="15.75" thickBot="1" x14ac:dyDescent="0.3">
      <c r="A1346" s="1">
        <v>43800</v>
      </c>
      <c r="B1346" s="8" t="s">
        <v>6</v>
      </c>
      <c r="C1346" t="s">
        <v>7</v>
      </c>
      <c r="D1346" t="s">
        <v>345</v>
      </c>
      <c r="E1346" t="s">
        <v>15</v>
      </c>
      <c r="F1346" s="9">
        <v>4018.07</v>
      </c>
      <c r="G1346" s="4">
        <v>121</v>
      </c>
      <c r="H1346" s="8">
        <f t="shared" ref="H1346:H1409" si="21">IF(ISNUMBER(SEARCH("Domestic customer", E1346)),G1346/1000,G1346)</f>
        <v>121</v>
      </c>
      <c r="I1346" s="10">
        <v>7</v>
      </c>
    </row>
    <row r="1347" spans="1:9" ht="15.75" thickBot="1" x14ac:dyDescent="0.3">
      <c r="A1347" s="1">
        <v>43800</v>
      </c>
      <c r="B1347" s="8" t="s">
        <v>6</v>
      </c>
      <c r="C1347" t="s">
        <v>7</v>
      </c>
      <c r="D1347" t="s">
        <v>345</v>
      </c>
      <c r="E1347" t="s">
        <v>10</v>
      </c>
      <c r="F1347" s="9">
        <v>1118485.3</v>
      </c>
      <c r="G1347" s="7">
        <v>31683200.109999999</v>
      </c>
      <c r="H1347" s="8">
        <f t="shared" si="21"/>
        <v>31683.200109999998</v>
      </c>
      <c r="I1347" s="10">
        <v>3216</v>
      </c>
    </row>
    <row r="1348" spans="1:9" ht="15.75" thickBot="1" x14ac:dyDescent="0.3">
      <c r="A1348" s="1">
        <v>43800</v>
      </c>
      <c r="B1348" s="8" t="s">
        <v>6</v>
      </c>
      <c r="C1348" t="s">
        <v>7</v>
      </c>
      <c r="D1348" t="s">
        <v>345</v>
      </c>
      <c r="E1348" t="s">
        <v>11</v>
      </c>
      <c r="F1348" s="9">
        <v>26943.98</v>
      </c>
      <c r="G1348" s="7">
        <v>85310.913</v>
      </c>
      <c r="H1348" s="8">
        <f t="shared" si="21"/>
        <v>85310.913</v>
      </c>
      <c r="I1348" s="10">
        <v>41</v>
      </c>
    </row>
    <row r="1349" spans="1:9" ht="15.75" thickBot="1" x14ac:dyDescent="0.3">
      <c r="A1349" s="1">
        <v>43466</v>
      </c>
      <c r="B1349" s="8" t="s">
        <v>6</v>
      </c>
      <c r="C1349" t="s">
        <v>7</v>
      </c>
      <c r="D1349" t="s">
        <v>345</v>
      </c>
      <c r="E1349" t="s">
        <v>13</v>
      </c>
      <c r="F1349" s="9">
        <v>8599.3700000000008</v>
      </c>
      <c r="G1349" s="7">
        <v>174047.40400000001</v>
      </c>
      <c r="H1349" s="8">
        <f t="shared" si="21"/>
        <v>174047.40400000001</v>
      </c>
      <c r="I1349" s="10">
        <v>27</v>
      </c>
    </row>
    <row r="1350" spans="1:9" ht="15.75" thickBot="1" x14ac:dyDescent="0.3">
      <c r="A1350" s="1">
        <v>43466</v>
      </c>
      <c r="B1350" s="8" t="s">
        <v>6</v>
      </c>
      <c r="C1350" t="s">
        <v>7</v>
      </c>
      <c r="D1350" t="s">
        <v>346</v>
      </c>
      <c r="E1350" t="s">
        <v>10</v>
      </c>
      <c r="F1350" s="9">
        <v>21026.44</v>
      </c>
      <c r="G1350" s="6">
        <v>657772</v>
      </c>
      <c r="H1350" s="8">
        <f t="shared" si="21"/>
        <v>657.77200000000005</v>
      </c>
      <c r="I1350" s="10">
        <v>64</v>
      </c>
    </row>
    <row r="1351" spans="1:9" ht="15.75" thickBot="1" x14ac:dyDescent="0.3">
      <c r="A1351" s="1">
        <v>43466</v>
      </c>
      <c r="B1351" s="8" t="s">
        <v>6</v>
      </c>
      <c r="C1351" t="s">
        <v>7</v>
      </c>
      <c r="D1351" t="s">
        <v>346</v>
      </c>
      <c r="E1351" t="s">
        <v>11</v>
      </c>
      <c r="F1351" s="9">
        <v>473.98</v>
      </c>
      <c r="G1351" s="7">
        <v>11002</v>
      </c>
      <c r="H1351" s="8">
        <f t="shared" si="21"/>
        <v>11002</v>
      </c>
      <c r="I1351" s="10">
        <v>2</v>
      </c>
    </row>
    <row r="1352" spans="1:9" ht="15.75" thickBot="1" x14ac:dyDescent="0.3">
      <c r="A1352" s="1">
        <v>43800</v>
      </c>
      <c r="B1352" s="8" t="s">
        <v>6</v>
      </c>
      <c r="C1352" t="s">
        <v>7</v>
      </c>
      <c r="D1352" t="s">
        <v>347</v>
      </c>
      <c r="E1352" t="s">
        <v>15</v>
      </c>
      <c r="F1352" s="9">
        <v>146.16</v>
      </c>
      <c r="G1352" s="4">
        <v>3</v>
      </c>
      <c r="H1352" s="8">
        <f t="shared" si="21"/>
        <v>3</v>
      </c>
      <c r="I1352" s="10">
        <v>1</v>
      </c>
    </row>
    <row r="1353" spans="1:9" ht="15.75" thickBot="1" x14ac:dyDescent="0.3">
      <c r="A1353" s="1">
        <v>43800</v>
      </c>
      <c r="B1353" s="8" t="s">
        <v>6</v>
      </c>
      <c r="C1353" t="s">
        <v>7</v>
      </c>
      <c r="D1353" t="s">
        <v>347</v>
      </c>
      <c r="E1353" t="s">
        <v>10</v>
      </c>
      <c r="F1353" s="9">
        <v>115276.79</v>
      </c>
      <c r="G1353" s="6">
        <v>3610084.1850000001</v>
      </c>
      <c r="H1353" s="8">
        <f t="shared" si="21"/>
        <v>3610.0841850000002</v>
      </c>
      <c r="I1353" s="10">
        <v>427</v>
      </c>
    </row>
    <row r="1354" spans="1:9" ht="15.75" thickBot="1" x14ac:dyDescent="0.3">
      <c r="A1354" s="1">
        <v>43800</v>
      </c>
      <c r="B1354" s="8" t="s">
        <v>6</v>
      </c>
      <c r="C1354" t="s">
        <v>7</v>
      </c>
      <c r="D1354" t="s">
        <v>347</v>
      </c>
      <c r="E1354" t="s">
        <v>11</v>
      </c>
      <c r="F1354" s="9">
        <v>8789.4599999999991</v>
      </c>
      <c r="G1354" s="7">
        <v>24179</v>
      </c>
      <c r="H1354" s="8">
        <f t="shared" si="21"/>
        <v>24179</v>
      </c>
      <c r="I1354" s="10">
        <v>11</v>
      </c>
    </row>
    <row r="1355" spans="1:9" ht="15.75" thickBot="1" x14ac:dyDescent="0.3">
      <c r="A1355" s="1">
        <v>43800</v>
      </c>
      <c r="B1355" s="8" t="s">
        <v>6</v>
      </c>
      <c r="C1355" t="s">
        <v>7</v>
      </c>
      <c r="D1355" t="s">
        <v>347</v>
      </c>
      <c r="E1355" t="s">
        <v>13</v>
      </c>
      <c r="F1355" s="9">
        <v>1473.4</v>
      </c>
      <c r="G1355" s="6">
        <v>52000</v>
      </c>
      <c r="H1355" s="8">
        <f t="shared" si="21"/>
        <v>52000</v>
      </c>
      <c r="I1355" s="10">
        <v>3</v>
      </c>
    </row>
    <row r="1356" spans="1:9" ht="15.75" thickBot="1" x14ac:dyDescent="0.3">
      <c r="A1356" s="1">
        <v>43466</v>
      </c>
      <c r="B1356" s="8" t="s">
        <v>6</v>
      </c>
      <c r="C1356" t="s">
        <v>7</v>
      </c>
      <c r="D1356" t="s">
        <v>348</v>
      </c>
      <c r="E1356" t="s">
        <v>10</v>
      </c>
      <c r="F1356" s="9">
        <v>81.569999999999993</v>
      </c>
      <c r="G1356" s="5">
        <v>0</v>
      </c>
      <c r="H1356" s="8">
        <f t="shared" si="21"/>
        <v>0</v>
      </c>
      <c r="I1356" s="10">
        <v>1</v>
      </c>
    </row>
    <row r="1357" spans="1:9" ht="15.75" thickBot="1" x14ac:dyDescent="0.3">
      <c r="A1357" s="1">
        <v>43466</v>
      </c>
      <c r="B1357" s="8" t="s">
        <v>6</v>
      </c>
      <c r="C1357" t="s">
        <v>7</v>
      </c>
      <c r="D1357" t="s">
        <v>348</v>
      </c>
      <c r="E1357" t="s">
        <v>11</v>
      </c>
      <c r="F1357" s="9">
        <v>11990.41</v>
      </c>
      <c r="G1357" s="4">
        <v>229</v>
      </c>
      <c r="H1357" s="8">
        <f t="shared" si="21"/>
        <v>229</v>
      </c>
      <c r="I1357" s="10">
        <v>10</v>
      </c>
    </row>
    <row r="1358" spans="1:9" ht="15.75" thickBot="1" x14ac:dyDescent="0.3">
      <c r="A1358" s="1">
        <v>43466</v>
      </c>
      <c r="B1358" s="8" t="s">
        <v>6</v>
      </c>
      <c r="C1358" t="s">
        <v>7</v>
      </c>
      <c r="D1358" t="s">
        <v>349</v>
      </c>
      <c r="E1358" t="s">
        <v>10</v>
      </c>
      <c r="F1358" s="9">
        <v>24363.37</v>
      </c>
      <c r="G1358" s="6">
        <v>803000</v>
      </c>
      <c r="H1358" s="8">
        <f t="shared" si="21"/>
        <v>803</v>
      </c>
      <c r="I1358" s="10">
        <v>61</v>
      </c>
    </row>
    <row r="1359" spans="1:9" ht="15.75" thickBot="1" x14ac:dyDescent="0.3">
      <c r="A1359" s="1">
        <v>43800</v>
      </c>
      <c r="B1359" s="8" t="s">
        <v>6</v>
      </c>
      <c r="C1359" t="s">
        <v>7</v>
      </c>
      <c r="D1359" t="s">
        <v>349</v>
      </c>
      <c r="E1359" t="s">
        <v>11</v>
      </c>
      <c r="F1359" s="9">
        <v>1064.18</v>
      </c>
      <c r="G1359" s="4">
        <v>22</v>
      </c>
      <c r="H1359" s="8">
        <f t="shared" si="21"/>
        <v>22</v>
      </c>
      <c r="I1359" s="10">
        <v>4</v>
      </c>
    </row>
    <row r="1360" spans="1:9" ht="15.75" thickBot="1" x14ac:dyDescent="0.3">
      <c r="A1360" s="1">
        <v>43800</v>
      </c>
      <c r="B1360" s="8" t="s">
        <v>6</v>
      </c>
      <c r="C1360" t="s">
        <v>7</v>
      </c>
      <c r="D1360" t="s">
        <v>349</v>
      </c>
      <c r="E1360" t="s">
        <v>13</v>
      </c>
      <c r="F1360" s="9">
        <v>670.91</v>
      </c>
      <c r="G1360" s="6">
        <v>20000</v>
      </c>
      <c r="H1360" s="8">
        <f t="shared" si="21"/>
        <v>20000</v>
      </c>
      <c r="I1360" s="10">
        <v>2</v>
      </c>
    </row>
    <row r="1361" spans="1:9" ht="15.75" thickBot="1" x14ac:dyDescent="0.3">
      <c r="A1361" s="1">
        <v>43800</v>
      </c>
      <c r="B1361" s="8" t="s">
        <v>6</v>
      </c>
      <c r="C1361" t="s">
        <v>7</v>
      </c>
      <c r="D1361" t="s">
        <v>350</v>
      </c>
      <c r="E1361" t="s">
        <v>10</v>
      </c>
      <c r="F1361" s="9">
        <v>81341.2</v>
      </c>
      <c r="G1361" s="6">
        <v>3090608.6809999999</v>
      </c>
      <c r="H1361" s="8">
        <f t="shared" si="21"/>
        <v>3090.6086809999997</v>
      </c>
      <c r="I1361" s="10">
        <v>328</v>
      </c>
    </row>
    <row r="1362" spans="1:9" ht="15.75" thickBot="1" x14ac:dyDescent="0.3">
      <c r="A1362" s="1">
        <v>43800</v>
      </c>
      <c r="B1362" s="8" t="s">
        <v>6</v>
      </c>
      <c r="C1362" t="s">
        <v>7</v>
      </c>
      <c r="D1362" t="s">
        <v>350</v>
      </c>
      <c r="E1362" t="s">
        <v>13</v>
      </c>
      <c r="F1362" s="9">
        <v>777.72</v>
      </c>
      <c r="G1362" s="6">
        <v>31000</v>
      </c>
      <c r="H1362" s="8">
        <f t="shared" si="21"/>
        <v>31000</v>
      </c>
      <c r="I1362" s="10">
        <v>3</v>
      </c>
    </row>
    <row r="1363" spans="1:9" ht="15.75" thickBot="1" x14ac:dyDescent="0.3">
      <c r="A1363" s="1">
        <v>43466</v>
      </c>
      <c r="B1363" s="8" t="s">
        <v>6</v>
      </c>
      <c r="C1363" t="s">
        <v>7</v>
      </c>
      <c r="D1363" t="s">
        <v>351</v>
      </c>
      <c r="E1363" t="s">
        <v>11</v>
      </c>
      <c r="F1363" s="9">
        <v>0</v>
      </c>
      <c r="G1363" s="4">
        <v>0</v>
      </c>
      <c r="H1363" s="8">
        <f t="shared" si="21"/>
        <v>0</v>
      </c>
      <c r="I1363" s="10">
        <v>1</v>
      </c>
    </row>
    <row r="1364" spans="1:9" ht="15.75" thickBot="1" x14ac:dyDescent="0.3">
      <c r="A1364" s="1">
        <v>43466</v>
      </c>
      <c r="B1364" s="8" t="s">
        <v>6</v>
      </c>
      <c r="C1364" t="s">
        <v>7</v>
      </c>
      <c r="D1364" t="s">
        <v>352</v>
      </c>
      <c r="E1364" t="s">
        <v>15</v>
      </c>
      <c r="F1364" s="9">
        <v>1397.71</v>
      </c>
      <c r="G1364" s="4">
        <v>423</v>
      </c>
      <c r="H1364" s="8">
        <f t="shared" si="21"/>
        <v>423</v>
      </c>
      <c r="I1364" s="10">
        <v>5</v>
      </c>
    </row>
    <row r="1365" spans="1:9" ht="15.75" thickBot="1" x14ac:dyDescent="0.3">
      <c r="A1365" s="1">
        <v>43466</v>
      </c>
      <c r="B1365" s="8" t="s">
        <v>6</v>
      </c>
      <c r="C1365" t="s">
        <v>7</v>
      </c>
      <c r="D1365" t="s">
        <v>352</v>
      </c>
      <c r="E1365" t="s">
        <v>10</v>
      </c>
      <c r="F1365" s="9">
        <v>4180.66</v>
      </c>
      <c r="G1365" s="6">
        <v>11124006.896</v>
      </c>
      <c r="H1365" s="8">
        <f t="shared" si="21"/>
        <v>11124.006895999999</v>
      </c>
      <c r="I1365" s="10">
        <v>985</v>
      </c>
    </row>
    <row r="1366" spans="1:9" ht="15.75" thickBot="1" x14ac:dyDescent="0.3">
      <c r="A1366" s="1">
        <v>43800</v>
      </c>
      <c r="B1366" s="8" t="s">
        <v>6</v>
      </c>
      <c r="C1366" t="s">
        <v>7</v>
      </c>
      <c r="D1366" t="s">
        <v>352</v>
      </c>
      <c r="E1366" t="s">
        <v>17</v>
      </c>
      <c r="F1366" s="9">
        <v>1713.6</v>
      </c>
      <c r="G1366" s="4">
        <v>53</v>
      </c>
      <c r="H1366" s="8">
        <f t="shared" si="21"/>
        <v>53</v>
      </c>
      <c r="I1366" s="10">
        <v>3</v>
      </c>
    </row>
    <row r="1367" spans="1:9" ht="15.75" thickBot="1" x14ac:dyDescent="0.3">
      <c r="A1367" s="1">
        <v>43800</v>
      </c>
      <c r="B1367" s="8" t="s">
        <v>6</v>
      </c>
      <c r="C1367" t="s">
        <v>7</v>
      </c>
      <c r="D1367" t="s">
        <v>352</v>
      </c>
      <c r="E1367" t="s">
        <v>11</v>
      </c>
      <c r="F1367" s="9">
        <v>400.71</v>
      </c>
      <c r="G1367" s="4">
        <v>0</v>
      </c>
      <c r="H1367" s="8">
        <f t="shared" si="21"/>
        <v>0</v>
      </c>
      <c r="I1367" s="10">
        <v>4</v>
      </c>
    </row>
    <row r="1368" spans="1:9" ht="15.75" thickBot="1" x14ac:dyDescent="0.3">
      <c r="A1368" s="1">
        <v>43800</v>
      </c>
      <c r="B1368" s="8" t="s">
        <v>6</v>
      </c>
      <c r="C1368" t="s">
        <v>7</v>
      </c>
      <c r="D1368" t="s">
        <v>352</v>
      </c>
      <c r="E1368" t="s">
        <v>13</v>
      </c>
      <c r="F1368" s="9">
        <v>0</v>
      </c>
      <c r="G1368" s="6">
        <v>152104.04699999999</v>
      </c>
      <c r="H1368" s="8">
        <f t="shared" si="21"/>
        <v>152104.04699999999</v>
      </c>
      <c r="I1368" s="10">
        <v>11</v>
      </c>
    </row>
    <row r="1369" spans="1:9" ht="15.75" thickBot="1" x14ac:dyDescent="0.3">
      <c r="A1369" s="1">
        <v>43800</v>
      </c>
      <c r="B1369" s="8" t="s">
        <v>6</v>
      </c>
      <c r="C1369" t="s">
        <v>7</v>
      </c>
      <c r="D1369" t="s">
        <v>353</v>
      </c>
      <c r="E1369" t="s">
        <v>9</v>
      </c>
      <c r="F1369" s="9">
        <v>2057.7600000000002</v>
      </c>
      <c r="G1369" s="4">
        <v>68</v>
      </c>
      <c r="H1369" s="8">
        <f t="shared" si="21"/>
        <v>68</v>
      </c>
      <c r="I1369" s="10">
        <v>1</v>
      </c>
    </row>
    <row r="1370" spans="1:9" ht="15.75" thickBot="1" x14ac:dyDescent="0.3">
      <c r="A1370" s="1">
        <v>43466</v>
      </c>
      <c r="B1370" s="8" t="s">
        <v>6</v>
      </c>
      <c r="C1370" t="s">
        <v>7</v>
      </c>
      <c r="D1370" t="s">
        <v>353</v>
      </c>
      <c r="E1370" t="s">
        <v>10</v>
      </c>
      <c r="F1370" s="9">
        <v>11474.81</v>
      </c>
      <c r="G1370" s="6">
        <v>365000</v>
      </c>
      <c r="H1370" s="8">
        <f t="shared" si="21"/>
        <v>365</v>
      </c>
      <c r="I1370" s="10">
        <v>31</v>
      </c>
    </row>
    <row r="1371" spans="1:9" ht="15.75" thickBot="1" x14ac:dyDescent="0.3">
      <c r="A1371" s="1">
        <v>43466</v>
      </c>
      <c r="B1371" s="8" t="s">
        <v>6</v>
      </c>
      <c r="C1371" t="s">
        <v>7</v>
      </c>
      <c r="D1371" t="s">
        <v>354</v>
      </c>
      <c r="E1371" t="s">
        <v>9</v>
      </c>
      <c r="F1371" s="9">
        <v>4818.76</v>
      </c>
      <c r="G1371" s="4">
        <v>165</v>
      </c>
      <c r="H1371" s="8">
        <f t="shared" si="21"/>
        <v>165</v>
      </c>
      <c r="I1371" s="10">
        <v>3</v>
      </c>
    </row>
    <row r="1372" spans="1:9" ht="15.75" thickBot="1" x14ac:dyDescent="0.3">
      <c r="A1372" s="1">
        <v>43466</v>
      </c>
      <c r="B1372" s="8" t="s">
        <v>6</v>
      </c>
      <c r="C1372" t="s">
        <v>7</v>
      </c>
      <c r="D1372" t="s">
        <v>354</v>
      </c>
      <c r="E1372" t="s">
        <v>10</v>
      </c>
      <c r="F1372" s="9">
        <v>33532.74</v>
      </c>
      <c r="G1372" s="6">
        <v>832964.353</v>
      </c>
      <c r="H1372" s="8">
        <f t="shared" si="21"/>
        <v>832.96435299999996</v>
      </c>
      <c r="I1372" s="10">
        <v>47</v>
      </c>
    </row>
    <row r="1373" spans="1:9" ht="15.75" thickBot="1" x14ac:dyDescent="0.3">
      <c r="A1373" s="1">
        <v>43800</v>
      </c>
      <c r="B1373" s="8" t="s">
        <v>6</v>
      </c>
      <c r="C1373" t="s">
        <v>7</v>
      </c>
      <c r="D1373" t="s">
        <v>354</v>
      </c>
      <c r="E1373" t="s">
        <v>17</v>
      </c>
      <c r="F1373" s="9">
        <v>1476.64</v>
      </c>
      <c r="G1373" s="4">
        <v>52</v>
      </c>
      <c r="H1373" s="8">
        <f t="shared" si="21"/>
        <v>52</v>
      </c>
      <c r="I1373" s="10">
        <v>1</v>
      </c>
    </row>
    <row r="1374" spans="1:9" ht="15.75" thickBot="1" x14ac:dyDescent="0.3">
      <c r="A1374" s="1">
        <v>43800</v>
      </c>
      <c r="B1374" s="8" t="s">
        <v>6</v>
      </c>
      <c r="C1374" t="s">
        <v>7</v>
      </c>
      <c r="D1374" t="s">
        <v>354</v>
      </c>
      <c r="E1374" t="s">
        <v>11</v>
      </c>
      <c r="F1374" s="9">
        <v>113730.17</v>
      </c>
      <c r="G1374" s="7">
        <v>22639.145</v>
      </c>
      <c r="H1374" s="8">
        <f t="shared" si="21"/>
        <v>22639.145</v>
      </c>
      <c r="I1374" s="10">
        <v>177</v>
      </c>
    </row>
    <row r="1375" spans="1:9" ht="15.75" thickBot="1" x14ac:dyDescent="0.3">
      <c r="A1375" s="1">
        <v>43800</v>
      </c>
      <c r="B1375" s="8" t="s">
        <v>6</v>
      </c>
      <c r="C1375" t="s">
        <v>7</v>
      </c>
      <c r="D1375" t="s">
        <v>354</v>
      </c>
      <c r="E1375" t="s">
        <v>13</v>
      </c>
      <c r="F1375" s="9">
        <v>1222.8399999999999</v>
      </c>
      <c r="G1375" s="4">
        <v>37</v>
      </c>
      <c r="H1375" s="8">
        <f t="shared" si="21"/>
        <v>37</v>
      </c>
      <c r="I1375" s="10">
        <v>3</v>
      </c>
    </row>
    <row r="1376" spans="1:9" ht="15.75" thickBot="1" x14ac:dyDescent="0.3">
      <c r="A1376" s="1">
        <v>43800</v>
      </c>
      <c r="B1376" s="8" t="s">
        <v>6</v>
      </c>
      <c r="C1376" t="s">
        <v>7</v>
      </c>
      <c r="D1376" t="s">
        <v>355</v>
      </c>
      <c r="E1376" t="s">
        <v>15</v>
      </c>
      <c r="F1376" s="9">
        <v>625</v>
      </c>
      <c r="G1376" s="4">
        <v>0</v>
      </c>
      <c r="H1376" s="8">
        <f t="shared" si="21"/>
        <v>0</v>
      </c>
      <c r="I1376" s="10">
        <v>1</v>
      </c>
    </row>
    <row r="1377" spans="1:9" ht="15.75" thickBot="1" x14ac:dyDescent="0.3">
      <c r="A1377" s="1">
        <v>43466</v>
      </c>
      <c r="B1377" s="8" t="s">
        <v>6</v>
      </c>
      <c r="C1377" t="s">
        <v>7</v>
      </c>
      <c r="D1377" t="s">
        <v>355</v>
      </c>
      <c r="E1377" t="s">
        <v>10</v>
      </c>
      <c r="F1377" s="9">
        <v>31138.65</v>
      </c>
      <c r="G1377" s="6">
        <v>1047606.795</v>
      </c>
      <c r="H1377" s="8">
        <f t="shared" si="21"/>
        <v>1047.6067950000001</v>
      </c>
      <c r="I1377" s="10">
        <v>119</v>
      </c>
    </row>
    <row r="1378" spans="1:9" ht="15.75" thickBot="1" x14ac:dyDescent="0.3">
      <c r="A1378" s="1">
        <v>43466</v>
      </c>
      <c r="B1378" s="8" t="s">
        <v>6</v>
      </c>
      <c r="C1378" t="s">
        <v>7</v>
      </c>
      <c r="D1378" t="s">
        <v>356</v>
      </c>
      <c r="E1378" t="s">
        <v>15</v>
      </c>
      <c r="F1378" s="9">
        <v>249.96</v>
      </c>
      <c r="G1378" s="4">
        <v>3</v>
      </c>
      <c r="H1378" s="8">
        <f t="shared" si="21"/>
        <v>3</v>
      </c>
      <c r="I1378" s="10">
        <v>3</v>
      </c>
    </row>
    <row r="1379" spans="1:9" ht="15.75" thickBot="1" x14ac:dyDescent="0.3">
      <c r="A1379" s="1">
        <v>43466</v>
      </c>
      <c r="B1379" s="8" t="s">
        <v>6</v>
      </c>
      <c r="C1379" t="s">
        <v>7</v>
      </c>
      <c r="D1379" t="s">
        <v>356</v>
      </c>
      <c r="E1379" t="s">
        <v>10</v>
      </c>
      <c r="F1379" s="9">
        <v>36234.370000000003</v>
      </c>
      <c r="G1379" s="6">
        <v>1340495.4890000001</v>
      </c>
      <c r="H1379" s="8">
        <f t="shared" si="21"/>
        <v>1340.4954890000001</v>
      </c>
      <c r="I1379" s="10">
        <v>179</v>
      </c>
    </row>
    <row r="1380" spans="1:9" ht="15.75" thickBot="1" x14ac:dyDescent="0.3">
      <c r="A1380" s="1">
        <v>43800</v>
      </c>
      <c r="B1380" s="8" t="s">
        <v>6</v>
      </c>
      <c r="C1380" t="s">
        <v>7</v>
      </c>
      <c r="D1380" t="s">
        <v>356</v>
      </c>
      <c r="E1380" t="s">
        <v>11</v>
      </c>
      <c r="F1380" s="9">
        <v>196.48</v>
      </c>
      <c r="G1380" s="6">
        <v>1000</v>
      </c>
      <c r="H1380" s="8">
        <f t="shared" si="21"/>
        <v>1000</v>
      </c>
      <c r="I1380" s="10">
        <v>2</v>
      </c>
    </row>
    <row r="1381" spans="1:9" ht="15.75" thickBot="1" x14ac:dyDescent="0.3">
      <c r="A1381" s="1">
        <v>43800</v>
      </c>
      <c r="B1381" s="8" t="s">
        <v>6</v>
      </c>
      <c r="C1381" t="s">
        <v>7</v>
      </c>
      <c r="D1381" t="s">
        <v>357</v>
      </c>
      <c r="E1381" t="s">
        <v>9</v>
      </c>
      <c r="F1381" s="9">
        <v>3661.72</v>
      </c>
      <c r="G1381" s="4">
        <v>121</v>
      </c>
      <c r="H1381" s="8">
        <f t="shared" si="21"/>
        <v>121</v>
      </c>
      <c r="I1381" s="10">
        <v>3</v>
      </c>
    </row>
    <row r="1382" spans="1:9" ht="15.75" thickBot="1" x14ac:dyDescent="0.3">
      <c r="A1382" s="1">
        <v>43800</v>
      </c>
      <c r="B1382" s="8" t="s">
        <v>6</v>
      </c>
      <c r="C1382" t="s">
        <v>7</v>
      </c>
      <c r="D1382" t="s">
        <v>357</v>
      </c>
      <c r="E1382" t="s">
        <v>15</v>
      </c>
      <c r="F1382" s="9">
        <v>4485.22</v>
      </c>
      <c r="G1382" s="4">
        <v>43</v>
      </c>
      <c r="H1382" s="8">
        <f t="shared" si="21"/>
        <v>43</v>
      </c>
      <c r="I1382" s="10">
        <v>3</v>
      </c>
    </row>
    <row r="1383" spans="1:9" ht="15.75" thickBot="1" x14ac:dyDescent="0.3">
      <c r="A1383" s="1">
        <v>43800</v>
      </c>
      <c r="B1383" s="8" t="s">
        <v>6</v>
      </c>
      <c r="C1383" t="s">
        <v>7</v>
      </c>
      <c r="D1383" t="s">
        <v>357</v>
      </c>
      <c r="E1383" t="s">
        <v>10</v>
      </c>
      <c r="F1383" s="9">
        <v>64181.7</v>
      </c>
      <c r="G1383" s="6">
        <v>2237131.5970000001</v>
      </c>
      <c r="H1383" s="8">
        <f t="shared" si="21"/>
        <v>2237.1315970000001</v>
      </c>
      <c r="I1383" s="10">
        <v>184</v>
      </c>
    </row>
    <row r="1384" spans="1:9" ht="15.75" thickBot="1" x14ac:dyDescent="0.3">
      <c r="A1384" s="1">
        <v>43466</v>
      </c>
      <c r="B1384" s="8" t="s">
        <v>6</v>
      </c>
      <c r="C1384" t="s">
        <v>7</v>
      </c>
      <c r="D1384" t="s">
        <v>357</v>
      </c>
      <c r="E1384" t="s">
        <v>13</v>
      </c>
      <c r="F1384" s="9">
        <v>339.89</v>
      </c>
      <c r="G1384" s="6">
        <v>13000</v>
      </c>
      <c r="H1384" s="8">
        <f t="shared" si="21"/>
        <v>13000</v>
      </c>
      <c r="I1384" s="10">
        <v>1</v>
      </c>
    </row>
    <row r="1385" spans="1:9" ht="15.75" thickBot="1" x14ac:dyDescent="0.3">
      <c r="A1385" s="1">
        <v>43466</v>
      </c>
      <c r="B1385" s="8" t="s">
        <v>6</v>
      </c>
      <c r="C1385" t="s">
        <v>7</v>
      </c>
      <c r="D1385" t="s">
        <v>358</v>
      </c>
      <c r="E1385" t="s">
        <v>9</v>
      </c>
      <c r="F1385" s="9">
        <v>5240.62</v>
      </c>
      <c r="G1385" s="4">
        <v>148</v>
      </c>
      <c r="H1385" s="8">
        <f t="shared" si="21"/>
        <v>148</v>
      </c>
      <c r="I1385" s="10">
        <v>7</v>
      </c>
    </row>
    <row r="1386" spans="1:9" ht="15.75" thickBot="1" x14ac:dyDescent="0.3">
      <c r="A1386" s="1">
        <v>43466</v>
      </c>
      <c r="B1386" s="8" t="s">
        <v>6</v>
      </c>
      <c r="C1386" t="s">
        <v>7</v>
      </c>
      <c r="D1386" t="s">
        <v>358</v>
      </c>
      <c r="E1386" t="s">
        <v>15</v>
      </c>
      <c r="F1386" s="9">
        <v>18933.89</v>
      </c>
      <c r="G1386" s="4">
        <v>655</v>
      </c>
      <c r="H1386" s="8">
        <f t="shared" si="21"/>
        <v>655</v>
      </c>
      <c r="I1386" s="10">
        <v>13</v>
      </c>
    </row>
    <row r="1387" spans="1:9" ht="15.75" thickBot="1" x14ac:dyDescent="0.3">
      <c r="A1387" s="1">
        <v>43800</v>
      </c>
      <c r="B1387" s="8" t="s">
        <v>6</v>
      </c>
      <c r="C1387" t="s">
        <v>7</v>
      </c>
      <c r="D1387" t="s">
        <v>358</v>
      </c>
      <c r="E1387" t="s">
        <v>10</v>
      </c>
      <c r="F1387" s="9">
        <v>112476.48</v>
      </c>
      <c r="G1387" s="7">
        <v>3751975.4819999998</v>
      </c>
      <c r="H1387" s="8">
        <f t="shared" si="21"/>
        <v>3751.9754819999998</v>
      </c>
      <c r="I1387" s="10">
        <v>271</v>
      </c>
    </row>
    <row r="1388" spans="1:9" ht="15.75" thickBot="1" x14ac:dyDescent="0.3">
      <c r="A1388" s="1">
        <v>43800</v>
      </c>
      <c r="B1388" s="8" t="s">
        <v>6</v>
      </c>
      <c r="C1388" t="s">
        <v>7</v>
      </c>
      <c r="D1388" t="s">
        <v>358</v>
      </c>
      <c r="E1388" t="s">
        <v>11</v>
      </c>
      <c r="F1388" s="9">
        <v>52886.65</v>
      </c>
      <c r="G1388" s="7">
        <v>35778.845000000001</v>
      </c>
      <c r="H1388" s="8">
        <f t="shared" si="21"/>
        <v>35778.845000000001</v>
      </c>
      <c r="I1388" s="10">
        <v>21</v>
      </c>
    </row>
    <row r="1389" spans="1:9" ht="15.75" thickBot="1" x14ac:dyDescent="0.3">
      <c r="A1389" s="1">
        <v>43800</v>
      </c>
      <c r="B1389" s="8" t="s">
        <v>6</v>
      </c>
      <c r="C1389" t="s">
        <v>7</v>
      </c>
      <c r="D1389" t="s">
        <v>358</v>
      </c>
      <c r="E1389" t="s">
        <v>13</v>
      </c>
      <c r="F1389" s="9">
        <v>56</v>
      </c>
      <c r="G1389" s="6">
        <v>0</v>
      </c>
      <c r="H1389" s="8">
        <f t="shared" si="21"/>
        <v>0</v>
      </c>
      <c r="I1389" s="10">
        <v>1</v>
      </c>
    </row>
    <row r="1390" spans="1:9" ht="15.75" thickBot="1" x14ac:dyDescent="0.3">
      <c r="A1390" s="1">
        <v>43800</v>
      </c>
      <c r="B1390" s="8" t="s">
        <v>6</v>
      </c>
      <c r="C1390" t="s">
        <v>7</v>
      </c>
      <c r="D1390" t="s">
        <v>359</v>
      </c>
      <c r="E1390" t="s">
        <v>15</v>
      </c>
      <c r="F1390" s="9">
        <v>538.48</v>
      </c>
      <c r="G1390" s="4">
        <v>14</v>
      </c>
      <c r="H1390" s="8">
        <f t="shared" si="21"/>
        <v>14</v>
      </c>
      <c r="I1390" s="10">
        <v>1</v>
      </c>
    </row>
    <row r="1391" spans="1:9" ht="15.75" thickBot="1" x14ac:dyDescent="0.3">
      <c r="A1391" s="1">
        <v>43466</v>
      </c>
      <c r="B1391" s="8" t="s">
        <v>6</v>
      </c>
      <c r="C1391" t="s">
        <v>7</v>
      </c>
      <c r="D1391" t="s">
        <v>359</v>
      </c>
      <c r="E1391" t="s">
        <v>10</v>
      </c>
      <c r="F1391" s="9">
        <v>9587.9500000000007</v>
      </c>
      <c r="G1391" s="6">
        <v>3862769.3790000002</v>
      </c>
      <c r="H1391" s="8">
        <f t="shared" si="21"/>
        <v>3862.7693790000003</v>
      </c>
      <c r="I1391" s="10">
        <v>305</v>
      </c>
    </row>
    <row r="1392" spans="1:9" ht="15.75" thickBot="1" x14ac:dyDescent="0.3">
      <c r="A1392" s="1">
        <v>43466</v>
      </c>
      <c r="B1392" s="8" t="s">
        <v>6</v>
      </c>
      <c r="C1392" t="s">
        <v>7</v>
      </c>
      <c r="D1392" t="s">
        <v>359</v>
      </c>
      <c r="E1392" t="s">
        <v>11</v>
      </c>
      <c r="F1392" s="9">
        <v>465.8</v>
      </c>
      <c r="G1392" s="4">
        <v>15</v>
      </c>
      <c r="H1392" s="8">
        <f t="shared" si="21"/>
        <v>15</v>
      </c>
      <c r="I1392" s="10">
        <v>1</v>
      </c>
    </row>
    <row r="1393" spans="1:9" ht="15.75" thickBot="1" x14ac:dyDescent="0.3">
      <c r="A1393" s="1">
        <v>43466</v>
      </c>
      <c r="B1393" s="8" t="s">
        <v>6</v>
      </c>
      <c r="C1393" t="s">
        <v>7</v>
      </c>
      <c r="D1393" t="s">
        <v>360</v>
      </c>
      <c r="E1393" t="s">
        <v>15</v>
      </c>
      <c r="F1393" s="9">
        <v>500</v>
      </c>
      <c r="G1393" s="4">
        <v>0</v>
      </c>
      <c r="H1393" s="8">
        <f t="shared" si="21"/>
        <v>0</v>
      </c>
      <c r="I1393" s="10">
        <v>2</v>
      </c>
    </row>
    <row r="1394" spans="1:9" ht="15.75" thickBot="1" x14ac:dyDescent="0.3">
      <c r="A1394" s="1">
        <v>43800</v>
      </c>
      <c r="B1394" s="8" t="s">
        <v>6</v>
      </c>
      <c r="C1394" t="s">
        <v>7</v>
      </c>
      <c r="D1394" t="s">
        <v>360</v>
      </c>
      <c r="E1394" t="s">
        <v>10</v>
      </c>
      <c r="F1394" s="9">
        <v>18493.150000000001</v>
      </c>
      <c r="G1394" s="6">
        <v>15288235.574999999</v>
      </c>
      <c r="H1394" s="8">
        <f t="shared" si="21"/>
        <v>15288.235574999999</v>
      </c>
      <c r="I1394" s="10">
        <v>1356</v>
      </c>
    </row>
    <row r="1395" spans="1:9" ht="15.75" thickBot="1" x14ac:dyDescent="0.3">
      <c r="A1395" s="1">
        <v>43800</v>
      </c>
      <c r="B1395" s="8" t="s">
        <v>6</v>
      </c>
      <c r="C1395" t="s">
        <v>7</v>
      </c>
      <c r="D1395" t="s">
        <v>360</v>
      </c>
      <c r="E1395" t="s">
        <v>17</v>
      </c>
      <c r="F1395" s="9">
        <v>719.61</v>
      </c>
      <c r="G1395" s="4">
        <v>24</v>
      </c>
      <c r="H1395" s="8">
        <f t="shared" si="21"/>
        <v>24</v>
      </c>
      <c r="I1395" s="10">
        <v>1</v>
      </c>
    </row>
    <row r="1396" spans="1:9" ht="15.75" thickBot="1" x14ac:dyDescent="0.3">
      <c r="A1396" s="1">
        <v>43800</v>
      </c>
      <c r="B1396" s="8" t="s">
        <v>6</v>
      </c>
      <c r="C1396" t="s">
        <v>7</v>
      </c>
      <c r="D1396" t="s">
        <v>360</v>
      </c>
      <c r="E1396" t="s">
        <v>11</v>
      </c>
      <c r="F1396" s="9">
        <v>5193.05</v>
      </c>
      <c r="G1396" s="4">
        <v>115</v>
      </c>
      <c r="H1396" s="8">
        <f t="shared" si="21"/>
        <v>115</v>
      </c>
      <c r="I1396" s="10">
        <v>7</v>
      </c>
    </row>
    <row r="1397" spans="1:9" ht="15.75" thickBot="1" x14ac:dyDescent="0.3">
      <c r="A1397" s="1">
        <v>43800</v>
      </c>
      <c r="B1397" s="8" t="s">
        <v>6</v>
      </c>
      <c r="C1397" t="s">
        <v>7</v>
      </c>
      <c r="D1397" t="s">
        <v>360</v>
      </c>
      <c r="E1397" t="s">
        <v>13</v>
      </c>
      <c r="F1397" s="9">
        <v>101.23</v>
      </c>
      <c r="G1397" s="6">
        <v>44000</v>
      </c>
      <c r="H1397" s="8">
        <f t="shared" si="21"/>
        <v>44000</v>
      </c>
      <c r="I1397" s="10">
        <v>5</v>
      </c>
    </row>
    <row r="1398" spans="1:9" ht="15.75" thickBot="1" x14ac:dyDescent="0.3">
      <c r="A1398" s="1">
        <v>43466</v>
      </c>
      <c r="B1398" s="8" t="s">
        <v>6</v>
      </c>
      <c r="C1398" t="s">
        <v>7</v>
      </c>
      <c r="D1398" t="s">
        <v>361</v>
      </c>
      <c r="E1398" t="s">
        <v>9</v>
      </c>
      <c r="F1398" s="9">
        <v>2924.88</v>
      </c>
      <c r="G1398" s="4">
        <v>78</v>
      </c>
      <c r="H1398" s="8">
        <f t="shared" si="21"/>
        <v>78</v>
      </c>
      <c r="I1398" s="10">
        <v>2</v>
      </c>
    </row>
    <row r="1399" spans="1:9" ht="15.75" thickBot="1" x14ac:dyDescent="0.3">
      <c r="A1399" s="1">
        <v>43466</v>
      </c>
      <c r="B1399" s="8" t="s">
        <v>6</v>
      </c>
      <c r="C1399" t="s">
        <v>7</v>
      </c>
      <c r="D1399" t="s">
        <v>361</v>
      </c>
      <c r="E1399" t="s">
        <v>15</v>
      </c>
      <c r="F1399" s="9">
        <v>7969.88</v>
      </c>
      <c r="G1399" s="4">
        <v>212</v>
      </c>
      <c r="H1399" s="8">
        <f t="shared" si="21"/>
        <v>212</v>
      </c>
      <c r="I1399" s="10">
        <v>9</v>
      </c>
    </row>
    <row r="1400" spans="1:9" ht="15.75" thickBot="1" x14ac:dyDescent="0.3">
      <c r="A1400" s="1">
        <v>43466</v>
      </c>
      <c r="B1400" s="8" t="s">
        <v>6</v>
      </c>
      <c r="C1400" t="s">
        <v>7</v>
      </c>
      <c r="D1400" t="s">
        <v>361</v>
      </c>
      <c r="E1400" t="s">
        <v>10</v>
      </c>
      <c r="F1400" s="9">
        <v>67227.039999999994</v>
      </c>
      <c r="G1400" s="6">
        <v>6606696.767</v>
      </c>
      <c r="H1400" s="8">
        <f t="shared" si="21"/>
        <v>6606.6967670000004</v>
      </c>
      <c r="I1400" s="10">
        <v>585</v>
      </c>
    </row>
    <row r="1401" spans="1:9" ht="15.75" thickBot="1" x14ac:dyDescent="0.3">
      <c r="A1401" s="1">
        <v>43800</v>
      </c>
      <c r="B1401" s="8" t="s">
        <v>6</v>
      </c>
      <c r="C1401" t="s">
        <v>7</v>
      </c>
      <c r="D1401" t="s">
        <v>361</v>
      </c>
      <c r="E1401" t="s">
        <v>11</v>
      </c>
      <c r="F1401" s="9">
        <v>8959.9699999999993</v>
      </c>
      <c r="G1401" s="4">
        <v>295</v>
      </c>
      <c r="H1401" s="8">
        <f t="shared" si="21"/>
        <v>295</v>
      </c>
      <c r="I1401" s="10">
        <v>6</v>
      </c>
    </row>
    <row r="1402" spans="1:9" ht="15.75" thickBot="1" x14ac:dyDescent="0.3">
      <c r="A1402" s="1">
        <v>43800</v>
      </c>
      <c r="B1402" s="8" t="s">
        <v>6</v>
      </c>
      <c r="C1402" t="s">
        <v>7</v>
      </c>
      <c r="D1402" t="s">
        <v>361</v>
      </c>
      <c r="E1402" t="s">
        <v>13</v>
      </c>
      <c r="F1402" s="9">
        <v>380.88</v>
      </c>
      <c r="G1402" s="6">
        <v>17000</v>
      </c>
      <c r="H1402" s="8">
        <f t="shared" si="21"/>
        <v>17000</v>
      </c>
      <c r="I1402" s="10">
        <v>4</v>
      </c>
    </row>
    <row r="1403" spans="1:9" ht="15.75" thickBot="1" x14ac:dyDescent="0.3">
      <c r="A1403" s="1">
        <v>43800</v>
      </c>
      <c r="B1403" s="8" t="s">
        <v>6</v>
      </c>
      <c r="C1403" t="s">
        <v>7</v>
      </c>
      <c r="D1403" t="s">
        <v>362</v>
      </c>
      <c r="E1403" t="s">
        <v>9</v>
      </c>
      <c r="F1403" s="9">
        <v>1681.2</v>
      </c>
      <c r="G1403" s="4">
        <v>35</v>
      </c>
      <c r="H1403" s="8">
        <f t="shared" si="21"/>
        <v>35</v>
      </c>
      <c r="I1403" s="10">
        <v>2</v>
      </c>
    </row>
    <row r="1404" spans="1:9" ht="15.75" thickBot="1" x14ac:dyDescent="0.3">
      <c r="A1404" s="1">
        <v>43800</v>
      </c>
      <c r="B1404" s="8" t="s">
        <v>6</v>
      </c>
      <c r="C1404" t="s">
        <v>7</v>
      </c>
      <c r="D1404" t="s">
        <v>362</v>
      </c>
      <c r="E1404" t="s">
        <v>10</v>
      </c>
      <c r="F1404" s="9">
        <v>77383.03</v>
      </c>
      <c r="G1404" s="6">
        <v>2264279.81</v>
      </c>
      <c r="H1404" s="8">
        <f t="shared" si="21"/>
        <v>2264.27981</v>
      </c>
      <c r="I1404" s="10">
        <v>130</v>
      </c>
    </row>
    <row r="1405" spans="1:9" ht="15.75" thickBot="1" x14ac:dyDescent="0.3">
      <c r="A1405" s="1">
        <v>43466</v>
      </c>
      <c r="B1405" s="8" t="s">
        <v>6</v>
      </c>
      <c r="C1405" t="s">
        <v>7</v>
      </c>
      <c r="D1405" t="s">
        <v>362</v>
      </c>
      <c r="E1405" t="s">
        <v>11</v>
      </c>
      <c r="F1405" s="9">
        <v>10090.209999999999</v>
      </c>
      <c r="G1405" s="6">
        <v>279000</v>
      </c>
      <c r="H1405" s="8">
        <f t="shared" si="21"/>
        <v>279000</v>
      </c>
      <c r="I1405" s="10">
        <v>18</v>
      </c>
    </row>
    <row r="1406" spans="1:9" ht="15.75" thickBot="1" x14ac:dyDescent="0.3">
      <c r="A1406" s="1">
        <v>43466</v>
      </c>
      <c r="B1406" s="8" t="s">
        <v>6</v>
      </c>
      <c r="C1406" t="s">
        <v>7</v>
      </c>
      <c r="D1406" t="s">
        <v>363</v>
      </c>
      <c r="E1406" t="s">
        <v>10</v>
      </c>
      <c r="F1406" s="9">
        <v>12082.34</v>
      </c>
      <c r="G1406" s="6">
        <v>391000</v>
      </c>
      <c r="H1406" s="8">
        <f t="shared" si="21"/>
        <v>391</v>
      </c>
      <c r="I1406" s="10">
        <v>36</v>
      </c>
    </row>
    <row r="1407" spans="1:9" ht="15.75" thickBot="1" x14ac:dyDescent="0.3">
      <c r="A1407" s="1">
        <v>43466</v>
      </c>
      <c r="B1407" s="8" t="s">
        <v>6</v>
      </c>
      <c r="C1407" t="s">
        <v>7</v>
      </c>
      <c r="D1407" t="s">
        <v>363</v>
      </c>
      <c r="E1407" t="s">
        <v>11</v>
      </c>
      <c r="F1407" s="9">
        <v>127.32</v>
      </c>
      <c r="G1407" s="4">
        <v>1</v>
      </c>
      <c r="H1407" s="8">
        <f t="shared" si="21"/>
        <v>1</v>
      </c>
      <c r="I1407" s="10">
        <v>1</v>
      </c>
    </row>
    <row r="1408" spans="1:9" ht="15.75" thickBot="1" x14ac:dyDescent="0.3">
      <c r="A1408" s="1">
        <v>43800</v>
      </c>
      <c r="B1408" s="8" t="s">
        <v>6</v>
      </c>
      <c r="C1408" t="s">
        <v>7</v>
      </c>
      <c r="D1408" t="s">
        <v>364</v>
      </c>
      <c r="E1408" t="s">
        <v>15</v>
      </c>
      <c r="F1408" s="9">
        <v>100</v>
      </c>
      <c r="G1408" s="4">
        <v>0</v>
      </c>
      <c r="H1408" s="8">
        <f t="shared" si="21"/>
        <v>0</v>
      </c>
      <c r="I1408" s="10">
        <v>1</v>
      </c>
    </row>
    <row r="1409" spans="1:9" ht="15.75" thickBot="1" x14ac:dyDescent="0.3">
      <c r="A1409" s="1">
        <v>43800</v>
      </c>
      <c r="B1409" s="8" t="s">
        <v>6</v>
      </c>
      <c r="C1409" t="s">
        <v>7</v>
      </c>
      <c r="D1409" t="s">
        <v>364</v>
      </c>
      <c r="E1409" t="s">
        <v>10</v>
      </c>
      <c r="F1409" s="9">
        <v>208178.31</v>
      </c>
      <c r="G1409" s="7">
        <v>5589583.5190000003</v>
      </c>
      <c r="H1409" s="8">
        <f t="shared" si="21"/>
        <v>5589.5835190000007</v>
      </c>
      <c r="I1409" s="10">
        <v>564</v>
      </c>
    </row>
    <row r="1410" spans="1:9" ht="15.75" thickBot="1" x14ac:dyDescent="0.3">
      <c r="A1410" s="1">
        <v>43800</v>
      </c>
      <c r="B1410" s="8" t="s">
        <v>6</v>
      </c>
      <c r="C1410" t="s">
        <v>7</v>
      </c>
      <c r="D1410" t="s">
        <v>364</v>
      </c>
      <c r="E1410" t="s">
        <v>11</v>
      </c>
      <c r="F1410" s="9">
        <v>1107.57</v>
      </c>
      <c r="G1410" s="6">
        <v>33000</v>
      </c>
      <c r="H1410" s="8">
        <f t="shared" ref="H1410:H1473" si="22">IF(ISNUMBER(SEARCH("Domestic customer", E1410)),G1410/1000,G1410)</f>
        <v>33000</v>
      </c>
      <c r="I1410" s="10">
        <v>3</v>
      </c>
    </row>
    <row r="1411" spans="1:9" ht="15.75" thickBot="1" x14ac:dyDescent="0.3">
      <c r="A1411" s="1">
        <v>43800</v>
      </c>
      <c r="B1411" s="8" t="s">
        <v>6</v>
      </c>
      <c r="C1411" t="s">
        <v>7</v>
      </c>
      <c r="D1411" t="s">
        <v>364</v>
      </c>
      <c r="E1411" t="s">
        <v>13</v>
      </c>
      <c r="F1411" s="9">
        <v>2113.83</v>
      </c>
      <c r="G1411" s="6">
        <v>64000</v>
      </c>
      <c r="H1411" s="8">
        <f t="shared" si="22"/>
        <v>64000</v>
      </c>
      <c r="I1411" s="10">
        <v>6</v>
      </c>
    </row>
    <row r="1412" spans="1:9" ht="15.75" thickBot="1" x14ac:dyDescent="0.3">
      <c r="A1412" s="1">
        <v>43466</v>
      </c>
      <c r="B1412" s="8" t="s">
        <v>6</v>
      </c>
      <c r="C1412" t="s">
        <v>7</v>
      </c>
      <c r="D1412" t="s">
        <v>365</v>
      </c>
      <c r="E1412" t="s">
        <v>9</v>
      </c>
      <c r="F1412" s="9">
        <v>100603.69</v>
      </c>
      <c r="G1412" s="7">
        <v>3175.5219999999999</v>
      </c>
      <c r="H1412" s="8">
        <f t="shared" si="22"/>
        <v>3175.5219999999999</v>
      </c>
      <c r="I1412" s="10">
        <v>85</v>
      </c>
    </row>
    <row r="1413" spans="1:9" ht="15.75" thickBot="1" x14ac:dyDescent="0.3">
      <c r="A1413" s="1">
        <v>43466</v>
      </c>
      <c r="B1413" s="8" t="s">
        <v>6</v>
      </c>
      <c r="C1413" t="s">
        <v>7</v>
      </c>
      <c r="D1413" t="s">
        <v>365</v>
      </c>
      <c r="E1413" t="s">
        <v>15</v>
      </c>
      <c r="F1413" s="9">
        <v>6638.66</v>
      </c>
      <c r="G1413" s="4">
        <v>28</v>
      </c>
      <c r="H1413" s="8">
        <f t="shared" si="22"/>
        <v>28</v>
      </c>
      <c r="I1413" s="10">
        <v>8</v>
      </c>
    </row>
    <row r="1414" spans="1:9" ht="15.75" thickBot="1" x14ac:dyDescent="0.3">
      <c r="A1414" s="1">
        <v>43466</v>
      </c>
      <c r="B1414" s="8" t="s">
        <v>6</v>
      </c>
      <c r="C1414" t="s">
        <v>7</v>
      </c>
      <c r="D1414" t="s">
        <v>365</v>
      </c>
      <c r="E1414" t="s">
        <v>10</v>
      </c>
      <c r="F1414" s="9">
        <v>104514.93</v>
      </c>
      <c r="G1414" s="6">
        <v>4574931.7209999999</v>
      </c>
      <c r="H1414" s="8">
        <f t="shared" si="22"/>
        <v>4574.9317209999999</v>
      </c>
      <c r="I1414" s="10">
        <v>203</v>
      </c>
    </row>
    <row r="1415" spans="1:9" ht="15.75" thickBot="1" x14ac:dyDescent="0.3">
      <c r="A1415" s="1">
        <v>43800</v>
      </c>
      <c r="B1415" s="8" t="s">
        <v>6</v>
      </c>
      <c r="C1415" t="s">
        <v>7</v>
      </c>
      <c r="D1415" t="s">
        <v>365</v>
      </c>
      <c r="E1415" t="s">
        <v>11</v>
      </c>
      <c r="F1415" s="9">
        <v>9818.93</v>
      </c>
      <c r="G1415" s="7">
        <v>80261.744000000006</v>
      </c>
      <c r="H1415" s="8">
        <f t="shared" si="22"/>
        <v>80261.744000000006</v>
      </c>
      <c r="I1415" s="10">
        <v>9</v>
      </c>
    </row>
    <row r="1416" spans="1:9" ht="15.75" thickBot="1" x14ac:dyDescent="0.3">
      <c r="A1416" s="1">
        <v>43800</v>
      </c>
      <c r="B1416" s="8" t="s">
        <v>6</v>
      </c>
      <c r="C1416" t="s">
        <v>7</v>
      </c>
      <c r="D1416" t="s">
        <v>365</v>
      </c>
      <c r="E1416" t="s">
        <v>13</v>
      </c>
      <c r="F1416" s="9">
        <v>15148.04</v>
      </c>
      <c r="G1416" s="7">
        <v>33495.004000000001</v>
      </c>
      <c r="H1416" s="8">
        <f t="shared" si="22"/>
        <v>33495.004000000001</v>
      </c>
      <c r="I1416" s="10">
        <v>4</v>
      </c>
    </row>
    <row r="1417" spans="1:9" ht="15.75" thickBot="1" x14ac:dyDescent="0.3">
      <c r="A1417" s="1">
        <v>43800</v>
      </c>
      <c r="B1417" s="8" t="s">
        <v>6</v>
      </c>
      <c r="C1417" t="s">
        <v>7</v>
      </c>
      <c r="D1417" t="s">
        <v>366</v>
      </c>
      <c r="E1417" t="s">
        <v>9</v>
      </c>
      <c r="F1417" s="9">
        <v>262555.84000000003</v>
      </c>
      <c r="G1417" s="4">
        <v>7854</v>
      </c>
      <c r="H1417" s="8">
        <f t="shared" si="22"/>
        <v>7854</v>
      </c>
      <c r="I1417" s="10">
        <v>46</v>
      </c>
    </row>
    <row r="1418" spans="1:9" ht="15.75" thickBot="1" x14ac:dyDescent="0.3">
      <c r="A1418" s="1">
        <v>43800</v>
      </c>
      <c r="B1418" s="8" t="s">
        <v>6</v>
      </c>
      <c r="C1418" t="s">
        <v>7</v>
      </c>
      <c r="D1418" t="s">
        <v>366</v>
      </c>
      <c r="E1418" t="s">
        <v>15</v>
      </c>
      <c r="F1418" s="9">
        <v>3454.64</v>
      </c>
      <c r="G1418" s="4">
        <v>102</v>
      </c>
      <c r="H1418" s="8">
        <f t="shared" si="22"/>
        <v>102</v>
      </c>
      <c r="I1418" s="10">
        <v>4</v>
      </c>
    </row>
    <row r="1419" spans="1:9" ht="15.75" thickBot="1" x14ac:dyDescent="0.3">
      <c r="A1419" s="1">
        <v>43466</v>
      </c>
      <c r="B1419" s="8" t="s">
        <v>6</v>
      </c>
      <c r="C1419" t="s">
        <v>7</v>
      </c>
      <c r="D1419" t="s">
        <v>366</v>
      </c>
      <c r="E1419" t="s">
        <v>10</v>
      </c>
      <c r="F1419" s="9">
        <v>1325400.6200000001</v>
      </c>
      <c r="G1419" s="6">
        <v>42408749.894000001</v>
      </c>
      <c r="H1419" s="8">
        <f t="shared" si="22"/>
        <v>42408.749894</v>
      </c>
      <c r="I1419" s="10">
        <v>1795</v>
      </c>
    </row>
    <row r="1420" spans="1:9" ht="15.75" thickBot="1" x14ac:dyDescent="0.3">
      <c r="A1420" s="1">
        <v>43466</v>
      </c>
      <c r="B1420" s="8" t="s">
        <v>6</v>
      </c>
      <c r="C1420" t="s">
        <v>7</v>
      </c>
      <c r="D1420" t="s">
        <v>366</v>
      </c>
      <c r="E1420" t="s">
        <v>11</v>
      </c>
      <c r="F1420" s="9">
        <v>64806.84</v>
      </c>
      <c r="G1420" s="7">
        <v>795201.951</v>
      </c>
      <c r="H1420" s="8">
        <f t="shared" si="22"/>
        <v>795201.951</v>
      </c>
      <c r="I1420" s="10">
        <v>67</v>
      </c>
    </row>
    <row r="1421" spans="1:9" ht="15.75" thickBot="1" x14ac:dyDescent="0.3">
      <c r="A1421" s="1">
        <v>43466</v>
      </c>
      <c r="B1421" s="8" t="s">
        <v>6</v>
      </c>
      <c r="C1421" t="s">
        <v>7</v>
      </c>
      <c r="D1421" t="s">
        <v>366</v>
      </c>
      <c r="E1421" t="s">
        <v>13</v>
      </c>
      <c r="F1421" s="9">
        <v>20829.55</v>
      </c>
      <c r="G1421" s="7">
        <v>329125.29599999997</v>
      </c>
      <c r="H1421" s="8">
        <f t="shared" si="22"/>
        <v>329125.29599999997</v>
      </c>
      <c r="I1421" s="10">
        <v>15</v>
      </c>
    </row>
    <row r="1422" spans="1:9" ht="15.75" thickBot="1" x14ac:dyDescent="0.3">
      <c r="A1422" s="1">
        <v>43800</v>
      </c>
      <c r="B1422" s="8" t="s">
        <v>6</v>
      </c>
      <c r="C1422" t="s">
        <v>7</v>
      </c>
      <c r="D1422" t="s">
        <v>367</v>
      </c>
      <c r="E1422" t="s">
        <v>9</v>
      </c>
      <c r="F1422" s="9">
        <v>81774.320000000007</v>
      </c>
      <c r="G1422" s="4">
        <v>2852</v>
      </c>
      <c r="H1422" s="8">
        <f t="shared" si="22"/>
        <v>2852</v>
      </c>
      <c r="I1422" s="10">
        <v>4</v>
      </c>
    </row>
    <row r="1423" spans="1:9" ht="15.75" thickBot="1" x14ac:dyDescent="0.3">
      <c r="A1423" s="1">
        <v>43800</v>
      </c>
      <c r="B1423" s="8" t="s">
        <v>6</v>
      </c>
      <c r="C1423" t="s">
        <v>7</v>
      </c>
      <c r="D1423" t="s">
        <v>367</v>
      </c>
      <c r="E1423" t="s">
        <v>15</v>
      </c>
      <c r="F1423" s="9">
        <v>2381</v>
      </c>
      <c r="G1423" s="4">
        <v>0</v>
      </c>
      <c r="H1423" s="8">
        <f t="shared" si="22"/>
        <v>0</v>
      </c>
      <c r="I1423" s="10">
        <v>3</v>
      </c>
    </row>
    <row r="1424" spans="1:9" ht="15.75" thickBot="1" x14ac:dyDescent="0.3">
      <c r="A1424" s="1">
        <v>43800</v>
      </c>
      <c r="B1424" s="8" t="s">
        <v>6</v>
      </c>
      <c r="C1424" t="s">
        <v>7</v>
      </c>
      <c r="D1424" t="s">
        <v>367</v>
      </c>
      <c r="E1424" t="s">
        <v>10</v>
      </c>
      <c r="F1424" s="9">
        <v>77295.289999999994</v>
      </c>
      <c r="G1424" s="6">
        <v>3046115.3089999999</v>
      </c>
      <c r="H1424" s="8">
        <f t="shared" si="22"/>
        <v>3046.1153089999998</v>
      </c>
      <c r="I1424" s="10">
        <v>147</v>
      </c>
    </row>
    <row r="1425" spans="1:9" ht="15.75" thickBot="1" x14ac:dyDescent="0.3">
      <c r="A1425" s="1">
        <v>43800</v>
      </c>
      <c r="B1425" s="8" t="s">
        <v>6</v>
      </c>
      <c r="C1425" t="s">
        <v>7</v>
      </c>
      <c r="D1425" t="s">
        <v>367</v>
      </c>
      <c r="E1425" t="s">
        <v>11</v>
      </c>
      <c r="F1425" s="9">
        <v>671.61</v>
      </c>
      <c r="G1425" s="6">
        <v>15000</v>
      </c>
      <c r="H1425" s="8">
        <f t="shared" si="22"/>
        <v>15000</v>
      </c>
      <c r="I1425" s="10">
        <v>4</v>
      </c>
    </row>
    <row r="1426" spans="1:9" ht="15.75" thickBot="1" x14ac:dyDescent="0.3">
      <c r="A1426" s="1">
        <v>43466</v>
      </c>
      <c r="B1426" s="8" t="s">
        <v>6</v>
      </c>
      <c r="C1426" t="s">
        <v>7</v>
      </c>
      <c r="D1426" t="s">
        <v>367</v>
      </c>
      <c r="E1426" t="s">
        <v>13</v>
      </c>
      <c r="F1426" s="9">
        <v>174.55</v>
      </c>
      <c r="G1426" s="6">
        <v>26000</v>
      </c>
      <c r="H1426" s="8">
        <f t="shared" si="22"/>
        <v>26000</v>
      </c>
      <c r="I1426" s="10">
        <v>2</v>
      </c>
    </row>
    <row r="1427" spans="1:9" ht="15.75" thickBot="1" x14ac:dyDescent="0.3">
      <c r="A1427" s="1">
        <v>43466</v>
      </c>
      <c r="B1427" s="8" t="s">
        <v>6</v>
      </c>
      <c r="C1427" t="s">
        <v>7</v>
      </c>
      <c r="D1427" t="s">
        <v>368</v>
      </c>
      <c r="E1427" t="s">
        <v>9</v>
      </c>
      <c r="F1427" s="9">
        <v>26988.12</v>
      </c>
      <c r="G1427" s="4">
        <v>941</v>
      </c>
      <c r="H1427" s="8">
        <f t="shared" si="22"/>
        <v>941</v>
      </c>
      <c r="I1427" s="10">
        <v>11</v>
      </c>
    </row>
    <row r="1428" spans="1:9" ht="15.75" thickBot="1" x14ac:dyDescent="0.3">
      <c r="A1428" s="1">
        <v>43466</v>
      </c>
      <c r="B1428" s="8" t="s">
        <v>6</v>
      </c>
      <c r="C1428" t="s">
        <v>7</v>
      </c>
      <c r="D1428" t="s">
        <v>368</v>
      </c>
      <c r="E1428" t="s">
        <v>15</v>
      </c>
      <c r="F1428" s="9">
        <v>0</v>
      </c>
      <c r="G1428" s="4">
        <v>0</v>
      </c>
      <c r="H1428" s="8">
        <f t="shared" si="22"/>
        <v>0</v>
      </c>
      <c r="I1428" s="10">
        <v>1</v>
      </c>
    </row>
    <row r="1429" spans="1:9" ht="15.75" thickBot="1" x14ac:dyDescent="0.3">
      <c r="A1429" s="1">
        <v>43800</v>
      </c>
      <c r="B1429" s="8" t="s">
        <v>6</v>
      </c>
      <c r="C1429" t="s">
        <v>7</v>
      </c>
      <c r="D1429" t="s">
        <v>368</v>
      </c>
      <c r="E1429" t="s">
        <v>10</v>
      </c>
      <c r="F1429" s="9">
        <v>258511.48</v>
      </c>
      <c r="G1429" s="6">
        <v>9154652.2789999992</v>
      </c>
      <c r="H1429" s="8">
        <f t="shared" si="22"/>
        <v>9154.6522789999999</v>
      </c>
      <c r="I1429" s="10">
        <v>724</v>
      </c>
    </row>
    <row r="1430" spans="1:9" ht="15.75" thickBot="1" x14ac:dyDescent="0.3">
      <c r="A1430" s="1">
        <v>43800</v>
      </c>
      <c r="B1430" s="8" t="s">
        <v>6</v>
      </c>
      <c r="C1430" t="s">
        <v>7</v>
      </c>
      <c r="D1430" t="s">
        <v>368</v>
      </c>
      <c r="E1430" t="s">
        <v>11</v>
      </c>
      <c r="F1430" s="9">
        <v>12330.14</v>
      </c>
      <c r="G1430" s="4">
        <v>281</v>
      </c>
      <c r="H1430" s="8">
        <f t="shared" si="22"/>
        <v>281</v>
      </c>
      <c r="I1430" s="10">
        <v>10</v>
      </c>
    </row>
    <row r="1431" spans="1:9" ht="15.75" thickBot="1" x14ac:dyDescent="0.3">
      <c r="A1431" s="1">
        <v>43800</v>
      </c>
      <c r="B1431" s="8" t="s">
        <v>6</v>
      </c>
      <c r="C1431" t="s">
        <v>7</v>
      </c>
      <c r="D1431" t="s">
        <v>368</v>
      </c>
      <c r="E1431" t="s">
        <v>13</v>
      </c>
      <c r="F1431" s="9">
        <v>3148.72</v>
      </c>
      <c r="G1431" s="6">
        <v>96683</v>
      </c>
      <c r="H1431" s="8">
        <f t="shared" si="22"/>
        <v>96683</v>
      </c>
      <c r="I1431" s="10">
        <v>5</v>
      </c>
    </row>
    <row r="1432" spans="1:9" ht="15.75" thickBot="1" x14ac:dyDescent="0.3">
      <c r="A1432" s="1">
        <v>43800</v>
      </c>
      <c r="B1432" s="8" t="s">
        <v>6</v>
      </c>
      <c r="C1432" t="s">
        <v>7</v>
      </c>
      <c r="D1432" t="s">
        <v>369</v>
      </c>
      <c r="E1432" t="s">
        <v>9</v>
      </c>
      <c r="F1432" s="9">
        <v>27550.48</v>
      </c>
      <c r="G1432" s="7">
        <v>5904.098</v>
      </c>
      <c r="H1432" s="8">
        <f t="shared" si="22"/>
        <v>5904.098</v>
      </c>
      <c r="I1432" s="10">
        <v>26</v>
      </c>
    </row>
    <row r="1433" spans="1:9" ht="15.75" thickBot="1" x14ac:dyDescent="0.3">
      <c r="A1433" s="1">
        <v>43466</v>
      </c>
      <c r="B1433" s="8" t="s">
        <v>6</v>
      </c>
      <c r="C1433" t="s">
        <v>7</v>
      </c>
      <c r="D1433" t="s">
        <v>369</v>
      </c>
      <c r="E1433" t="s">
        <v>15</v>
      </c>
      <c r="F1433" s="9">
        <v>8686.34</v>
      </c>
      <c r="G1433" s="7">
        <v>15385</v>
      </c>
      <c r="H1433" s="8">
        <f t="shared" si="22"/>
        <v>15385</v>
      </c>
      <c r="I1433" s="10">
        <v>10</v>
      </c>
    </row>
    <row r="1434" spans="1:9" ht="15.75" thickBot="1" x14ac:dyDescent="0.3">
      <c r="A1434" s="1">
        <v>43466</v>
      </c>
      <c r="B1434" s="8" t="s">
        <v>6</v>
      </c>
      <c r="C1434" t="s">
        <v>7</v>
      </c>
      <c r="D1434" t="s">
        <v>369</v>
      </c>
      <c r="E1434" t="s">
        <v>10</v>
      </c>
      <c r="F1434" s="9">
        <v>850567.39</v>
      </c>
      <c r="G1434" s="6">
        <v>30374084.425999999</v>
      </c>
      <c r="H1434" s="8">
        <f t="shared" si="22"/>
        <v>30374.084425999998</v>
      </c>
      <c r="I1434" s="10">
        <v>2242</v>
      </c>
    </row>
    <row r="1435" spans="1:9" ht="15.75" thickBot="1" x14ac:dyDescent="0.3">
      <c r="A1435" s="1">
        <v>43466</v>
      </c>
      <c r="B1435" s="8" t="s">
        <v>6</v>
      </c>
      <c r="C1435" t="s">
        <v>7</v>
      </c>
      <c r="D1435" t="s">
        <v>369</v>
      </c>
      <c r="E1435" t="s">
        <v>17</v>
      </c>
      <c r="F1435" s="9">
        <v>20644.849999999999</v>
      </c>
      <c r="G1435" s="4">
        <v>741</v>
      </c>
      <c r="H1435" s="8">
        <f t="shared" si="22"/>
        <v>741</v>
      </c>
      <c r="I1435" s="10">
        <v>3</v>
      </c>
    </row>
    <row r="1436" spans="1:9" ht="15.75" thickBot="1" x14ac:dyDescent="0.3">
      <c r="A1436" s="1">
        <v>43800</v>
      </c>
      <c r="B1436" s="8" t="s">
        <v>6</v>
      </c>
      <c r="C1436" t="s">
        <v>7</v>
      </c>
      <c r="D1436" t="s">
        <v>369</v>
      </c>
      <c r="E1436" t="s">
        <v>11</v>
      </c>
      <c r="F1436" s="9">
        <v>115577.43</v>
      </c>
      <c r="G1436" s="7">
        <v>462643.02299999999</v>
      </c>
      <c r="H1436" s="8">
        <f t="shared" si="22"/>
        <v>462643.02299999999</v>
      </c>
      <c r="I1436" s="10">
        <v>111</v>
      </c>
    </row>
    <row r="1437" spans="1:9" ht="15.75" thickBot="1" x14ac:dyDescent="0.3">
      <c r="A1437" s="1">
        <v>43800</v>
      </c>
      <c r="B1437" s="8" t="s">
        <v>6</v>
      </c>
      <c r="C1437" t="s">
        <v>7</v>
      </c>
      <c r="D1437" t="s">
        <v>369</v>
      </c>
      <c r="E1437" t="s">
        <v>13</v>
      </c>
      <c r="F1437" s="9">
        <v>8988.2000000000007</v>
      </c>
      <c r="G1437" s="6">
        <v>368577.69099999999</v>
      </c>
      <c r="H1437" s="8">
        <f t="shared" si="22"/>
        <v>368577.69099999999</v>
      </c>
      <c r="I1437" s="10">
        <v>16</v>
      </c>
    </row>
    <row r="1438" spans="1:9" ht="15.75" thickBot="1" x14ac:dyDescent="0.3">
      <c r="A1438" s="1">
        <v>43800</v>
      </c>
      <c r="B1438" s="8" t="s">
        <v>6</v>
      </c>
      <c r="C1438" t="s">
        <v>7</v>
      </c>
      <c r="D1438" t="s">
        <v>370</v>
      </c>
      <c r="E1438" t="s">
        <v>9</v>
      </c>
      <c r="F1438" s="9">
        <v>4227.5200000000004</v>
      </c>
      <c r="G1438" s="4">
        <v>136</v>
      </c>
      <c r="H1438" s="8">
        <f t="shared" si="22"/>
        <v>136</v>
      </c>
      <c r="I1438" s="10">
        <v>4</v>
      </c>
    </row>
    <row r="1439" spans="1:9" ht="15.75" thickBot="1" x14ac:dyDescent="0.3">
      <c r="A1439" s="1">
        <v>43800</v>
      </c>
      <c r="B1439" s="8" t="s">
        <v>6</v>
      </c>
      <c r="C1439" t="s">
        <v>7</v>
      </c>
      <c r="D1439" t="s">
        <v>370</v>
      </c>
      <c r="E1439" t="s">
        <v>15</v>
      </c>
      <c r="F1439" s="9">
        <v>37804.1</v>
      </c>
      <c r="G1439" s="4">
        <v>967</v>
      </c>
      <c r="H1439" s="8">
        <f t="shared" si="22"/>
        <v>967</v>
      </c>
      <c r="I1439" s="10">
        <v>18</v>
      </c>
    </row>
    <row r="1440" spans="1:9" ht="15.75" thickBot="1" x14ac:dyDescent="0.3">
      <c r="A1440" s="1">
        <v>43466</v>
      </c>
      <c r="B1440" s="8" t="s">
        <v>6</v>
      </c>
      <c r="C1440" t="s">
        <v>7</v>
      </c>
      <c r="D1440" t="s">
        <v>370</v>
      </c>
      <c r="E1440" t="s">
        <v>10</v>
      </c>
      <c r="F1440" s="9">
        <v>178598.86</v>
      </c>
      <c r="G1440" s="6">
        <v>9392131.1050000004</v>
      </c>
      <c r="H1440" s="8">
        <f t="shared" si="22"/>
        <v>9392.1311050000004</v>
      </c>
      <c r="I1440" s="10">
        <v>1044</v>
      </c>
    </row>
    <row r="1441" spans="1:9" ht="15.75" thickBot="1" x14ac:dyDescent="0.3">
      <c r="A1441" s="1">
        <v>43466</v>
      </c>
      <c r="B1441" s="8" t="s">
        <v>6</v>
      </c>
      <c r="C1441" t="s">
        <v>7</v>
      </c>
      <c r="D1441" t="s">
        <v>370</v>
      </c>
      <c r="E1441" t="s">
        <v>11</v>
      </c>
      <c r="F1441" s="9">
        <v>13483.32</v>
      </c>
      <c r="G1441" s="4">
        <v>413</v>
      </c>
      <c r="H1441" s="8">
        <f t="shared" si="22"/>
        <v>413</v>
      </c>
      <c r="I1441" s="10">
        <v>10</v>
      </c>
    </row>
    <row r="1442" spans="1:9" ht="15.75" thickBot="1" x14ac:dyDescent="0.3">
      <c r="A1442" s="1">
        <v>43466</v>
      </c>
      <c r="B1442" s="8" t="s">
        <v>6</v>
      </c>
      <c r="C1442" t="s">
        <v>7</v>
      </c>
      <c r="D1442" t="s">
        <v>370</v>
      </c>
      <c r="E1442" t="s">
        <v>13</v>
      </c>
      <c r="F1442" s="9">
        <v>-5408.71</v>
      </c>
      <c r="G1442" s="6">
        <v>-80955.676999999996</v>
      </c>
      <c r="H1442" s="8">
        <f t="shared" si="22"/>
        <v>-80955.676999999996</v>
      </c>
      <c r="I1442" s="10">
        <v>10</v>
      </c>
    </row>
    <row r="1443" spans="1:9" ht="15.75" thickBot="1" x14ac:dyDescent="0.3">
      <c r="A1443" s="1">
        <v>43800</v>
      </c>
      <c r="B1443" s="8" t="s">
        <v>6</v>
      </c>
      <c r="C1443" t="s">
        <v>7</v>
      </c>
      <c r="D1443" t="s">
        <v>371</v>
      </c>
      <c r="E1443" t="s">
        <v>9</v>
      </c>
      <c r="F1443" s="9">
        <v>10752.31</v>
      </c>
      <c r="G1443" s="4">
        <v>353</v>
      </c>
      <c r="H1443" s="8">
        <f t="shared" si="22"/>
        <v>353</v>
      </c>
      <c r="I1443" s="10">
        <v>13</v>
      </c>
    </row>
    <row r="1444" spans="1:9" ht="15.75" thickBot="1" x14ac:dyDescent="0.3">
      <c r="A1444" s="1">
        <v>43800</v>
      </c>
      <c r="B1444" s="8" t="s">
        <v>6</v>
      </c>
      <c r="C1444" t="s">
        <v>7</v>
      </c>
      <c r="D1444" t="s">
        <v>371</v>
      </c>
      <c r="E1444" t="s">
        <v>15</v>
      </c>
      <c r="F1444" s="9">
        <v>14939.83</v>
      </c>
      <c r="G1444" s="4">
        <v>582</v>
      </c>
      <c r="H1444" s="8">
        <f t="shared" si="22"/>
        <v>582</v>
      </c>
      <c r="I1444" s="10">
        <v>23</v>
      </c>
    </row>
    <row r="1445" spans="1:9" ht="15.75" thickBot="1" x14ac:dyDescent="0.3">
      <c r="A1445" s="1">
        <v>43800</v>
      </c>
      <c r="B1445" s="8" t="s">
        <v>6</v>
      </c>
      <c r="C1445" t="s">
        <v>7</v>
      </c>
      <c r="D1445" t="s">
        <v>371</v>
      </c>
      <c r="E1445" t="s">
        <v>10</v>
      </c>
      <c r="F1445" s="9">
        <v>323523.76</v>
      </c>
      <c r="G1445" s="6">
        <v>28867258.938000001</v>
      </c>
      <c r="H1445" s="8">
        <f t="shared" si="22"/>
        <v>28867.258938000003</v>
      </c>
      <c r="I1445" s="10">
        <v>2807</v>
      </c>
    </row>
    <row r="1446" spans="1:9" ht="15.75" thickBot="1" x14ac:dyDescent="0.3">
      <c r="A1446" s="1">
        <v>43800</v>
      </c>
      <c r="B1446" s="8" t="s">
        <v>6</v>
      </c>
      <c r="C1446" t="s">
        <v>7</v>
      </c>
      <c r="D1446" t="s">
        <v>371</v>
      </c>
      <c r="E1446" t="s">
        <v>17</v>
      </c>
      <c r="F1446" s="9">
        <v>576.78</v>
      </c>
      <c r="G1446" s="4">
        <v>21</v>
      </c>
      <c r="H1446" s="8">
        <f t="shared" si="22"/>
        <v>21</v>
      </c>
      <c r="I1446" s="10">
        <v>1</v>
      </c>
    </row>
    <row r="1447" spans="1:9" ht="15.75" thickBot="1" x14ac:dyDescent="0.3">
      <c r="A1447" s="1">
        <v>43466</v>
      </c>
      <c r="B1447" s="8" t="s">
        <v>6</v>
      </c>
      <c r="C1447" t="s">
        <v>7</v>
      </c>
      <c r="D1447" t="s">
        <v>371</v>
      </c>
      <c r="E1447" t="s">
        <v>11</v>
      </c>
      <c r="F1447" s="9">
        <v>52251.31</v>
      </c>
      <c r="G1447" s="4">
        <v>1690</v>
      </c>
      <c r="H1447" s="8">
        <f t="shared" si="22"/>
        <v>1690</v>
      </c>
      <c r="I1447" s="10">
        <v>19</v>
      </c>
    </row>
    <row r="1448" spans="1:9" ht="15.75" thickBot="1" x14ac:dyDescent="0.3">
      <c r="A1448" s="1">
        <v>43466</v>
      </c>
      <c r="B1448" s="8" t="s">
        <v>6</v>
      </c>
      <c r="C1448" t="s">
        <v>7</v>
      </c>
      <c r="D1448" t="s">
        <v>371</v>
      </c>
      <c r="E1448" t="s">
        <v>13</v>
      </c>
      <c r="F1448" s="9">
        <v>418.14</v>
      </c>
      <c r="G1448" s="6">
        <v>45000</v>
      </c>
      <c r="H1448" s="8">
        <f t="shared" si="22"/>
        <v>45000</v>
      </c>
      <c r="I1448" s="10">
        <v>6</v>
      </c>
    </row>
    <row r="1449" spans="1:9" ht="15.75" thickBot="1" x14ac:dyDescent="0.3">
      <c r="A1449" s="1">
        <v>43466</v>
      </c>
      <c r="B1449" s="8" t="s">
        <v>6</v>
      </c>
      <c r="C1449" t="s">
        <v>7</v>
      </c>
      <c r="D1449" t="s">
        <v>372</v>
      </c>
      <c r="E1449" t="s">
        <v>9</v>
      </c>
      <c r="F1449" s="9">
        <v>46368.36</v>
      </c>
      <c r="G1449" s="4">
        <v>1308</v>
      </c>
      <c r="H1449" s="8">
        <f t="shared" si="22"/>
        <v>1308</v>
      </c>
      <c r="I1449" s="10">
        <v>18</v>
      </c>
    </row>
    <row r="1450" spans="1:9" ht="15.75" thickBot="1" x14ac:dyDescent="0.3">
      <c r="A1450" s="1">
        <v>43800</v>
      </c>
      <c r="B1450" s="8" t="s">
        <v>6</v>
      </c>
      <c r="C1450" t="s">
        <v>7</v>
      </c>
      <c r="D1450" t="s">
        <v>372</v>
      </c>
      <c r="E1450" t="s">
        <v>10</v>
      </c>
      <c r="F1450" s="9">
        <v>18802.759999999998</v>
      </c>
      <c r="G1450" s="7">
        <v>246928.05</v>
      </c>
      <c r="H1450" s="8">
        <f t="shared" si="22"/>
        <v>246.92804999999998</v>
      </c>
      <c r="I1450" s="10">
        <v>50</v>
      </c>
    </row>
    <row r="1451" spans="1:9" ht="15.75" thickBot="1" x14ac:dyDescent="0.3">
      <c r="A1451" s="1">
        <v>43800</v>
      </c>
      <c r="B1451" s="8" t="s">
        <v>6</v>
      </c>
      <c r="C1451" t="s">
        <v>7</v>
      </c>
      <c r="D1451" t="s">
        <v>372</v>
      </c>
      <c r="E1451" t="s">
        <v>17</v>
      </c>
      <c r="F1451" s="9">
        <v>597595.94999999995</v>
      </c>
      <c r="G1451" s="4">
        <v>16548</v>
      </c>
      <c r="H1451" s="8">
        <f t="shared" si="22"/>
        <v>16548</v>
      </c>
      <c r="I1451" s="10">
        <v>228</v>
      </c>
    </row>
    <row r="1452" spans="1:9" ht="15.75" thickBot="1" x14ac:dyDescent="0.3">
      <c r="A1452" s="1">
        <v>43800</v>
      </c>
      <c r="B1452" s="8" t="s">
        <v>6</v>
      </c>
      <c r="C1452" t="s">
        <v>7</v>
      </c>
      <c r="D1452" t="s">
        <v>372</v>
      </c>
      <c r="E1452" t="s">
        <v>11</v>
      </c>
      <c r="F1452" s="9">
        <v>20942.07</v>
      </c>
      <c r="G1452" s="7">
        <v>36480.245999999999</v>
      </c>
      <c r="H1452" s="8">
        <f t="shared" si="22"/>
        <v>36480.245999999999</v>
      </c>
      <c r="I1452" s="10">
        <v>20</v>
      </c>
    </row>
    <row r="1453" spans="1:9" ht="15.75" thickBot="1" x14ac:dyDescent="0.3">
      <c r="A1453" s="1">
        <v>43800</v>
      </c>
      <c r="B1453" s="8" t="s">
        <v>6</v>
      </c>
      <c r="C1453" t="s">
        <v>7</v>
      </c>
      <c r="D1453" t="s">
        <v>372</v>
      </c>
      <c r="E1453" t="s">
        <v>13</v>
      </c>
      <c r="F1453" s="9">
        <v>10494.64</v>
      </c>
      <c r="G1453" s="4">
        <v>327</v>
      </c>
      <c r="H1453" s="8">
        <f t="shared" si="22"/>
        <v>327</v>
      </c>
      <c r="I1453" s="10">
        <v>4</v>
      </c>
    </row>
    <row r="1454" spans="1:9" ht="15.75" thickBot="1" x14ac:dyDescent="0.3">
      <c r="A1454" s="1">
        <v>43466</v>
      </c>
      <c r="B1454" s="8" t="s">
        <v>6</v>
      </c>
      <c r="C1454" t="s">
        <v>7</v>
      </c>
      <c r="D1454" t="s">
        <v>373</v>
      </c>
      <c r="E1454" t="s">
        <v>9</v>
      </c>
      <c r="F1454" s="9">
        <v>8698.9500000000007</v>
      </c>
      <c r="G1454" s="4">
        <v>227</v>
      </c>
      <c r="H1454" s="8">
        <f t="shared" si="22"/>
        <v>227</v>
      </c>
      <c r="I1454" s="10">
        <v>1</v>
      </c>
    </row>
    <row r="1455" spans="1:9" ht="15.75" thickBot="1" x14ac:dyDescent="0.3">
      <c r="A1455" s="1">
        <v>43466</v>
      </c>
      <c r="B1455" s="8" t="s">
        <v>6</v>
      </c>
      <c r="C1455" t="s">
        <v>7</v>
      </c>
      <c r="D1455" t="s">
        <v>373</v>
      </c>
      <c r="E1455" t="s">
        <v>11</v>
      </c>
      <c r="F1455" s="9">
        <v>163.13999999999999</v>
      </c>
      <c r="G1455" s="5">
        <v>0</v>
      </c>
      <c r="H1455" s="8">
        <f t="shared" si="22"/>
        <v>0</v>
      </c>
      <c r="I1455" s="10">
        <v>2</v>
      </c>
    </row>
    <row r="1456" spans="1:9" ht="15.75" thickBot="1" x14ac:dyDescent="0.3">
      <c r="A1456" s="1">
        <v>43466</v>
      </c>
      <c r="B1456" s="8" t="s">
        <v>6</v>
      </c>
      <c r="C1456" t="s">
        <v>7</v>
      </c>
      <c r="D1456" t="s">
        <v>374</v>
      </c>
      <c r="E1456" t="s">
        <v>9</v>
      </c>
      <c r="F1456" s="9">
        <v>3352.69</v>
      </c>
      <c r="G1456" s="4">
        <v>96</v>
      </c>
      <c r="H1456" s="8">
        <f t="shared" si="22"/>
        <v>96</v>
      </c>
      <c r="I1456" s="10">
        <v>7</v>
      </c>
    </row>
    <row r="1457" spans="1:9" ht="15.75" thickBot="1" x14ac:dyDescent="0.3">
      <c r="A1457" s="1">
        <v>43800</v>
      </c>
      <c r="B1457" s="8" t="s">
        <v>6</v>
      </c>
      <c r="C1457" t="s">
        <v>7</v>
      </c>
      <c r="D1457" t="s">
        <v>374</v>
      </c>
      <c r="E1457" t="s">
        <v>15</v>
      </c>
      <c r="F1457" s="9">
        <v>1899.54</v>
      </c>
      <c r="G1457" s="4">
        <v>7</v>
      </c>
      <c r="H1457" s="8">
        <f t="shared" si="22"/>
        <v>7</v>
      </c>
      <c r="I1457" s="10">
        <v>6</v>
      </c>
    </row>
    <row r="1458" spans="1:9" ht="15.75" thickBot="1" x14ac:dyDescent="0.3">
      <c r="A1458" s="1">
        <v>43800</v>
      </c>
      <c r="B1458" s="8" t="s">
        <v>6</v>
      </c>
      <c r="C1458" t="s">
        <v>7</v>
      </c>
      <c r="D1458" t="s">
        <v>374</v>
      </c>
      <c r="E1458" t="s">
        <v>10</v>
      </c>
      <c r="F1458" s="9">
        <v>51751.839999999997</v>
      </c>
      <c r="G1458" s="6">
        <v>1742911.977</v>
      </c>
      <c r="H1458" s="8">
        <f t="shared" si="22"/>
        <v>1742.911977</v>
      </c>
      <c r="I1458" s="10">
        <v>143</v>
      </c>
    </row>
    <row r="1459" spans="1:9" ht="15.75" thickBot="1" x14ac:dyDescent="0.3">
      <c r="A1459" s="1">
        <v>43800</v>
      </c>
      <c r="B1459" s="8" t="s">
        <v>6</v>
      </c>
      <c r="C1459" t="s">
        <v>7</v>
      </c>
      <c r="D1459" t="s">
        <v>374</v>
      </c>
      <c r="E1459" t="s">
        <v>11</v>
      </c>
      <c r="F1459" s="9">
        <v>1807.71</v>
      </c>
      <c r="G1459" s="7">
        <v>27031.758999999998</v>
      </c>
      <c r="H1459" s="8">
        <f t="shared" si="22"/>
        <v>27031.758999999998</v>
      </c>
      <c r="I1459" s="10">
        <v>2</v>
      </c>
    </row>
    <row r="1460" spans="1:9" ht="15.75" thickBot="1" x14ac:dyDescent="0.3">
      <c r="A1460" s="1">
        <v>43800</v>
      </c>
      <c r="B1460" s="8" t="s">
        <v>6</v>
      </c>
      <c r="C1460" t="s">
        <v>7</v>
      </c>
      <c r="D1460" t="s">
        <v>374</v>
      </c>
      <c r="E1460" t="s">
        <v>13</v>
      </c>
      <c r="F1460" s="9">
        <v>468.38</v>
      </c>
      <c r="G1460" s="6">
        <v>18000</v>
      </c>
      <c r="H1460" s="8">
        <f t="shared" si="22"/>
        <v>18000</v>
      </c>
      <c r="I1460" s="10">
        <v>2</v>
      </c>
    </row>
    <row r="1461" spans="1:9" ht="15.75" thickBot="1" x14ac:dyDescent="0.3">
      <c r="A1461" s="1">
        <v>43466</v>
      </c>
      <c r="B1461" s="8" t="s">
        <v>6</v>
      </c>
      <c r="C1461" t="s">
        <v>7</v>
      </c>
      <c r="D1461" t="s">
        <v>375</v>
      </c>
      <c r="E1461" t="s">
        <v>9</v>
      </c>
      <c r="F1461" s="9">
        <v>11544.63</v>
      </c>
      <c r="G1461" s="4">
        <v>211</v>
      </c>
      <c r="H1461" s="8">
        <f t="shared" si="22"/>
        <v>211</v>
      </c>
      <c r="I1461" s="10">
        <v>9</v>
      </c>
    </row>
    <row r="1462" spans="1:9" ht="15.75" thickBot="1" x14ac:dyDescent="0.3">
      <c r="A1462" s="1">
        <v>43466</v>
      </c>
      <c r="B1462" s="8" t="s">
        <v>6</v>
      </c>
      <c r="C1462" t="s">
        <v>7</v>
      </c>
      <c r="D1462" t="s">
        <v>375</v>
      </c>
      <c r="E1462" t="s">
        <v>15</v>
      </c>
      <c r="F1462" s="9">
        <v>1892.69</v>
      </c>
      <c r="G1462" s="4">
        <v>10</v>
      </c>
      <c r="H1462" s="8">
        <f t="shared" si="22"/>
        <v>10</v>
      </c>
      <c r="I1462" s="10">
        <v>8</v>
      </c>
    </row>
    <row r="1463" spans="1:9" ht="15.75" thickBot="1" x14ac:dyDescent="0.3">
      <c r="A1463" s="1">
        <v>43466</v>
      </c>
      <c r="B1463" s="8" t="s">
        <v>6</v>
      </c>
      <c r="C1463" t="s">
        <v>7</v>
      </c>
      <c r="D1463" t="s">
        <v>375</v>
      </c>
      <c r="E1463" t="s">
        <v>10</v>
      </c>
      <c r="F1463" s="9">
        <v>324521.17</v>
      </c>
      <c r="G1463" s="7">
        <v>12516283.768999999</v>
      </c>
      <c r="H1463" s="8">
        <f t="shared" si="22"/>
        <v>12516.283769</v>
      </c>
      <c r="I1463" s="10">
        <v>1237</v>
      </c>
    </row>
    <row r="1464" spans="1:9" ht="15.75" thickBot="1" x14ac:dyDescent="0.3">
      <c r="A1464" s="1">
        <v>43800</v>
      </c>
      <c r="B1464" s="8" t="s">
        <v>6</v>
      </c>
      <c r="C1464" t="s">
        <v>7</v>
      </c>
      <c r="D1464" t="s">
        <v>375</v>
      </c>
      <c r="E1464" t="s">
        <v>17</v>
      </c>
      <c r="F1464" s="9">
        <v>1949.84</v>
      </c>
      <c r="G1464" s="4">
        <v>62</v>
      </c>
      <c r="H1464" s="8">
        <f t="shared" si="22"/>
        <v>62</v>
      </c>
      <c r="I1464" s="10">
        <v>2</v>
      </c>
    </row>
    <row r="1465" spans="1:9" ht="15.75" thickBot="1" x14ac:dyDescent="0.3">
      <c r="A1465" s="1">
        <v>43800</v>
      </c>
      <c r="B1465" s="8" t="s">
        <v>6</v>
      </c>
      <c r="C1465" t="s">
        <v>7</v>
      </c>
      <c r="D1465" t="s">
        <v>375</v>
      </c>
      <c r="E1465" t="s">
        <v>11</v>
      </c>
      <c r="F1465" s="9">
        <v>13098.55</v>
      </c>
      <c r="G1465" s="7">
        <v>25357.625</v>
      </c>
      <c r="H1465" s="8">
        <f t="shared" si="22"/>
        <v>25357.625</v>
      </c>
      <c r="I1465" s="10">
        <v>8</v>
      </c>
    </row>
    <row r="1466" spans="1:9" ht="15.75" thickBot="1" x14ac:dyDescent="0.3">
      <c r="A1466" s="1">
        <v>43800</v>
      </c>
      <c r="B1466" s="8" t="s">
        <v>6</v>
      </c>
      <c r="C1466" t="s">
        <v>7</v>
      </c>
      <c r="D1466" t="s">
        <v>375</v>
      </c>
      <c r="E1466" t="s">
        <v>13</v>
      </c>
      <c r="F1466" s="9">
        <v>3561.03</v>
      </c>
      <c r="G1466" s="6">
        <v>87000</v>
      </c>
      <c r="H1466" s="8">
        <f t="shared" si="22"/>
        <v>87000</v>
      </c>
      <c r="I1466" s="10">
        <v>8</v>
      </c>
    </row>
    <row r="1467" spans="1:9" ht="15.75" thickBot="1" x14ac:dyDescent="0.3">
      <c r="A1467" s="1">
        <v>43800</v>
      </c>
      <c r="B1467" s="8" t="s">
        <v>6</v>
      </c>
      <c r="C1467" t="s">
        <v>7</v>
      </c>
      <c r="D1467" t="s">
        <v>376</v>
      </c>
      <c r="E1467" t="s">
        <v>10</v>
      </c>
      <c r="F1467" s="9">
        <v>32927.410000000003</v>
      </c>
      <c r="G1467" s="6">
        <v>1182000</v>
      </c>
      <c r="H1467" s="8">
        <f t="shared" si="22"/>
        <v>1182</v>
      </c>
      <c r="I1467" s="10">
        <v>9</v>
      </c>
    </row>
    <row r="1468" spans="1:9" ht="15.75" thickBot="1" x14ac:dyDescent="0.3">
      <c r="A1468" s="1">
        <v>43466</v>
      </c>
      <c r="B1468" s="8" t="s">
        <v>6</v>
      </c>
      <c r="C1468" t="s">
        <v>7</v>
      </c>
      <c r="D1468" t="s">
        <v>376</v>
      </c>
      <c r="E1468" t="s">
        <v>11</v>
      </c>
      <c r="F1468" s="9">
        <v>81.569999999999993</v>
      </c>
      <c r="G1468" s="5">
        <v>0</v>
      </c>
      <c r="H1468" s="8">
        <f t="shared" si="22"/>
        <v>0</v>
      </c>
      <c r="I1468" s="10">
        <v>1</v>
      </c>
    </row>
    <row r="1469" spans="1:9" ht="15.75" thickBot="1" x14ac:dyDescent="0.3">
      <c r="A1469" s="1">
        <v>43466</v>
      </c>
      <c r="B1469" s="8" t="s">
        <v>6</v>
      </c>
      <c r="C1469" t="s">
        <v>7</v>
      </c>
      <c r="D1469" t="s">
        <v>377</v>
      </c>
      <c r="E1469" t="s">
        <v>15</v>
      </c>
      <c r="F1469" s="9">
        <v>212</v>
      </c>
      <c r="G1469" s="4">
        <v>0</v>
      </c>
      <c r="H1469" s="8">
        <f t="shared" si="22"/>
        <v>0</v>
      </c>
      <c r="I1469" s="10">
        <v>2</v>
      </c>
    </row>
    <row r="1470" spans="1:9" ht="15.75" thickBot="1" x14ac:dyDescent="0.3">
      <c r="A1470" s="1">
        <v>43466</v>
      </c>
      <c r="B1470" s="8" t="s">
        <v>6</v>
      </c>
      <c r="C1470" t="s">
        <v>7</v>
      </c>
      <c r="D1470" t="s">
        <v>377</v>
      </c>
      <c r="E1470" t="s">
        <v>10</v>
      </c>
      <c r="F1470" s="9">
        <v>37241.25</v>
      </c>
      <c r="G1470" s="6">
        <v>1286291.7509999999</v>
      </c>
      <c r="H1470" s="8">
        <f t="shared" si="22"/>
        <v>1286.291751</v>
      </c>
      <c r="I1470" s="10">
        <v>110</v>
      </c>
    </row>
    <row r="1471" spans="1:9" ht="15.75" thickBot="1" x14ac:dyDescent="0.3">
      <c r="A1471" s="1">
        <v>43800</v>
      </c>
      <c r="B1471" s="8" t="s">
        <v>6</v>
      </c>
      <c r="C1471" t="s">
        <v>7</v>
      </c>
      <c r="D1471" t="s">
        <v>378</v>
      </c>
      <c r="E1471" t="s">
        <v>9</v>
      </c>
      <c r="F1471" s="9">
        <v>2500.8000000000002</v>
      </c>
      <c r="G1471" s="4">
        <v>65</v>
      </c>
      <c r="H1471" s="8">
        <f t="shared" si="22"/>
        <v>65</v>
      </c>
      <c r="I1471" s="10">
        <v>2</v>
      </c>
    </row>
    <row r="1472" spans="1:9" ht="15.75" thickBot="1" x14ac:dyDescent="0.3">
      <c r="A1472" s="1">
        <v>43800</v>
      </c>
      <c r="B1472" s="8" t="s">
        <v>6</v>
      </c>
      <c r="C1472" t="s">
        <v>7</v>
      </c>
      <c r="D1472" t="s">
        <v>378</v>
      </c>
      <c r="E1472" t="s">
        <v>15</v>
      </c>
      <c r="F1472" s="9">
        <v>625</v>
      </c>
      <c r="G1472" s="4">
        <v>0</v>
      </c>
      <c r="H1472" s="8">
        <f t="shared" si="22"/>
        <v>0</v>
      </c>
      <c r="I1472" s="10">
        <v>1</v>
      </c>
    </row>
    <row r="1473" spans="1:9" ht="15.75" thickBot="1" x14ac:dyDescent="0.3">
      <c r="A1473" s="1">
        <v>43800</v>
      </c>
      <c r="B1473" s="8" t="s">
        <v>6</v>
      </c>
      <c r="C1473" t="s">
        <v>7</v>
      </c>
      <c r="D1473" t="s">
        <v>378</v>
      </c>
      <c r="E1473" t="s">
        <v>10</v>
      </c>
      <c r="F1473" s="9">
        <v>76094.929999999993</v>
      </c>
      <c r="G1473" s="6">
        <v>2547467.7089999998</v>
      </c>
      <c r="H1473" s="8">
        <f t="shared" si="22"/>
        <v>2547.467709</v>
      </c>
      <c r="I1473" s="10">
        <v>249</v>
      </c>
    </row>
    <row r="1474" spans="1:9" ht="15.75" thickBot="1" x14ac:dyDescent="0.3">
      <c r="A1474" s="1">
        <v>43800</v>
      </c>
      <c r="B1474" s="8" t="s">
        <v>6</v>
      </c>
      <c r="C1474" t="s">
        <v>7</v>
      </c>
      <c r="D1474" t="s">
        <v>378</v>
      </c>
      <c r="E1474" t="s">
        <v>13</v>
      </c>
      <c r="F1474" s="9">
        <v>144.72999999999999</v>
      </c>
      <c r="G1474" s="6">
        <v>3000</v>
      </c>
      <c r="H1474" s="8">
        <f t="shared" ref="H1474:H1537" si="23">IF(ISNUMBER(SEARCH("Domestic customer", E1474)),G1474/1000,G1474)</f>
        <v>3000</v>
      </c>
      <c r="I1474" s="10">
        <v>1</v>
      </c>
    </row>
    <row r="1475" spans="1:9" ht="15.75" thickBot="1" x14ac:dyDescent="0.3">
      <c r="A1475" s="1">
        <v>43466</v>
      </c>
      <c r="B1475" s="8" t="s">
        <v>6</v>
      </c>
      <c r="C1475" t="s">
        <v>7</v>
      </c>
      <c r="D1475" t="s">
        <v>379</v>
      </c>
      <c r="E1475" t="s">
        <v>10</v>
      </c>
      <c r="F1475" s="9">
        <v>257884.35</v>
      </c>
      <c r="G1475" s="6">
        <v>9272991.7310000006</v>
      </c>
      <c r="H1475" s="8">
        <f t="shared" si="23"/>
        <v>9272.9917310000001</v>
      </c>
      <c r="I1475" s="10">
        <v>737</v>
      </c>
    </row>
    <row r="1476" spans="1:9" ht="15.75" thickBot="1" x14ac:dyDescent="0.3">
      <c r="A1476" s="1">
        <v>43466</v>
      </c>
      <c r="B1476" s="8" t="s">
        <v>6</v>
      </c>
      <c r="C1476" t="s">
        <v>7</v>
      </c>
      <c r="D1476" t="s">
        <v>379</v>
      </c>
      <c r="E1476" t="s">
        <v>11</v>
      </c>
      <c r="F1476" s="9">
        <v>1237</v>
      </c>
      <c r="G1476" s="7">
        <v>26006</v>
      </c>
      <c r="H1476" s="8">
        <f t="shared" si="23"/>
        <v>26006</v>
      </c>
      <c r="I1476" s="10">
        <v>6</v>
      </c>
    </row>
    <row r="1477" spans="1:9" ht="15.75" thickBot="1" x14ac:dyDescent="0.3">
      <c r="A1477" s="1">
        <v>43466</v>
      </c>
      <c r="B1477" s="8" t="s">
        <v>6</v>
      </c>
      <c r="C1477" t="s">
        <v>7</v>
      </c>
      <c r="D1477" t="s">
        <v>379</v>
      </c>
      <c r="E1477" t="s">
        <v>13</v>
      </c>
      <c r="F1477" s="9">
        <v>640.98</v>
      </c>
      <c r="G1477" s="6">
        <v>17000</v>
      </c>
      <c r="H1477" s="8">
        <f t="shared" si="23"/>
        <v>17000</v>
      </c>
      <c r="I1477" s="10">
        <v>4</v>
      </c>
    </row>
    <row r="1478" spans="1:9" ht="15.75" thickBot="1" x14ac:dyDescent="0.3">
      <c r="A1478" s="1">
        <v>43800</v>
      </c>
      <c r="B1478" s="8" t="s">
        <v>6</v>
      </c>
      <c r="C1478" t="s">
        <v>7</v>
      </c>
      <c r="D1478" t="s">
        <v>380</v>
      </c>
      <c r="E1478" t="s">
        <v>9</v>
      </c>
      <c r="F1478" s="9">
        <v>9483.35</v>
      </c>
      <c r="G1478" s="4">
        <v>326</v>
      </c>
      <c r="H1478" s="8">
        <f t="shared" si="23"/>
        <v>326</v>
      </c>
      <c r="I1478" s="10">
        <v>8</v>
      </c>
    </row>
    <row r="1479" spans="1:9" ht="15.75" thickBot="1" x14ac:dyDescent="0.3">
      <c r="A1479" s="1">
        <v>43800</v>
      </c>
      <c r="B1479" s="8" t="s">
        <v>6</v>
      </c>
      <c r="C1479" t="s">
        <v>7</v>
      </c>
      <c r="D1479" t="s">
        <v>380</v>
      </c>
      <c r="E1479" t="s">
        <v>15</v>
      </c>
      <c r="F1479" s="9">
        <v>21305.37</v>
      </c>
      <c r="G1479" s="4">
        <v>567</v>
      </c>
      <c r="H1479" s="8">
        <f t="shared" si="23"/>
        <v>567</v>
      </c>
      <c r="I1479" s="10">
        <v>15</v>
      </c>
    </row>
    <row r="1480" spans="1:9" ht="15.75" thickBot="1" x14ac:dyDescent="0.3">
      <c r="A1480" s="1">
        <v>43800</v>
      </c>
      <c r="B1480" s="8" t="s">
        <v>6</v>
      </c>
      <c r="C1480" t="s">
        <v>7</v>
      </c>
      <c r="D1480" t="s">
        <v>380</v>
      </c>
      <c r="E1480" t="s">
        <v>10</v>
      </c>
      <c r="F1480" s="9">
        <v>135942.10999999999</v>
      </c>
      <c r="G1480" s="6">
        <v>18578827.149999999</v>
      </c>
      <c r="H1480" s="8">
        <f t="shared" si="23"/>
        <v>18578.827149999997</v>
      </c>
      <c r="I1480" s="10">
        <v>2065</v>
      </c>
    </row>
    <row r="1481" spans="1:9" ht="15.75" thickBot="1" x14ac:dyDescent="0.3">
      <c r="A1481" s="1">
        <v>43800</v>
      </c>
      <c r="B1481" s="8" t="s">
        <v>6</v>
      </c>
      <c r="C1481" t="s">
        <v>7</v>
      </c>
      <c r="D1481" t="s">
        <v>380</v>
      </c>
      <c r="E1481" t="s">
        <v>11</v>
      </c>
      <c r="F1481" s="9">
        <v>27607.439999999999</v>
      </c>
      <c r="G1481" s="4">
        <v>831</v>
      </c>
      <c r="H1481" s="8">
        <f t="shared" si="23"/>
        <v>831</v>
      </c>
      <c r="I1481" s="10">
        <v>19</v>
      </c>
    </row>
    <row r="1482" spans="1:9" ht="15.75" thickBot="1" x14ac:dyDescent="0.3">
      <c r="A1482" s="1">
        <v>43466</v>
      </c>
      <c r="B1482" s="8" t="s">
        <v>6</v>
      </c>
      <c r="C1482" t="s">
        <v>7</v>
      </c>
      <c r="D1482" t="s">
        <v>380</v>
      </c>
      <c r="E1482" t="s">
        <v>13</v>
      </c>
      <c r="F1482" s="9">
        <v>0</v>
      </c>
      <c r="G1482" s="6">
        <v>32000</v>
      </c>
      <c r="H1482" s="8">
        <f t="shared" si="23"/>
        <v>32000</v>
      </c>
      <c r="I1482" s="10">
        <v>4</v>
      </c>
    </row>
    <row r="1483" spans="1:9" ht="15.75" thickBot="1" x14ac:dyDescent="0.3">
      <c r="A1483" s="1">
        <v>43466</v>
      </c>
      <c r="B1483" s="8" t="s">
        <v>6</v>
      </c>
      <c r="C1483" t="s">
        <v>7</v>
      </c>
      <c r="D1483" t="s">
        <v>381</v>
      </c>
      <c r="E1483" t="s">
        <v>15</v>
      </c>
      <c r="F1483" s="9">
        <v>178.78</v>
      </c>
      <c r="G1483" s="4">
        <v>0</v>
      </c>
      <c r="H1483" s="8">
        <f t="shared" si="23"/>
        <v>0</v>
      </c>
      <c r="I1483" s="10">
        <v>3</v>
      </c>
    </row>
    <row r="1484" spans="1:9" ht="15.75" thickBot="1" x14ac:dyDescent="0.3">
      <c r="A1484" s="1">
        <v>43466</v>
      </c>
      <c r="B1484" s="8" t="s">
        <v>6</v>
      </c>
      <c r="C1484" t="s">
        <v>7</v>
      </c>
      <c r="D1484" t="s">
        <v>381</v>
      </c>
      <c r="E1484" t="s">
        <v>10</v>
      </c>
      <c r="F1484" s="9">
        <v>61404.71</v>
      </c>
      <c r="G1484" s="6">
        <v>2525872.628</v>
      </c>
      <c r="H1484" s="8">
        <f t="shared" si="23"/>
        <v>2525.8726280000001</v>
      </c>
      <c r="I1484" s="10">
        <v>163</v>
      </c>
    </row>
    <row r="1485" spans="1:9" ht="15.75" thickBot="1" x14ac:dyDescent="0.3">
      <c r="A1485" s="1">
        <v>43800</v>
      </c>
      <c r="B1485" s="8" t="s">
        <v>6</v>
      </c>
      <c r="C1485" t="s">
        <v>7</v>
      </c>
      <c r="D1485" t="s">
        <v>381</v>
      </c>
      <c r="E1485" t="s">
        <v>17</v>
      </c>
      <c r="F1485" s="9">
        <v>2376.84</v>
      </c>
      <c r="G1485" s="4">
        <v>87</v>
      </c>
      <c r="H1485" s="8">
        <f t="shared" si="23"/>
        <v>87</v>
      </c>
      <c r="I1485" s="10">
        <v>2</v>
      </c>
    </row>
    <row r="1486" spans="1:9" ht="15.75" thickBot="1" x14ac:dyDescent="0.3">
      <c r="A1486" s="1">
        <v>43800</v>
      </c>
      <c r="B1486" s="8" t="s">
        <v>6</v>
      </c>
      <c r="C1486" t="s">
        <v>7</v>
      </c>
      <c r="D1486" t="s">
        <v>381</v>
      </c>
      <c r="E1486" t="s">
        <v>11</v>
      </c>
      <c r="F1486" s="9">
        <v>15623.2</v>
      </c>
      <c r="G1486" s="4">
        <v>560</v>
      </c>
      <c r="H1486" s="8">
        <f t="shared" si="23"/>
        <v>560</v>
      </c>
      <c r="I1486" s="10">
        <v>4</v>
      </c>
    </row>
    <row r="1487" spans="1:9" ht="15.75" thickBot="1" x14ac:dyDescent="0.3">
      <c r="A1487" s="1">
        <v>43800</v>
      </c>
      <c r="B1487" s="8" t="s">
        <v>6</v>
      </c>
      <c r="C1487" t="s">
        <v>7</v>
      </c>
      <c r="D1487" t="s">
        <v>382</v>
      </c>
      <c r="E1487" t="s">
        <v>9</v>
      </c>
      <c r="F1487" s="9">
        <v>400.52</v>
      </c>
      <c r="G1487" s="4">
        <v>11</v>
      </c>
      <c r="H1487" s="8">
        <f t="shared" si="23"/>
        <v>11</v>
      </c>
      <c r="I1487" s="10">
        <v>1</v>
      </c>
    </row>
    <row r="1488" spans="1:9" ht="15.75" thickBot="1" x14ac:dyDescent="0.3">
      <c r="A1488" s="1">
        <v>43800</v>
      </c>
      <c r="B1488" s="8" t="s">
        <v>6</v>
      </c>
      <c r="C1488" t="s">
        <v>7</v>
      </c>
      <c r="D1488" t="s">
        <v>382</v>
      </c>
      <c r="E1488" t="s">
        <v>10</v>
      </c>
      <c r="F1488" s="9">
        <v>13367.97</v>
      </c>
      <c r="G1488" s="6">
        <v>1455514.378</v>
      </c>
      <c r="H1488" s="8">
        <f t="shared" si="23"/>
        <v>1455.5143780000001</v>
      </c>
      <c r="I1488" s="10">
        <v>122</v>
      </c>
    </row>
    <row r="1489" spans="1:9" ht="15.75" thickBot="1" x14ac:dyDescent="0.3">
      <c r="A1489" s="1">
        <v>43466</v>
      </c>
      <c r="B1489" s="8" t="s">
        <v>6</v>
      </c>
      <c r="C1489" t="s">
        <v>7</v>
      </c>
      <c r="D1489" t="s">
        <v>382</v>
      </c>
      <c r="E1489" t="s">
        <v>13</v>
      </c>
      <c r="F1489" s="9">
        <v>834.7</v>
      </c>
      <c r="G1489" s="6">
        <v>58268.459000000003</v>
      </c>
      <c r="H1489" s="8">
        <f t="shared" si="23"/>
        <v>58268.459000000003</v>
      </c>
      <c r="I1489" s="10">
        <v>4</v>
      </c>
    </row>
    <row r="1490" spans="1:9" ht="15.75" thickBot="1" x14ac:dyDescent="0.3">
      <c r="A1490" s="1">
        <v>43466</v>
      </c>
      <c r="B1490" s="8" t="s">
        <v>6</v>
      </c>
      <c r="C1490" t="s">
        <v>7</v>
      </c>
      <c r="D1490" t="s">
        <v>383</v>
      </c>
      <c r="E1490" t="s">
        <v>9</v>
      </c>
      <c r="F1490" s="9">
        <v>25679.78</v>
      </c>
      <c r="G1490" s="7">
        <v>192810.109</v>
      </c>
      <c r="H1490" s="8">
        <f t="shared" si="23"/>
        <v>192810.109</v>
      </c>
      <c r="I1490" s="10">
        <v>23</v>
      </c>
    </row>
    <row r="1491" spans="1:9" ht="15.75" thickBot="1" x14ac:dyDescent="0.3">
      <c r="A1491" s="1">
        <v>43466</v>
      </c>
      <c r="B1491" s="8" t="s">
        <v>6</v>
      </c>
      <c r="C1491" t="s">
        <v>7</v>
      </c>
      <c r="D1491" t="s">
        <v>383</v>
      </c>
      <c r="E1491" t="s">
        <v>15</v>
      </c>
      <c r="F1491" s="9">
        <v>2182.5300000000002</v>
      </c>
      <c r="G1491" s="4">
        <v>17</v>
      </c>
      <c r="H1491" s="8">
        <f t="shared" si="23"/>
        <v>17</v>
      </c>
      <c r="I1491" s="10">
        <v>4</v>
      </c>
    </row>
    <row r="1492" spans="1:9" ht="15.75" thickBot="1" x14ac:dyDescent="0.3">
      <c r="A1492" s="1">
        <v>43800</v>
      </c>
      <c r="B1492" s="8" t="s">
        <v>6</v>
      </c>
      <c r="C1492" t="s">
        <v>7</v>
      </c>
      <c r="D1492" t="s">
        <v>383</v>
      </c>
      <c r="E1492" t="s">
        <v>10</v>
      </c>
      <c r="F1492" s="9">
        <v>274267.61</v>
      </c>
      <c r="G1492" s="6">
        <v>9902527.5179999992</v>
      </c>
      <c r="H1492" s="8">
        <f t="shared" si="23"/>
        <v>9902.527517999999</v>
      </c>
      <c r="I1492" s="10">
        <v>748</v>
      </c>
    </row>
    <row r="1493" spans="1:9" ht="15.75" thickBot="1" x14ac:dyDescent="0.3">
      <c r="A1493" s="1">
        <v>43800</v>
      </c>
      <c r="B1493" s="8" t="s">
        <v>6</v>
      </c>
      <c r="C1493" t="s">
        <v>7</v>
      </c>
      <c r="D1493" t="s">
        <v>383</v>
      </c>
      <c r="E1493" t="s">
        <v>11</v>
      </c>
      <c r="F1493" s="9">
        <v>20630.88</v>
      </c>
      <c r="G1493" s="4">
        <v>591</v>
      </c>
      <c r="H1493" s="8">
        <f t="shared" si="23"/>
        <v>591</v>
      </c>
      <c r="I1493" s="10">
        <v>11</v>
      </c>
    </row>
    <row r="1494" spans="1:9" ht="15.75" thickBot="1" x14ac:dyDescent="0.3">
      <c r="A1494" s="1">
        <v>43800</v>
      </c>
      <c r="B1494" s="8" t="s">
        <v>6</v>
      </c>
      <c r="C1494" t="s">
        <v>7</v>
      </c>
      <c r="D1494" t="s">
        <v>383</v>
      </c>
      <c r="E1494" t="s">
        <v>13</v>
      </c>
      <c r="F1494" s="9">
        <v>7866.22</v>
      </c>
      <c r="G1494" s="7">
        <v>307217.71100000001</v>
      </c>
      <c r="H1494" s="8">
        <f t="shared" si="23"/>
        <v>307217.71100000001</v>
      </c>
      <c r="I1494" s="10">
        <v>4</v>
      </c>
    </row>
    <row r="1495" spans="1:9" ht="15.75" thickBot="1" x14ac:dyDescent="0.3">
      <c r="A1495" s="1">
        <v>43800</v>
      </c>
      <c r="B1495" s="8" t="s">
        <v>6</v>
      </c>
      <c r="C1495" t="s">
        <v>7</v>
      </c>
      <c r="D1495" t="s">
        <v>384</v>
      </c>
      <c r="E1495" t="s">
        <v>10</v>
      </c>
      <c r="F1495" s="9">
        <v>17016.89</v>
      </c>
      <c r="G1495" s="6">
        <v>618828.30799999996</v>
      </c>
      <c r="H1495" s="8">
        <f t="shared" si="23"/>
        <v>618.82830799999999</v>
      </c>
      <c r="I1495" s="10">
        <v>66</v>
      </c>
    </row>
    <row r="1496" spans="1:9" ht="15.75" thickBot="1" x14ac:dyDescent="0.3">
      <c r="A1496" s="1">
        <v>43466</v>
      </c>
      <c r="B1496" s="8" t="s">
        <v>6</v>
      </c>
      <c r="C1496" t="s">
        <v>7</v>
      </c>
      <c r="D1496" t="s">
        <v>385</v>
      </c>
      <c r="E1496" t="s">
        <v>9</v>
      </c>
      <c r="F1496" s="9">
        <v>9565.74</v>
      </c>
      <c r="G1496" s="4">
        <v>285</v>
      </c>
      <c r="H1496" s="8">
        <f t="shared" si="23"/>
        <v>285</v>
      </c>
      <c r="I1496" s="10">
        <v>6</v>
      </c>
    </row>
    <row r="1497" spans="1:9" ht="15.75" thickBot="1" x14ac:dyDescent="0.3">
      <c r="A1497" s="1">
        <v>43466</v>
      </c>
      <c r="B1497" s="8" t="s">
        <v>6</v>
      </c>
      <c r="C1497" t="s">
        <v>7</v>
      </c>
      <c r="D1497" t="s">
        <v>385</v>
      </c>
      <c r="E1497" t="s">
        <v>15</v>
      </c>
      <c r="F1497" s="9">
        <v>6727.17</v>
      </c>
      <c r="G1497" s="7">
        <v>2578.529</v>
      </c>
      <c r="H1497" s="8">
        <f t="shared" si="23"/>
        <v>2578.529</v>
      </c>
      <c r="I1497" s="10">
        <v>15</v>
      </c>
    </row>
    <row r="1498" spans="1:9" ht="15.75" thickBot="1" x14ac:dyDescent="0.3">
      <c r="A1498" s="1">
        <v>43466</v>
      </c>
      <c r="B1498" s="8" t="s">
        <v>6</v>
      </c>
      <c r="C1498" t="s">
        <v>7</v>
      </c>
      <c r="D1498" t="s">
        <v>385</v>
      </c>
      <c r="E1498" t="s">
        <v>10</v>
      </c>
      <c r="F1498" s="9">
        <v>572889.81000000006</v>
      </c>
      <c r="G1498" s="7">
        <v>14886940.662</v>
      </c>
      <c r="H1498" s="8">
        <f t="shared" si="23"/>
        <v>14886.940662000001</v>
      </c>
      <c r="I1498" s="10">
        <v>1347</v>
      </c>
    </row>
    <row r="1499" spans="1:9" ht="15.75" thickBot="1" x14ac:dyDescent="0.3">
      <c r="A1499" s="1">
        <v>43800</v>
      </c>
      <c r="B1499" s="8" t="s">
        <v>6</v>
      </c>
      <c r="C1499" t="s">
        <v>7</v>
      </c>
      <c r="D1499" t="s">
        <v>385</v>
      </c>
      <c r="E1499" t="s">
        <v>17</v>
      </c>
      <c r="F1499" s="9">
        <v>59918.65</v>
      </c>
      <c r="G1499" s="4">
        <v>1890</v>
      </c>
      <c r="H1499" s="8">
        <f t="shared" si="23"/>
        <v>1890</v>
      </c>
      <c r="I1499" s="10">
        <v>32</v>
      </c>
    </row>
    <row r="1500" spans="1:9" ht="15.75" thickBot="1" x14ac:dyDescent="0.3">
      <c r="A1500" s="1">
        <v>43800</v>
      </c>
      <c r="B1500" s="8" t="s">
        <v>6</v>
      </c>
      <c r="C1500" t="s">
        <v>7</v>
      </c>
      <c r="D1500" t="s">
        <v>385</v>
      </c>
      <c r="E1500" t="s">
        <v>11</v>
      </c>
      <c r="F1500" s="9">
        <v>10336.56</v>
      </c>
      <c r="G1500" s="4">
        <v>291</v>
      </c>
      <c r="H1500" s="8">
        <f t="shared" si="23"/>
        <v>291</v>
      </c>
      <c r="I1500" s="10">
        <v>12</v>
      </c>
    </row>
    <row r="1501" spans="1:9" ht="15.75" thickBot="1" x14ac:dyDescent="0.3">
      <c r="A1501" s="1">
        <v>43800</v>
      </c>
      <c r="B1501" s="8" t="s">
        <v>6</v>
      </c>
      <c r="C1501" t="s">
        <v>7</v>
      </c>
      <c r="D1501" t="s">
        <v>385</v>
      </c>
      <c r="E1501" t="s">
        <v>13</v>
      </c>
      <c r="F1501" s="9">
        <v>8227.0499999999993</v>
      </c>
      <c r="G1501" s="7">
        <v>95168</v>
      </c>
      <c r="H1501" s="8">
        <f t="shared" si="23"/>
        <v>95168</v>
      </c>
      <c r="I1501" s="10">
        <v>11</v>
      </c>
    </row>
    <row r="1502" spans="1:9" ht="15.75" thickBot="1" x14ac:dyDescent="0.3">
      <c r="A1502" s="1">
        <v>43800</v>
      </c>
      <c r="B1502" s="8" t="s">
        <v>6</v>
      </c>
      <c r="C1502" t="s">
        <v>7</v>
      </c>
      <c r="D1502" t="s">
        <v>386</v>
      </c>
      <c r="E1502" t="s">
        <v>15</v>
      </c>
      <c r="F1502" s="9">
        <v>16319.77</v>
      </c>
      <c r="G1502" s="4">
        <v>791</v>
      </c>
      <c r="H1502" s="8">
        <f t="shared" si="23"/>
        <v>791</v>
      </c>
      <c r="I1502" s="10">
        <v>4</v>
      </c>
    </row>
    <row r="1503" spans="1:9" ht="15.75" thickBot="1" x14ac:dyDescent="0.3">
      <c r="A1503" s="1">
        <v>43466</v>
      </c>
      <c r="B1503" s="8" t="s">
        <v>6</v>
      </c>
      <c r="C1503" t="s">
        <v>7</v>
      </c>
      <c r="D1503" t="s">
        <v>386</v>
      </c>
      <c r="E1503" t="s">
        <v>10</v>
      </c>
      <c r="F1503" s="9">
        <v>603.32000000000005</v>
      </c>
      <c r="G1503" s="6">
        <v>21000</v>
      </c>
      <c r="H1503" s="8">
        <f t="shared" si="23"/>
        <v>21</v>
      </c>
      <c r="I1503" s="10">
        <v>1</v>
      </c>
    </row>
    <row r="1504" spans="1:9" ht="15.75" thickBot="1" x14ac:dyDescent="0.3">
      <c r="A1504" s="1">
        <v>43466</v>
      </c>
      <c r="B1504" s="8" t="s">
        <v>6</v>
      </c>
      <c r="C1504" t="s">
        <v>7</v>
      </c>
      <c r="D1504" t="s">
        <v>386</v>
      </c>
      <c r="E1504" t="s">
        <v>11</v>
      </c>
      <c r="F1504" s="9">
        <v>2560.7600000000002</v>
      </c>
      <c r="G1504" s="4">
        <v>77</v>
      </c>
      <c r="H1504" s="8">
        <f t="shared" si="23"/>
        <v>77</v>
      </c>
      <c r="I1504" s="10">
        <v>7</v>
      </c>
    </row>
    <row r="1505" spans="1:9" ht="15.75" thickBot="1" x14ac:dyDescent="0.3">
      <c r="A1505" s="1">
        <v>43466</v>
      </c>
      <c r="B1505" s="8" t="s">
        <v>6</v>
      </c>
      <c r="C1505" t="s">
        <v>7</v>
      </c>
      <c r="D1505" t="s">
        <v>387</v>
      </c>
      <c r="E1505" t="s">
        <v>11</v>
      </c>
      <c r="F1505" s="9">
        <v>10752.2</v>
      </c>
      <c r="G1505" s="4">
        <v>335</v>
      </c>
      <c r="H1505" s="8">
        <f t="shared" si="23"/>
        <v>335</v>
      </c>
      <c r="I1505" s="10">
        <v>1</v>
      </c>
    </row>
    <row r="1506" spans="1:9" ht="15.75" thickBot="1" x14ac:dyDescent="0.3">
      <c r="A1506" s="1">
        <v>43800</v>
      </c>
      <c r="B1506" s="8" t="s">
        <v>6</v>
      </c>
      <c r="C1506" t="s">
        <v>7</v>
      </c>
      <c r="D1506" t="s">
        <v>388</v>
      </c>
      <c r="E1506" t="s">
        <v>9</v>
      </c>
      <c r="F1506" s="9">
        <v>17062.650000000001</v>
      </c>
      <c r="G1506" s="4">
        <v>556</v>
      </c>
      <c r="H1506" s="8">
        <f t="shared" si="23"/>
        <v>556</v>
      </c>
      <c r="I1506" s="10">
        <v>6</v>
      </c>
    </row>
    <row r="1507" spans="1:9" ht="15.75" thickBot="1" x14ac:dyDescent="0.3">
      <c r="A1507" s="1">
        <v>43800</v>
      </c>
      <c r="B1507" s="8" t="s">
        <v>6</v>
      </c>
      <c r="C1507" t="s">
        <v>7</v>
      </c>
      <c r="D1507" t="s">
        <v>388</v>
      </c>
      <c r="E1507" t="s">
        <v>15</v>
      </c>
      <c r="F1507" s="9">
        <v>3627.57</v>
      </c>
      <c r="G1507" s="4">
        <v>114</v>
      </c>
      <c r="H1507" s="8">
        <f t="shared" si="23"/>
        <v>114</v>
      </c>
      <c r="I1507" s="10">
        <v>1</v>
      </c>
    </row>
    <row r="1508" spans="1:9" ht="15.75" thickBot="1" x14ac:dyDescent="0.3">
      <c r="A1508" s="1">
        <v>43800</v>
      </c>
      <c r="B1508" s="8" t="s">
        <v>6</v>
      </c>
      <c r="C1508" t="s">
        <v>7</v>
      </c>
      <c r="D1508" t="s">
        <v>388</v>
      </c>
      <c r="E1508" t="s">
        <v>10</v>
      </c>
      <c r="F1508" s="9">
        <v>368.94</v>
      </c>
      <c r="G1508" s="6">
        <v>6000</v>
      </c>
      <c r="H1508" s="8">
        <f t="shared" si="23"/>
        <v>6</v>
      </c>
      <c r="I1508" s="10">
        <v>3</v>
      </c>
    </row>
    <row r="1509" spans="1:9" ht="15.75" thickBot="1" x14ac:dyDescent="0.3">
      <c r="A1509" s="1">
        <v>43800</v>
      </c>
      <c r="B1509" s="8" t="s">
        <v>6</v>
      </c>
      <c r="C1509" t="s">
        <v>7</v>
      </c>
      <c r="D1509" t="s">
        <v>388</v>
      </c>
      <c r="E1509" t="s">
        <v>17</v>
      </c>
      <c r="F1509" s="9">
        <v>71918.58</v>
      </c>
      <c r="G1509" s="4">
        <v>2263</v>
      </c>
      <c r="H1509" s="8">
        <f t="shared" si="23"/>
        <v>2263</v>
      </c>
      <c r="I1509" s="10">
        <v>44</v>
      </c>
    </row>
    <row r="1510" spans="1:9" ht="15.75" thickBot="1" x14ac:dyDescent="0.3">
      <c r="A1510" s="1">
        <v>43466</v>
      </c>
      <c r="B1510" s="8" t="s">
        <v>6</v>
      </c>
      <c r="C1510" t="s">
        <v>7</v>
      </c>
      <c r="D1510" t="s">
        <v>388</v>
      </c>
      <c r="E1510" t="s">
        <v>11</v>
      </c>
      <c r="F1510" s="9">
        <v>17554.349999999999</v>
      </c>
      <c r="G1510" s="7">
        <v>27399</v>
      </c>
      <c r="H1510" s="8">
        <f t="shared" si="23"/>
        <v>27399</v>
      </c>
      <c r="I1510" s="10">
        <v>9</v>
      </c>
    </row>
    <row r="1511" spans="1:9" ht="15.75" thickBot="1" x14ac:dyDescent="0.3">
      <c r="A1511" s="1">
        <v>43466</v>
      </c>
      <c r="B1511" s="8" t="s">
        <v>6</v>
      </c>
      <c r="C1511" t="s">
        <v>7</v>
      </c>
      <c r="D1511" t="s">
        <v>388</v>
      </c>
      <c r="E1511" t="s">
        <v>13</v>
      </c>
      <c r="F1511" s="9">
        <v>81.569999999999993</v>
      </c>
      <c r="G1511" s="5">
        <v>0</v>
      </c>
      <c r="H1511" s="8">
        <f t="shared" si="23"/>
        <v>0</v>
      </c>
      <c r="I1511" s="10">
        <v>1</v>
      </c>
    </row>
    <row r="1512" spans="1:9" ht="15.75" thickBot="1" x14ac:dyDescent="0.3">
      <c r="A1512" s="1">
        <v>43466</v>
      </c>
      <c r="B1512" s="8" t="s">
        <v>6</v>
      </c>
      <c r="C1512" t="s">
        <v>7</v>
      </c>
      <c r="D1512" t="s">
        <v>389</v>
      </c>
      <c r="E1512" t="s">
        <v>15</v>
      </c>
      <c r="F1512" s="9">
        <v>7412.55</v>
      </c>
      <c r="G1512" s="4">
        <v>246</v>
      </c>
      <c r="H1512" s="8">
        <f t="shared" si="23"/>
        <v>246</v>
      </c>
      <c r="I1512" s="10">
        <v>2</v>
      </c>
    </row>
    <row r="1513" spans="1:9" ht="15.75" thickBot="1" x14ac:dyDescent="0.3">
      <c r="A1513" s="1">
        <v>43800</v>
      </c>
      <c r="B1513" s="8" t="s">
        <v>6</v>
      </c>
      <c r="C1513" t="s">
        <v>7</v>
      </c>
      <c r="D1513" t="s">
        <v>389</v>
      </c>
      <c r="E1513" t="s">
        <v>11</v>
      </c>
      <c r="F1513" s="9">
        <v>1001.56</v>
      </c>
      <c r="G1513" s="4">
        <v>33</v>
      </c>
      <c r="H1513" s="8">
        <f t="shared" si="23"/>
        <v>33</v>
      </c>
      <c r="I1513" s="10">
        <v>1</v>
      </c>
    </row>
    <row r="1514" spans="1:9" ht="15.75" thickBot="1" x14ac:dyDescent="0.3">
      <c r="A1514" s="1">
        <v>43800</v>
      </c>
      <c r="B1514" s="8" t="s">
        <v>6</v>
      </c>
      <c r="C1514" t="s">
        <v>7</v>
      </c>
      <c r="D1514" t="s">
        <v>390</v>
      </c>
      <c r="E1514" t="s">
        <v>9</v>
      </c>
      <c r="F1514" s="9">
        <v>47764.49</v>
      </c>
      <c r="G1514" s="4">
        <v>1464</v>
      </c>
      <c r="H1514" s="8">
        <f t="shared" si="23"/>
        <v>1464</v>
      </c>
      <c r="I1514" s="10">
        <v>8</v>
      </c>
    </row>
    <row r="1515" spans="1:9" ht="15.75" thickBot="1" x14ac:dyDescent="0.3">
      <c r="A1515" s="1">
        <v>43800</v>
      </c>
      <c r="B1515" s="8" t="s">
        <v>6</v>
      </c>
      <c r="C1515" t="s">
        <v>7</v>
      </c>
      <c r="D1515" t="s">
        <v>390</v>
      </c>
      <c r="E1515" t="s">
        <v>15</v>
      </c>
      <c r="F1515" s="9">
        <v>1557.97</v>
      </c>
      <c r="G1515" s="4">
        <v>49</v>
      </c>
      <c r="H1515" s="8">
        <f t="shared" si="23"/>
        <v>49</v>
      </c>
      <c r="I1515" s="10">
        <v>3</v>
      </c>
    </row>
    <row r="1516" spans="1:9" ht="15.75" thickBot="1" x14ac:dyDescent="0.3">
      <c r="A1516" s="1">
        <v>43800</v>
      </c>
      <c r="B1516" s="8" t="s">
        <v>6</v>
      </c>
      <c r="C1516" t="s">
        <v>7</v>
      </c>
      <c r="D1516" t="s">
        <v>390</v>
      </c>
      <c r="E1516" t="s">
        <v>10</v>
      </c>
      <c r="F1516" s="9">
        <v>11285.7</v>
      </c>
      <c r="G1516" s="7">
        <v>46153</v>
      </c>
      <c r="H1516" s="8">
        <f t="shared" si="23"/>
        <v>46.152999999999999</v>
      </c>
      <c r="I1516" s="10">
        <v>7</v>
      </c>
    </row>
    <row r="1517" spans="1:9" ht="15.75" thickBot="1" x14ac:dyDescent="0.3">
      <c r="A1517" s="1">
        <v>43466</v>
      </c>
      <c r="B1517" s="8" t="s">
        <v>6</v>
      </c>
      <c r="C1517" t="s">
        <v>7</v>
      </c>
      <c r="D1517" t="s">
        <v>390</v>
      </c>
      <c r="E1517" t="s">
        <v>17</v>
      </c>
      <c r="F1517" s="9">
        <v>172347.64</v>
      </c>
      <c r="G1517" s="4">
        <v>5204</v>
      </c>
      <c r="H1517" s="8">
        <f t="shared" si="23"/>
        <v>5204</v>
      </c>
      <c r="I1517" s="10">
        <v>41</v>
      </c>
    </row>
    <row r="1518" spans="1:9" ht="15.75" thickBot="1" x14ac:dyDescent="0.3">
      <c r="A1518" s="1">
        <v>43466</v>
      </c>
      <c r="B1518" s="8" t="s">
        <v>6</v>
      </c>
      <c r="C1518" t="s">
        <v>7</v>
      </c>
      <c r="D1518" t="s">
        <v>390</v>
      </c>
      <c r="E1518" t="s">
        <v>11</v>
      </c>
      <c r="F1518" s="9">
        <v>180134.12</v>
      </c>
      <c r="G1518" s="4">
        <v>6379</v>
      </c>
      <c r="H1518" s="8">
        <f t="shared" si="23"/>
        <v>6379</v>
      </c>
      <c r="I1518" s="10">
        <v>15</v>
      </c>
    </row>
    <row r="1519" spans="1:9" ht="15.75" thickBot="1" x14ac:dyDescent="0.3">
      <c r="A1519" s="1">
        <v>43466</v>
      </c>
      <c r="B1519" s="8" t="s">
        <v>6</v>
      </c>
      <c r="C1519" t="s">
        <v>7</v>
      </c>
      <c r="D1519" t="s">
        <v>391</v>
      </c>
      <c r="E1519" t="s">
        <v>9</v>
      </c>
      <c r="F1519" s="9">
        <v>154.63999999999999</v>
      </c>
      <c r="G1519" s="4">
        <v>2</v>
      </c>
      <c r="H1519" s="8">
        <f t="shared" si="23"/>
        <v>2</v>
      </c>
      <c r="I1519" s="10">
        <v>1</v>
      </c>
    </row>
    <row r="1520" spans="1:9" ht="15.75" thickBot="1" x14ac:dyDescent="0.3">
      <c r="A1520" s="1">
        <v>43800</v>
      </c>
      <c r="B1520" s="8" t="s">
        <v>6</v>
      </c>
      <c r="C1520" t="s">
        <v>7</v>
      </c>
      <c r="D1520" t="s">
        <v>391</v>
      </c>
      <c r="E1520" t="s">
        <v>15</v>
      </c>
      <c r="F1520" s="9">
        <v>2790.09</v>
      </c>
      <c r="G1520" s="7">
        <v>7088.7979999999998</v>
      </c>
      <c r="H1520" s="8">
        <f t="shared" si="23"/>
        <v>7088.7979999999998</v>
      </c>
      <c r="I1520" s="10">
        <v>6</v>
      </c>
    </row>
    <row r="1521" spans="1:9" ht="15.75" thickBot="1" x14ac:dyDescent="0.3">
      <c r="A1521" s="1">
        <v>43800</v>
      </c>
      <c r="B1521" s="8" t="s">
        <v>6</v>
      </c>
      <c r="C1521" t="s">
        <v>7</v>
      </c>
      <c r="D1521" t="s">
        <v>391</v>
      </c>
      <c r="E1521" t="s">
        <v>10</v>
      </c>
      <c r="F1521" s="9">
        <v>62870.5</v>
      </c>
      <c r="G1521" s="6">
        <v>1815486.1029999999</v>
      </c>
      <c r="H1521" s="8">
        <f t="shared" si="23"/>
        <v>1815.486103</v>
      </c>
      <c r="I1521" s="10">
        <v>467</v>
      </c>
    </row>
    <row r="1522" spans="1:9" ht="15.75" thickBot="1" x14ac:dyDescent="0.3">
      <c r="A1522" s="1">
        <v>43800</v>
      </c>
      <c r="B1522" s="8" t="s">
        <v>6</v>
      </c>
      <c r="C1522" t="s">
        <v>7</v>
      </c>
      <c r="D1522" t="s">
        <v>391</v>
      </c>
      <c r="E1522" t="s">
        <v>11</v>
      </c>
      <c r="F1522" s="9">
        <v>12038.88</v>
      </c>
      <c r="G1522" s="4">
        <v>405</v>
      </c>
      <c r="H1522" s="8">
        <f t="shared" si="23"/>
        <v>405</v>
      </c>
      <c r="I1522" s="10">
        <v>6</v>
      </c>
    </row>
    <row r="1523" spans="1:9" ht="15.75" thickBot="1" x14ac:dyDescent="0.3">
      <c r="A1523" s="1">
        <v>43800</v>
      </c>
      <c r="B1523" s="8" t="s">
        <v>6</v>
      </c>
      <c r="C1523" t="s">
        <v>7</v>
      </c>
      <c r="D1523" t="s">
        <v>391</v>
      </c>
      <c r="E1523" t="s">
        <v>13</v>
      </c>
      <c r="F1523" s="9">
        <v>690.85</v>
      </c>
      <c r="G1523" s="6">
        <v>19000</v>
      </c>
      <c r="H1523" s="8">
        <f t="shared" si="23"/>
        <v>19000</v>
      </c>
      <c r="I1523" s="10">
        <v>3</v>
      </c>
    </row>
    <row r="1524" spans="1:9" ht="15.75" thickBot="1" x14ac:dyDescent="0.3">
      <c r="A1524" s="1">
        <v>43466</v>
      </c>
      <c r="B1524" s="8" t="s">
        <v>6</v>
      </c>
      <c r="C1524" t="s">
        <v>7</v>
      </c>
      <c r="D1524" t="s">
        <v>392</v>
      </c>
      <c r="E1524" t="s">
        <v>15</v>
      </c>
      <c r="F1524" s="9">
        <v>4983.75</v>
      </c>
      <c r="G1524" s="7">
        <v>11106.763000000001</v>
      </c>
      <c r="H1524" s="8">
        <f t="shared" si="23"/>
        <v>11106.763000000001</v>
      </c>
      <c r="I1524" s="10">
        <v>19</v>
      </c>
    </row>
    <row r="1525" spans="1:9" ht="15.75" thickBot="1" x14ac:dyDescent="0.3">
      <c r="A1525" s="1">
        <v>43466</v>
      </c>
      <c r="B1525" s="8" t="s">
        <v>6</v>
      </c>
      <c r="C1525" t="s">
        <v>7</v>
      </c>
      <c r="D1525" t="s">
        <v>392</v>
      </c>
      <c r="E1525" t="s">
        <v>10</v>
      </c>
      <c r="F1525" s="9">
        <v>21361.25</v>
      </c>
      <c r="G1525" s="6">
        <v>27720786.557999998</v>
      </c>
      <c r="H1525" s="8">
        <f t="shared" si="23"/>
        <v>27720.786558</v>
      </c>
      <c r="I1525" s="10">
        <v>3858</v>
      </c>
    </row>
    <row r="1526" spans="1:9" ht="15.75" thickBot="1" x14ac:dyDescent="0.3">
      <c r="A1526" s="1">
        <v>43466</v>
      </c>
      <c r="B1526" s="8" t="s">
        <v>6</v>
      </c>
      <c r="C1526" t="s">
        <v>7</v>
      </c>
      <c r="D1526" t="s">
        <v>392</v>
      </c>
      <c r="E1526" t="s">
        <v>11</v>
      </c>
      <c r="F1526" s="9">
        <v>36601.1</v>
      </c>
      <c r="G1526" s="4">
        <v>1190</v>
      </c>
      <c r="H1526" s="8">
        <f t="shared" si="23"/>
        <v>1190</v>
      </c>
      <c r="I1526" s="10">
        <v>2</v>
      </c>
    </row>
    <row r="1527" spans="1:9" ht="15.75" thickBot="1" x14ac:dyDescent="0.3">
      <c r="A1527" s="1">
        <v>43800</v>
      </c>
      <c r="B1527" s="8" t="s">
        <v>6</v>
      </c>
      <c r="C1527" t="s">
        <v>7</v>
      </c>
      <c r="D1527" t="s">
        <v>392</v>
      </c>
      <c r="E1527" t="s">
        <v>13</v>
      </c>
      <c r="F1527" s="9">
        <v>866.28</v>
      </c>
      <c r="G1527" s="7">
        <v>98976.6</v>
      </c>
      <c r="H1527" s="8">
        <f t="shared" si="23"/>
        <v>98976.6</v>
      </c>
      <c r="I1527" s="10">
        <v>14</v>
      </c>
    </row>
    <row r="1528" spans="1:9" ht="15.75" thickBot="1" x14ac:dyDescent="0.3">
      <c r="A1528" s="1">
        <v>43800</v>
      </c>
      <c r="B1528" s="8" t="s">
        <v>6</v>
      </c>
      <c r="C1528" t="s">
        <v>7</v>
      </c>
      <c r="D1528" t="s">
        <v>393</v>
      </c>
      <c r="E1528" t="s">
        <v>9</v>
      </c>
      <c r="F1528" s="9">
        <v>2594.36</v>
      </c>
      <c r="G1528" s="4">
        <v>73</v>
      </c>
      <c r="H1528" s="8">
        <f t="shared" si="23"/>
        <v>73</v>
      </c>
      <c r="I1528" s="10">
        <v>3</v>
      </c>
    </row>
    <row r="1529" spans="1:9" ht="15.75" thickBot="1" x14ac:dyDescent="0.3">
      <c r="A1529" s="1">
        <v>43800</v>
      </c>
      <c r="B1529" s="8" t="s">
        <v>6</v>
      </c>
      <c r="C1529" t="s">
        <v>7</v>
      </c>
      <c r="D1529" t="s">
        <v>393</v>
      </c>
      <c r="E1529" t="s">
        <v>10</v>
      </c>
      <c r="F1529" s="9">
        <v>136047.21</v>
      </c>
      <c r="G1529" s="7">
        <v>3771881.0690000001</v>
      </c>
      <c r="H1529" s="8">
        <f t="shared" si="23"/>
        <v>3771.881069</v>
      </c>
      <c r="I1529" s="10">
        <v>320</v>
      </c>
    </row>
    <row r="1530" spans="1:9" ht="15.75" thickBot="1" x14ac:dyDescent="0.3">
      <c r="A1530" s="1">
        <v>43800</v>
      </c>
      <c r="B1530" s="8" t="s">
        <v>6</v>
      </c>
      <c r="C1530" t="s">
        <v>7</v>
      </c>
      <c r="D1530" t="s">
        <v>393</v>
      </c>
      <c r="E1530" t="s">
        <v>11</v>
      </c>
      <c r="F1530" s="9">
        <v>861.21</v>
      </c>
      <c r="G1530" s="4">
        <v>2</v>
      </c>
      <c r="H1530" s="8">
        <f t="shared" si="23"/>
        <v>2</v>
      </c>
      <c r="I1530" s="10">
        <v>3</v>
      </c>
    </row>
    <row r="1531" spans="1:9" ht="15.75" thickBot="1" x14ac:dyDescent="0.3">
      <c r="A1531" s="1">
        <v>43466</v>
      </c>
      <c r="B1531" s="8" t="s">
        <v>6</v>
      </c>
      <c r="C1531" t="s">
        <v>7</v>
      </c>
      <c r="D1531" t="s">
        <v>393</v>
      </c>
      <c r="E1531" t="s">
        <v>13</v>
      </c>
      <c r="F1531" s="9">
        <v>846.63</v>
      </c>
      <c r="G1531" s="6">
        <v>25000</v>
      </c>
      <c r="H1531" s="8">
        <f t="shared" si="23"/>
        <v>25000</v>
      </c>
      <c r="I1531" s="10">
        <v>3</v>
      </c>
    </row>
    <row r="1532" spans="1:9" ht="15.75" thickBot="1" x14ac:dyDescent="0.3">
      <c r="A1532" s="1">
        <v>43466</v>
      </c>
      <c r="B1532" s="8" t="s">
        <v>6</v>
      </c>
      <c r="C1532" t="s">
        <v>7</v>
      </c>
      <c r="D1532" t="s">
        <v>394</v>
      </c>
      <c r="E1532" t="s">
        <v>10</v>
      </c>
      <c r="F1532" s="9">
        <v>27637.99</v>
      </c>
      <c r="G1532" s="7">
        <v>855509.8</v>
      </c>
      <c r="H1532" s="8">
        <f t="shared" si="23"/>
        <v>855.50980000000004</v>
      </c>
      <c r="I1532" s="10">
        <v>86</v>
      </c>
    </row>
    <row r="1533" spans="1:9" ht="15.75" thickBot="1" x14ac:dyDescent="0.3">
      <c r="A1533" s="1">
        <v>43466</v>
      </c>
      <c r="B1533" s="8" t="s">
        <v>6</v>
      </c>
      <c r="C1533" t="s">
        <v>7</v>
      </c>
      <c r="D1533" t="s">
        <v>395</v>
      </c>
      <c r="E1533" t="s">
        <v>15</v>
      </c>
      <c r="F1533" s="9">
        <v>9205.4</v>
      </c>
      <c r="G1533" s="4">
        <v>337</v>
      </c>
      <c r="H1533" s="8">
        <f t="shared" si="23"/>
        <v>337</v>
      </c>
      <c r="I1533" s="10">
        <v>3</v>
      </c>
    </row>
    <row r="1534" spans="1:9" ht="15.75" thickBot="1" x14ac:dyDescent="0.3">
      <c r="A1534" s="1">
        <v>43800</v>
      </c>
      <c r="B1534" s="8" t="s">
        <v>6</v>
      </c>
      <c r="C1534" t="s">
        <v>7</v>
      </c>
      <c r="D1534" t="s">
        <v>395</v>
      </c>
      <c r="E1534" t="s">
        <v>10</v>
      </c>
      <c r="F1534" s="9">
        <v>86634.69</v>
      </c>
      <c r="G1534" s="6">
        <v>4007040.15</v>
      </c>
      <c r="H1534" s="8">
        <f t="shared" si="23"/>
        <v>4007.0401499999998</v>
      </c>
      <c r="I1534" s="10">
        <v>303</v>
      </c>
    </row>
    <row r="1535" spans="1:9" ht="15.75" thickBot="1" x14ac:dyDescent="0.3">
      <c r="A1535" s="1">
        <v>43800</v>
      </c>
      <c r="B1535" s="8" t="s">
        <v>6</v>
      </c>
      <c r="C1535" t="s">
        <v>7</v>
      </c>
      <c r="D1535" t="s">
        <v>395</v>
      </c>
      <c r="E1535" t="s">
        <v>13</v>
      </c>
      <c r="F1535" s="9">
        <v>44.73</v>
      </c>
      <c r="G1535" s="6">
        <v>3000</v>
      </c>
      <c r="H1535" s="8">
        <f t="shared" si="23"/>
        <v>3000</v>
      </c>
      <c r="I1535" s="10">
        <v>1</v>
      </c>
    </row>
    <row r="1536" spans="1:9" ht="15.75" thickBot="1" x14ac:dyDescent="0.3">
      <c r="A1536" s="1">
        <v>43800</v>
      </c>
      <c r="B1536" s="8" t="s">
        <v>6</v>
      </c>
      <c r="C1536" t="s">
        <v>7</v>
      </c>
      <c r="D1536" t="s">
        <v>396</v>
      </c>
      <c r="E1536" t="s">
        <v>9</v>
      </c>
      <c r="F1536" s="9">
        <v>783</v>
      </c>
      <c r="G1536" s="4">
        <v>25</v>
      </c>
      <c r="H1536" s="8">
        <f t="shared" si="23"/>
        <v>25</v>
      </c>
      <c r="I1536" s="10">
        <v>1</v>
      </c>
    </row>
    <row r="1537" spans="1:9" ht="15.75" thickBot="1" x14ac:dyDescent="0.3">
      <c r="A1537" s="1">
        <v>43800</v>
      </c>
      <c r="B1537" s="8" t="s">
        <v>6</v>
      </c>
      <c r="C1537" t="s">
        <v>7</v>
      </c>
      <c r="D1537" t="s">
        <v>396</v>
      </c>
      <c r="E1537" t="s">
        <v>10</v>
      </c>
      <c r="F1537" s="9">
        <v>61779.98</v>
      </c>
      <c r="G1537" s="6">
        <v>1864791.1259999999</v>
      </c>
      <c r="H1537" s="8">
        <f t="shared" si="23"/>
        <v>1864.7911259999998</v>
      </c>
      <c r="I1537" s="10">
        <v>129</v>
      </c>
    </row>
    <row r="1538" spans="1:9" ht="15.75" thickBot="1" x14ac:dyDescent="0.3">
      <c r="A1538" s="1">
        <v>43466</v>
      </c>
      <c r="B1538" s="8" t="s">
        <v>6</v>
      </c>
      <c r="C1538" t="s">
        <v>7</v>
      </c>
      <c r="D1538" t="s">
        <v>396</v>
      </c>
      <c r="E1538" t="s">
        <v>11</v>
      </c>
      <c r="F1538" s="9">
        <v>263.14</v>
      </c>
      <c r="G1538" s="4">
        <v>0</v>
      </c>
      <c r="H1538" s="8">
        <f t="shared" ref="H1538:H1601" si="24">IF(ISNUMBER(SEARCH("Domestic customer", E1538)),G1538/1000,G1538)</f>
        <v>0</v>
      </c>
      <c r="I1538" s="10">
        <v>3</v>
      </c>
    </row>
    <row r="1539" spans="1:9" ht="15.75" thickBot="1" x14ac:dyDescent="0.3">
      <c r="A1539" s="1">
        <v>43466</v>
      </c>
      <c r="B1539" s="8" t="s">
        <v>6</v>
      </c>
      <c r="C1539" t="s">
        <v>7</v>
      </c>
      <c r="D1539" t="s">
        <v>396</v>
      </c>
      <c r="E1539" t="s">
        <v>13</v>
      </c>
      <c r="F1539" s="9">
        <v>2351.2199999999998</v>
      </c>
      <c r="G1539" s="6">
        <v>60000</v>
      </c>
      <c r="H1539" s="8">
        <f t="shared" si="24"/>
        <v>60000</v>
      </c>
      <c r="I1539" s="10">
        <v>2</v>
      </c>
    </row>
    <row r="1540" spans="1:9" ht="15.75" thickBot="1" x14ac:dyDescent="0.3">
      <c r="A1540" s="1">
        <v>43466</v>
      </c>
      <c r="B1540" s="8" t="s">
        <v>6</v>
      </c>
      <c r="C1540" t="s">
        <v>7</v>
      </c>
      <c r="D1540" t="s">
        <v>397</v>
      </c>
      <c r="E1540" t="s">
        <v>9</v>
      </c>
      <c r="F1540" s="9">
        <v>-117476.05</v>
      </c>
      <c r="G1540" s="4">
        <v>-547</v>
      </c>
      <c r="H1540" s="8">
        <f t="shared" si="24"/>
        <v>-547</v>
      </c>
      <c r="I1540" s="10">
        <v>9</v>
      </c>
    </row>
    <row r="1541" spans="1:9" ht="15.75" thickBot="1" x14ac:dyDescent="0.3">
      <c r="A1541" s="1">
        <v>43800</v>
      </c>
      <c r="B1541" s="8" t="s">
        <v>6</v>
      </c>
      <c r="C1541" t="s">
        <v>7</v>
      </c>
      <c r="D1541" t="s">
        <v>397</v>
      </c>
      <c r="E1541" t="s">
        <v>15</v>
      </c>
      <c r="F1541" s="9">
        <v>3460.89</v>
      </c>
      <c r="G1541" s="4">
        <v>13</v>
      </c>
      <c r="H1541" s="8">
        <f t="shared" si="24"/>
        <v>13</v>
      </c>
      <c r="I1541" s="10">
        <v>5</v>
      </c>
    </row>
    <row r="1542" spans="1:9" ht="15.75" thickBot="1" x14ac:dyDescent="0.3">
      <c r="A1542" s="1">
        <v>43800</v>
      </c>
      <c r="B1542" s="8" t="s">
        <v>6</v>
      </c>
      <c r="C1542" t="s">
        <v>7</v>
      </c>
      <c r="D1542" t="s">
        <v>397</v>
      </c>
      <c r="E1542" t="s">
        <v>10</v>
      </c>
      <c r="F1542" s="9">
        <v>97791.82</v>
      </c>
      <c r="G1542" s="6">
        <v>3952823.3259999999</v>
      </c>
      <c r="H1542" s="8">
        <f t="shared" si="24"/>
        <v>3952.8233259999997</v>
      </c>
      <c r="I1542" s="10">
        <v>259</v>
      </c>
    </row>
    <row r="1543" spans="1:9" ht="15.75" thickBot="1" x14ac:dyDescent="0.3">
      <c r="A1543" s="1">
        <v>43800</v>
      </c>
      <c r="B1543" s="8" t="s">
        <v>6</v>
      </c>
      <c r="C1543" t="s">
        <v>7</v>
      </c>
      <c r="D1543" t="s">
        <v>397</v>
      </c>
      <c r="E1543" t="s">
        <v>11</v>
      </c>
      <c r="F1543" s="9">
        <v>16609.22</v>
      </c>
      <c r="G1543" s="4">
        <v>494</v>
      </c>
      <c r="H1543" s="8">
        <f t="shared" si="24"/>
        <v>494</v>
      </c>
      <c r="I1543" s="10">
        <v>5</v>
      </c>
    </row>
    <row r="1544" spans="1:9" ht="15.75" thickBot="1" x14ac:dyDescent="0.3">
      <c r="A1544" s="1">
        <v>43800</v>
      </c>
      <c r="B1544" s="8" t="s">
        <v>6</v>
      </c>
      <c r="C1544" t="s">
        <v>7</v>
      </c>
      <c r="D1544" t="s">
        <v>397</v>
      </c>
      <c r="E1544" t="s">
        <v>13</v>
      </c>
      <c r="F1544" s="9">
        <v>268.02</v>
      </c>
      <c r="G1544" s="6">
        <v>7405.6450000000004</v>
      </c>
      <c r="H1544" s="8">
        <f t="shared" si="24"/>
        <v>7405.6450000000004</v>
      </c>
      <c r="I1544" s="10">
        <v>2</v>
      </c>
    </row>
    <row r="1545" spans="1:9" ht="15.75" thickBot="1" x14ac:dyDescent="0.3">
      <c r="A1545" s="1">
        <v>43466</v>
      </c>
      <c r="B1545" s="8" t="s">
        <v>6</v>
      </c>
      <c r="C1545" t="s">
        <v>7</v>
      </c>
      <c r="D1545" t="s">
        <v>398</v>
      </c>
      <c r="E1545" t="s">
        <v>9</v>
      </c>
      <c r="F1545" s="9">
        <v>4256.2</v>
      </c>
      <c r="G1545" s="4">
        <v>35</v>
      </c>
      <c r="H1545" s="8">
        <f t="shared" si="24"/>
        <v>35</v>
      </c>
      <c r="I1545" s="10">
        <v>2</v>
      </c>
    </row>
    <row r="1546" spans="1:9" ht="15.75" thickBot="1" x14ac:dyDescent="0.3">
      <c r="A1546" s="1">
        <v>43466</v>
      </c>
      <c r="B1546" s="8" t="s">
        <v>6</v>
      </c>
      <c r="C1546" t="s">
        <v>7</v>
      </c>
      <c r="D1546" t="s">
        <v>398</v>
      </c>
      <c r="E1546" t="s">
        <v>10</v>
      </c>
      <c r="F1546" s="9">
        <v>142787.59</v>
      </c>
      <c r="G1546" s="6">
        <v>5906000</v>
      </c>
      <c r="H1546" s="8">
        <f t="shared" si="24"/>
        <v>5906</v>
      </c>
      <c r="I1546" s="10">
        <v>7</v>
      </c>
    </row>
    <row r="1547" spans="1:9" ht="15.75" thickBot="1" x14ac:dyDescent="0.3">
      <c r="A1547" s="1">
        <v>43466</v>
      </c>
      <c r="B1547" s="8" t="s">
        <v>6</v>
      </c>
      <c r="C1547" t="s">
        <v>7</v>
      </c>
      <c r="D1547" t="s">
        <v>399</v>
      </c>
      <c r="E1547" t="s">
        <v>9</v>
      </c>
      <c r="F1547" s="9">
        <v>13071.65</v>
      </c>
      <c r="G1547" s="4">
        <v>413</v>
      </c>
      <c r="H1547" s="8">
        <f t="shared" si="24"/>
        <v>413</v>
      </c>
      <c r="I1547" s="10">
        <v>6</v>
      </c>
    </row>
    <row r="1548" spans="1:9" ht="15.75" thickBot="1" x14ac:dyDescent="0.3">
      <c r="A1548" s="1">
        <v>43800</v>
      </c>
      <c r="B1548" s="8" t="s">
        <v>6</v>
      </c>
      <c r="C1548" t="s">
        <v>7</v>
      </c>
      <c r="D1548" t="s">
        <v>399</v>
      </c>
      <c r="E1548" t="s">
        <v>15</v>
      </c>
      <c r="F1548" s="9">
        <v>6732.48</v>
      </c>
      <c r="G1548" s="4">
        <v>14</v>
      </c>
      <c r="H1548" s="8">
        <f t="shared" si="24"/>
        <v>14</v>
      </c>
      <c r="I1548" s="10">
        <v>3</v>
      </c>
    </row>
    <row r="1549" spans="1:9" ht="15.75" thickBot="1" x14ac:dyDescent="0.3">
      <c r="A1549" s="1">
        <v>43800</v>
      </c>
      <c r="B1549" s="8" t="s">
        <v>6</v>
      </c>
      <c r="C1549" t="s">
        <v>7</v>
      </c>
      <c r="D1549" t="s">
        <v>399</v>
      </c>
      <c r="E1549" t="s">
        <v>10</v>
      </c>
      <c r="F1549" s="9">
        <v>389784.83</v>
      </c>
      <c r="G1549" s="6">
        <v>12881720.176000001</v>
      </c>
      <c r="H1549" s="8">
        <f t="shared" si="24"/>
        <v>12881.720176000001</v>
      </c>
      <c r="I1549" s="10">
        <v>1385</v>
      </c>
    </row>
    <row r="1550" spans="1:9" ht="15.75" thickBot="1" x14ac:dyDescent="0.3">
      <c r="A1550" s="1">
        <v>43800</v>
      </c>
      <c r="B1550" s="8" t="s">
        <v>6</v>
      </c>
      <c r="C1550" t="s">
        <v>7</v>
      </c>
      <c r="D1550" t="s">
        <v>399</v>
      </c>
      <c r="E1550" t="s">
        <v>17</v>
      </c>
      <c r="F1550" s="9">
        <v>4769.12</v>
      </c>
      <c r="G1550" s="4">
        <v>116</v>
      </c>
      <c r="H1550" s="8">
        <f t="shared" si="24"/>
        <v>116</v>
      </c>
      <c r="I1550" s="10">
        <v>1</v>
      </c>
    </row>
    <row r="1551" spans="1:9" ht="15.75" thickBot="1" x14ac:dyDescent="0.3">
      <c r="A1551" s="1">
        <v>43800</v>
      </c>
      <c r="B1551" s="8" t="s">
        <v>6</v>
      </c>
      <c r="C1551" t="s">
        <v>7</v>
      </c>
      <c r="D1551" t="s">
        <v>399</v>
      </c>
      <c r="E1551" t="s">
        <v>11</v>
      </c>
      <c r="F1551" s="9">
        <v>6092.92</v>
      </c>
      <c r="G1551" s="4">
        <v>167</v>
      </c>
      <c r="H1551" s="8">
        <f t="shared" si="24"/>
        <v>167</v>
      </c>
      <c r="I1551" s="10">
        <v>18</v>
      </c>
    </row>
    <row r="1552" spans="1:9" ht="15.75" thickBot="1" x14ac:dyDescent="0.3">
      <c r="A1552" s="1">
        <v>43466</v>
      </c>
      <c r="B1552" s="8" t="s">
        <v>6</v>
      </c>
      <c r="C1552" t="s">
        <v>7</v>
      </c>
      <c r="D1552" t="s">
        <v>399</v>
      </c>
      <c r="E1552" t="s">
        <v>13</v>
      </c>
      <c r="F1552" s="9">
        <v>1653.07</v>
      </c>
      <c r="G1552" s="6">
        <v>53000</v>
      </c>
      <c r="H1552" s="8">
        <f t="shared" si="24"/>
        <v>53000</v>
      </c>
      <c r="I1552" s="10">
        <v>10</v>
      </c>
    </row>
    <row r="1553" spans="1:9" ht="15.75" thickBot="1" x14ac:dyDescent="0.3">
      <c r="A1553" s="1">
        <v>43466</v>
      </c>
      <c r="B1553" s="8" t="s">
        <v>6</v>
      </c>
      <c r="C1553" t="s">
        <v>7</v>
      </c>
      <c r="D1553" t="s">
        <v>400</v>
      </c>
      <c r="E1553" t="s">
        <v>9</v>
      </c>
      <c r="F1553" s="9">
        <v>3760.88</v>
      </c>
      <c r="G1553" s="4">
        <v>134</v>
      </c>
      <c r="H1553" s="8">
        <f t="shared" si="24"/>
        <v>134</v>
      </c>
      <c r="I1553" s="10">
        <v>1</v>
      </c>
    </row>
    <row r="1554" spans="1:9" ht="15.75" thickBot="1" x14ac:dyDescent="0.3">
      <c r="A1554" s="1">
        <v>43466</v>
      </c>
      <c r="B1554" s="8" t="s">
        <v>6</v>
      </c>
      <c r="C1554" t="s">
        <v>7</v>
      </c>
      <c r="D1554" t="s">
        <v>400</v>
      </c>
      <c r="E1554" t="s">
        <v>10</v>
      </c>
      <c r="F1554" s="9">
        <v>152488.20000000001</v>
      </c>
      <c r="G1554" s="6">
        <v>5003639.55</v>
      </c>
      <c r="H1554" s="8">
        <f t="shared" si="24"/>
        <v>5003.6395499999999</v>
      </c>
      <c r="I1554" s="10">
        <v>428</v>
      </c>
    </row>
    <row r="1555" spans="1:9" ht="15.75" thickBot="1" x14ac:dyDescent="0.3">
      <c r="A1555" s="1">
        <v>43800</v>
      </c>
      <c r="B1555" s="8" t="s">
        <v>6</v>
      </c>
      <c r="C1555" t="s">
        <v>7</v>
      </c>
      <c r="D1555" t="s">
        <v>400</v>
      </c>
      <c r="E1555" t="s">
        <v>17</v>
      </c>
      <c r="F1555" s="9">
        <v>564.44000000000005</v>
      </c>
      <c r="G1555" s="4">
        <v>17</v>
      </c>
      <c r="H1555" s="8">
        <f t="shared" si="24"/>
        <v>17</v>
      </c>
      <c r="I1555" s="10">
        <v>1</v>
      </c>
    </row>
    <row r="1556" spans="1:9" ht="15.75" thickBot="1" x14ac:dyDescent="0.3">
      <c r="A1556" s="1">
        <v>43800</v>
      </c>
      <c r="B1556" s="8" t="s">
        <v>6</v>
      </c>
      <c r="C1556" t="s">
        <v>7</v>
      </c>
      <c r="D1556" t="s">
        <v>400</v>
      </c>
      <c r="E1556" t="s">
        <v>11</v>
      </c>
      <c r="F1556" s="9">
        <v>8525.1</v>
      </c>
      <c r="G1556" s="4">
        <v>253</v>
      </c>
      <c r="H1556" s="8">
        <f t="shared" si="24"/>
        <v>253</v>
      </c>
      <c r="I1556" s="10">
        <v>6</v>
      </c>
    </row>
    <row r="1557" spans="1:9" ht="15.75" thickBot="1" x14ac:dyDescent="0.3">
      <c r="A1557" s="1">
        <v>43800</v>
      </c>
      <c r="B1557" s="8" t="s">
        <v>6</v>
      </c>
      <c r="C1557" t="s">
        <v>7</v>
      </c>
      <c r="D1557" t="s">
        <v>400</v>
      </c>
      <c r="E1557" t="s">
        <v>13</v>
      </c>
      <c r="F1557" s="9">
        <v>1168</v>
      </c>
      <c r="G1557" s="6">
        <v>38000</v>
      </c>
      <c r="H1557" s="8">
        <f t="shared" si="24"/>
        <v>38000</v>
      </c>
      <c r="I1557" s="10">
        <v>2</v>
      </c>
    </row>
    <row r="1558" spans="1:9" ht="15.75" thickBot="1" x14ac:dyDescent="0.3">
      <c r="A1558" s="1">
        <v>43800</v>
      </c>
      <c r="B1558" s="8" t="s">
        <v>6</v>
      </c>
      <c r="C1558" t="s">
        <v>7</v>
      </c>
      <c r="D1558" t="s">
        <v>401</v>
      </c>
      <c r="E1558" t="s">
        <v>9</v>
      </c>
      <c r="F1558" s="9">
        <v>4612.59</v>
      </c>
      <c r="G1558" s="7">
        <v>20130.036</v>
      </c>
      <c r="H1558" s="8">
        <f t="shared" si="24"/>
        <v>20130.036</v>
      </c>
      <c r="I1558" s="10">
        <v>16</v>
      </c>
    </row>
    <row r="1559" spans="1:9" ht="15.75" thickBot="1" x14ac:dyDescent="0.3">
      <c r="A1559" s="1">
        <v>43466</v>
      </c>
      <c r="B1559" s="8" t="s">
        <v>6</v>
      </c>
      <c r="C1559" t="s">
        <v>7</v>
      </c>
      <c r="D1559" t="s">
        <v>401</v>
      </c>
      <c r="E1559" t="s">
        <v>15</v>
      </c>
      <c r="F1559" s="9">
        <v>1034332.8</v>
      </c>
      <c r="G1559" s="7">
        <v>8727617.6270000003</v>
      </c>
      <c r="H1559" s="8">
        <f t="shared" si="24"/>
        <v>8727617.6270000003</v>
      </c>
      <c r="I1559" s="10">
        <v>68</v>
      </c>
    </row>
    <row r="1560" spans="1:9" ht="15.75" thickBot="1" x14ac:dyDescent="0.3">
      <c r="A1560" s="1">
        <v>43466</v>
      </c>
      <c r="B1560" s="8" t="s">
        <v>6</v>
      </c>
      <c r="C1560" t="s">
        <v>7</v>
      </c>
      <c r="D1560" t="s">
        <v>401</v>
      </c>
      <c r="E1560" t="s">
        <v>10</v>
      </c>
      <c r="F1560" s="9">
        <v>871466.4</v>
      </c>
      <c r="G1560" s="6">
        <v>34877518.796999998</v>
      </c>
      <c r="H1560" s="8">
        <f t="shared" si="24"/>
        <v>34877.518796999997</v>
      </c>
      <c r="I1560" s="10">
        <v>3416</v>
      </c>
    </row>
    <row r="1561" spans="1:9" ht="15.75" thickBot="1" x14ac:dyDescent="0.3">
      <c r="A1561" s="1">
        <v>43466</v>
      </c>
      <c r="B1561" s="8" t="s">
        <v>6</v>
      </c>
      <c r="C1561" t="s">
        <v>7</v>
      </c>
      <c r="D1561" t="s">
        <v>401</v>
      </c>
      <c r="E1561" t="s">
        <v>11</v>
      </c>
      <c r="F1561" s="9">
        <v>83775.11</v>
      </c>
      <c r="G1561" s="7">
        <v>301845.27299999999</v>
      </c>
      <c r="H1561" s="8">
        <f t="shared" si="24"/>
        <v>301845.27299999999</v>
      </c>
      <c r="I1561" s="10">
        <v>168</v>
      </c>
    </row>
    <row r="1562" spans="1:9" ht="15.75" thickBot="1" x14ac:dyDescent="0.3">
      <c r="A1562" s="1">
        <v>43800</v>
      </c>
      <c r="B1562" s="8" t="s">
        <v>6</v>
      </c>
      <c r="C1562" t="s">
        <v>7</v>
      </c>
      <c r="D1562" t="s">
        <v>401</v>
      </c>
      <c r="E1562" t="s">
        <v>13</v>
      </c>
      <c r="F1562" s="9">
        <v>3509.13</v>
      </c>
      <c r="G1562" s="6">
        <v>152366.128</v>
      </c>
      <c r="H1562" s="8">
        <f t="shared" si="24"/>
        <v>152366.128</v>
      </c>
      <c r="I1562" s="10">
        <v>9</v>
      </c>
    </row>
    <row r="1563" spans="1:9" ht="15.75" thickBot="1" x14ac:dyDescent="0.3">
      <c r="A1563" s="1">
        <v>43800</v>
      </c>
      <c r="B1563" s="8" t="s">
        <v>6</v>
      </c>
      <c r="C1563" t="s">
        <v>7</v>
      </c>
      <c r="D1563" t="s">
        <v>402</v>
      </c>
      <c r="E1563" t="s">
        <v>9</v>
      </c>
      <c r="F1563" s="9">
        <v>582.80999999999995</v>
      </c>
      <c r="G1563" s="4">
        <v>8</v>
      </c>
      <c r="H1563" s="8">
        <f t="shared" si="24"/>
        <v>8</v>
      </c>
      <c r="I1563" s="10">
        <v>4</v>
      </c>
    </row>
    <row r="1564" spans="1:9" ht="15.75" thickBot="1" x14ac:dyDescent="0.3">
      <c r="A1564" s="1">
        <v>43800</v>
      </c>
      <c r="B1564" s="8" t="s">
        <v>6</v>
      </c>
      <c r="C1564" t="s">
        <v>7</v>
      </c>
      <c r="D1564" t="s">
        <v>402</v>
      </c>
      <c r="E1564" t="s">
        <v>15</v>
      </c>
      <c r="F1564" s="9">
        <v>788.17</v>
      </c>
      <c r="G1564" s="4">
        <v>2</v>
      </c>
      <c r="H1564" s="8">
        <f t="shared" si="24"/>
        <v>2</v>
      </c>
      <c r="I1564" s="10">
        <v>4</v>
      </c>
    </row>
    <row r="1565" spans="1:9" ht="15.75" thickBot="1" x14ac:dyDescent="0.3">
      <c r="A1565" s="1">
        <v>43800</v>
      </c>
      <c r="B1565" s="8" t="s">
        <v>6</v>
      </c>
      <c r="C1565" t="s">
        <v>7</v>
      </c>
      <c r="D1565" t="s">
        <v>402</v>
      </c>
      <c r="E1565" t="s">
        <v>10</v>
      </c>
      <c r="F1565" s="9">
        <v>102727.02</v>
      </c>
      <c r="G1565" s="6">
        <v>3356829.6510000001</v>
      </c>
      <c r="H1565" s="8">
        <f t="shared" si="24"/>
        <v>3356.829651</v>
      </c>
      <c r="I1565" s="10">
        <v>307</v>
      </c>
    </row>
    <row r="1566" spans="1:9" ht="15.75" thickBot="1" x14ac:dyDescent="0.3">
      <c r="A1566" s="1">
        <v>43466</v>
      </c>
      <c r="B1566" s="8" t="s">
        <v>6</v>
      </c>
      <c r="C1566" t="s">
        <v>7</v>
      </c>
      <c r="D1566" t="s">
        <v>402</v>
      </c>
      <c r="E1566" t="s">
        <v>11</v>
      </c>
      <c r="F1566" s="9">
        <v>9708.61</v>
      </c>
      <c r="G1566" s="7">
        <v>9306.7870000000003</v>
      </c>
      <c r="H1566" s="8">
        <f t="shared" si="24"/>
        <v>9306.7870000000003</v>
      </c>
      <c r="I1566" s="10">
        <v>15</v>
      </c>
    </row>
    <row r="1567" spans="1:9" ht="15.75" thickBot="1" x14ac:dyDescent="0.3">
      <c r="A1567" s="1">
        <v>43466</v>
      </c>
      <c r="B1567" s="8" t="s">
        <v>6</v>
      </c>
      <c r="C1567" t="s">
        <v>7</v>
      </c>
      <c r="D1567" t="s">
        <v>402</v>
      </c>
      <c r="E1567" t="s">
        <v>13</v>
      </c>
      <c r="F1567" s="9">
        <v>177.54</v>
      </c>
      <c r="G1567" s="6">
        <v>5000</v>
      </c>
      <c r="H1567" s="8">
        <f t="shared" si="24"/>
        <v>5000</v>
      </c>
      <c r="I1567" s="10">
        <v>1</v>
      </c>
    </row>
    <row r="1568" spans="1:9" ht="15.75" thickBot="1" x14ac:dyDescent="0.3">
      <c r="A1568" s="1">
        <v>43466</v>
      </c>
      <c r="B1568" s="8" t="s">
        <v>6</v>
      </c>
      <c r="C1568" t="s">
        <v>7</v>
      </c>
      <c r="D1568" t="s">
        <v>403</v>
      </c>
      <c r="E1568" t="s">
        <v>9</v>
      </c>
      <c r="F1568" s="9">
        <v>37338.699999999997</v>
      </c>
      <c r="G1568" s="4">
        <v>1067</v>
      </c>
      <c r="H1568" s="8">
        <f t="shared" si="24"/>
        <v>1067</v>
      </c>
      <c r="I1568" s="10">
        <v>3</v>
      </c>
    </row>
    <row r="1569" spans="1:9" ht="15.75" thickBot="1" x14ac:dyDescent="0.3">
      <c r="A1569" s="1">
        <v>43800</v>
      </c>
      <c r="B1569" s="8" t="s">
        <v>6</v>
      </c>
      <c r="C1569" t="s">
        <v>7</v>
      </c>
      <c r="D1569" t="s">
        <v>403</v>
      </c>
      <c r="E1569" t="s">
        <v>15</v>
      </c>
      <c r="F1569" s="9">
        <v>3147.42</v>
      </c>
      <c r="G1569" s="4">
        <v>71</v>
      </c>
      <c r="H1569" s="8">
        <f t="shared" si="24"/>
        <v>71</v>
      </c>
      <c r="I1569" s="10">
        <v>9</v>
      </c>
    </row>
    <row r="1570" spans="1:9" ht="15.75" thickBot="1" x14ac:dyDescent="0.3">
      <c r="A1570" s="1">
        <v>43800</v>
      </c>
      <c r="B1570" s="8" t="s">
        <v>6</v>
      </c>
      <c r="C1570" t="s">
        <v>7</v>
      </c>
      <c r="D1570" t="s">
        <v>403</v>
      </c>
      <c r="E1570" t="s">
        <v>10</v>
      </c>
      <c r="F1570" s="9">
        <v>220063.8</v>
      </c>
      <c r="G1570" s="6">
        <v>7909966.1490000002</v>
      </c>
      <c r="H1570" s="8">
        <f t="shared" si="24"/>
        <v>7909.9661489999999</v>
      </c>
      <c r="I1570" s="10">
        <v>713</v>
      </c>
    </row>
    <row r="1571" spans="1:9" ht="15.75" thickBot="1" x14ac:dyDescent="0.3">
      <c r="A1571" s="1">
        <v>43800</v>
      </c>
      <c r="B1571" s="8" t="s">
        <v>6</v>
      </c>
      <c r="C1571" t="s">
        <v>7</v>
      </c>
      <c r="D1571" t="s">
        <v>403</v>
      </c>
      <c r="E1571" t="s">
        <v>11</v>
      </c>
      <c r="F1571" s="9">
        <v>8155.92</v>
      </c>
      <c r="G1571" s="4">
        <v>253</v>
      </c>
      <c r="H1571" s="8">
        <f t="shared" si="24"/>
        <v>253</v>
      </c>
      <c r="I1571" s="10">
        <v>18</v>
      </c>
    </row>
    <row r="1572" spans="1:9" ht="15.75" thickBot="1" x14ac:dyDescent="0.3">
      <c r="A1572" s="1">
        <v>43800</v>
      </c>
      <c r="B1572" s="8" t="s">
        <v>6</v>
      </c>
      <c r="C1572" t="s">
        <v>7</v>
      </c>
      <c r="D1572" t="s">
        <v>403</v>
      </c>
      <c r="E1572" t="s">
        <v>13</v>
      </c>
      <c r="F1572" s="9">
        <v>548.34</v>
      </c>
      <c r="G1572" s="6">
        <v>13000</v>
      </c>
      <c r="H1572" s="8">
        <f t="shared" si="24"/>
        <v>13000</v>
      </c>
      <c r="I1572" s="10">
        <v>4</v>
      </c>
    </row>
    <row r="1573" spans="1:9" ht="15.75" thickBot="1" x14ac:dyDescent="0.3">
      <c r="A1573" s="1">
        <v>43466</v>
      </c>
      <c r="B1573" s="8" t="s">
        <v>6</v>
      </c>
      <c r="C1573" t="s">
        <v>7</v>
      </c>
      <c r="D1573" t="s">
        <v>404</v>
      </c>
      <c r="E1573" t="s">
        <v>10</v>
      </c>
      <c r="F1573" s="9">
        <v>24751.51</v>
      </c>
      <c r="G1573" s="6">
        <v>915766.87399999995</v>
      </c>
      <c r="H1573" s="8">
        <f t="shared" si="24"/>
        <v>915.76687399999992</v>
      </c>
      <c r="I1573" s="10">
        <v>65</v>
      </c>
    </row>
    <row r="1574" spans="1:9" ht="15.75" thickBot="1" x14ac:dyDescent="0.3">
      <c r="A1574" s="1">
        <v>43466</v>
      </c>
      <c r="B1574" s="8" t="s">
        <v>6</v>
      </c>
      <c r="C1574" t="s">
        <v>7</v>
      </c>
      <c r="D1574" t="s">
        <v>404</v>
      </c>
      <c r="E1574" t="s">
        <v>11</v>
      </c>
      <c r="F1574" s="9">
        <v>56</v>
      </c>
      <c r="G1574" s="4">
        <v>0</v>
      </c>
      <c r="H1574" s="8">
        <f t="shared" si="24"/>
        <v>0</v>
      </c>
      <c r="I1574" s="10">
        <v>1</v>
      </c>
    </row>
    <row r="1575" spans="1:9" ht="15.75" thickBot="1" x14ac:dyDescent="0.3">
      <c r="A1575" s="1">
        <v>43466</v>
      </c>
      <c r="B1575" s="8" t="s">
        <v>6</v>
      </c>
      <c r="C1575" t="s">
        <v>7</v>
      </c>
      <c r="D1575" t="s">
        <v>404</v>
      </c>
      <c r="E1575" t="s">
        <v>13</v>
      </c>
      <c r="F1575" s="9">
        <v>207.57</v>
      </c>
      <c r="G1575" s="6">
        <v>7000</v>
      </c>
      <c r="H1575" s="8">
        <f t="shared" si="24"/>
        <v>7000</v>
      </c>
      <c r="I1575" s="10">
        <v>1</v>
      </c>
    </row>
    <row r="1576" spans="1:9" ht="15.75" thickBot="1" x14ac:dyDescent="0.3">
      <c r="A1576" s="1">
        <v>43800</v>
      </c>
      <c r="B1576" s="8" t="s">
        <v>6</v>
      </c>
      <c r="C1576" t="s">
        <v>7</v>
      </c>
      <c r="D1576" t="s">
        <v>405</v>
      </c>
      <c r="E1576" t="s">
        <v>9</v>
      </c>
      <c r="F1576" s="9">
        <v>106327.67</v>
      </c>
      <c r="G1576" s="7">
        <v>472066.55800000002</v>
      </c>
      <c r="H1576" s="8">
        <f t="shared" si="24"/>
        <v>472066.55800000002</v>
      </c>
      <c r="I1576" s="10">
        <v>85</v>
      </c>
    </row>
    <row r="1577" spans="1:9" ht="15.75" thickBot="1" x14ac:dyDescent="0.3">
      <c r="A1577" s="1">
        <v>43800</v>
      </c>
      <c r="B1577" s="8" t="s">
        <v>6</v>
      </c>
      <c r="C1577" t="s">
        <v>7</v>
      </c>
      <c r="D1577" t="s">
        <v>405</v>
      </c>
      <c r="E1577" t="s">
        <v>15</v>
      </c>
      <c r="F1577" s="9">
        <v>77904.41</v>
      </c>
      <c r="G1577" s="4">
        <v>2718</v>
      </c>
      <c r="H1577" s="8">
        <f t="shared" si="24"/>
        <v>2718</v>
      </c>
      <c r="I1577" s="10">
        <v>7</v>
      </c>
    </row>
    <row r="1578" spans="1:9" ht="15.75" thickBot="1" x14ac:dyDescent="0.3">
      <c r="A1578" s="1">
        <v>43800</v>
      </c>
      <c r="B1578" s="8" t="s">
        <v>6</v>
      </c>
      <c r="C1578" t="s">
        <v>7</v>
      </c>
      <c r="D1578" t="s">
        <v>405</v>
      </c>
      <c r="E1578" t="s">
        <v>10</v>
      </c>
      <c r="F1578" s="9">
        <v>1484292.43</v>
      </c>
      <c r="G1578" s="7">
        <v>49515133.950999998</v>
      </c>
      <c r="H1578" s="8">
        <f t="shared" si="24"/>
        <v>49515.133950999996</v>
      </c>
      <c r="I1578" s="10">
        <v>4141</v>
      </c>
    </row>
    <row r="1579" spans="1:9" ht="15.75" thickBot="1" x14ac:dyDescent="0.3">
      <c r="A1579" s="1">
        <v>43800</v>
      </c>
      <c r="B1579" s="8" t="s">
        <v>6</v>
      </c>
      <c r="C1579" t="s">
        <v>7</v>
      </c>
      <c r="D1579" t="s">
        <v>405</v>
      </c>
      <c r="E1579" t="s">
        <v>17</v>
      </c>
      <c r="F1579" s="9">
        <v>161728.01</v>
      </c>
      <c r="G1579" s="4">
        <v>4845</v>
      </c>
      <c r="H1579" s="8">
        <f t="shared" si="24"/>
        <v>4845</v>
      </c>
      <c r="I1579" s="10">
        <v>46</v>
      </c>
    </row>
    <row r="1580" spans="1:9" ht="15.75" thickBot="1" x14ac:dyDescent="0.3">
      <c r="A1580" s="1">
        <v>43466</v>
      </c>
      <c r="B1580" s="8" t="s">
        <v>6</v>
      </c>
      <c r="C1580" t="s">
        <v>7</v>
      </c>
      <c r="D1580" t="s">
        <v>405</v>
      </c>
      <c r="E1580" t="s">
        <v>11</v>
      </c>
      <c r="F1580" s="9">
        <v>110283.62</v>
      </c>
      <c r="G1580" s="7">
        <v>36992.438999999998</v>
      </c>
      <c r="H1580" s="8">
        <f t="shared" si="24"/>
        <v>36992.438999999998</v>
      </c>
      <c r="I1580" s="10">
        <v>105</v>
      </c>
    </row>
    <row r="1581" spans="1:9" ht="15.75" thickBot="1" x14ac:dyDescent="0.3">
      <c r="A1581" s="1">
        <v>43466</v>
      </c>
      <c r="B1581" s="8" t="s">
        <v>6</v>
      </c>
      <c r="C1581" t="s">
        <v>7</v>
      </c>
      <c r="D1581" t="s">
        <v>405</v>
      </c>
      <c r="E1581" t="s">
        <v>13</v>
      </c>
      <c r="F1581" s="9">
        <v>9598.39</v>
      </c>
      <c r="G1581" s="7">
        <v>300784.11099999998</v>
      </c>
      <c r="H1581" s="8">
        <f t="shared" si="24"/>
        <v>300784.11099999998</v>
      </c>
      <c r="I1581" s="10">
        <v>27</v>
      </c>
    </row>
    <row r="1582" spans="1:9" ht="15.75" thickBot="1" x14ac:dyDescent="0.3">
      <c r="A1582" s="1">
        <v>43466</v>
      </c>
      <c r="B1582" s="8" t="s">
        <v>6</v>
      </c>
      <c r="C1582" t="s">
        <v>7</v>
      </c>
      <c r="D1582" t="s">
        <v>406</v>
      </c>
      <c r="E1582" t="s">
        <v>9</v>
      </c>
      <c r="F1582" s="9">
        <v>2780.37</v>
      </c>
      <c r="G1582" s="4">
        <v>92</v>
      </c>
      <c r="H1582" s="8">
        <f t="shared" si="24"/>
        <v>92</v>
      </c>
      <c r="I1582" s="10">
        <v>2</v>
      </c>
    </row>
    <row r="1583" spans="1:9" ht="15.75" thickBot="1" x14ac:dyDescent="0.3">
      <c r="A1583" s="1">
        <v>43800</v>
      </c>
      <c r="B1583" s="8" t="s">
        <v>6</v>
      </c>
      <c r="C1583" t="s">
        <v>7</v>
      </c>
      <c r="D1583" t="s">
        <v>406</v>
      </c>
      <c r="E1583" t="s">
        <v>15</v>
      </c>
      <c r="F1583" s="9">
        <v>8766.69</v>
      </c>
      <c r="G1583" s="4">
        <v>160</v>
      </c>
      <c r="H1583" s="8">
        <f t="shared" si="24"/>
        <v>160</v>
      </c>
      <c r="I1583" s="10">
        <v>19</v>
      </c>
    </row>
    <row r="1584" spans="1:9" ht="15.75" thickBot="1" x14ac:dyDescent="0.3">
      <c r="A1584" s="1">
        <v>43800</v>
      </c>
      <c r="B1584" s="8" t="s">
        <v>6</v>
      </c>
      <c r="C1584" t="s">
        <v>7</v>
      </c>
      <c r="D1584" t="s">
        <v>406</v>
      </c>
      <c r="E1584" t="s">
        <v>10</v>
      </c>
      <c r="F1584" s="9">
        <v>515682.33</v>
      </c>
      <c r="G1584" s="6">
        <v>30690831.664000001</v>
      </c>
      <c r="H1584" s="8">
        <f t="shared" si="24"/>
        <v>30690.831664000001</v>
      </c>
      <c r="I1584" s="10">
        <v>2792</v>
      </c>
    </row>
    <row r="1585" spans="1:9" ht="15.75" thickBot="1" x14ac:dyDescent="0.3">
      <c r="A1585" s="1">
        <v>43800</v>
      </c>
      <c r="B1585" s="8" t="s">
        <v>6</v>
      </c>
      <c r="C1585" t="s">
        <v>7</v>
      </c>
      <c r="D1585" t="s">
        <v>406</v>
      </c>
      <c r="E1585" t="s">
        <v>11</v>
      </c>
      <c r="F1585" s="9">
        <v>42234.79</v>
      </c>
      <c r="G1585" s="7">
        <v>14946.181</v>
      </c>
      <c r="H1585" s="8">
        <f t="shared" si="24"/>
        <v>14946.181</v>
      </c>
      <c r="I1585" s="10">
        <v>42</v>
      </c>
    </row>
    <row r="1586" spans="1:9" ht="15.75" thickBot="1" x14ac:dyDescent="0.3">
      <c r="A1586" s="1">
        <v>43800</v>
      </c>
      <c r="B1586" s="8" t="s">
        <v>6</v>
      </c>
      <c r="C1586" t="s">
        <v>7</v>
      </c>
      <c r="D1586" t="s">
        <v>406</v>
      </c>
      <c r="E1586" t="s">
        <v>13</v>
      </c>
      <c r="F1586" s="9">
        <v>8769.9699999999993</v>
      </c>
      <c r="G1586" s="6">
        <v>437669.46</v>
      </c>
      <c r="H1586" s="8">
        <f t="shared" si="24"/>
        <v>437669.46</v>
      </c>
      <c r="I1586" s="10">
        <v>12</v>
      </c>
    </row>
    <row r="1587" spans="1:9" ht="15.75" thickBot="1" x14ac:dyDescent="0.3">
      <c r="A1587" s="1">
        <v>43466</v>
      </c>
      <c r="B1587" s="8" t="s">
        <v>6</v>
      </c>
      <c r="C1587" t="s">
        <v>7</v>
      </c>
      <c r="D1587" t="s">
        <v>407</v>
      </c>
      <c r="E1587" t="s">
        <v>9</v>
      </c>
      <c r="F1587" s="9">
        <v>12475.22</v>
      </c>
      <c r="G1587" s="4">
        <v>442</v>
      </c>
      <c r="H1587" s="8">
        <f t="shared" si="24"/>
        <v>442</v>
      </c>
      <c r="I1587" s="10">
        <v>1</v>
      </c>
    </row>
    <row r="1588" spans="1:9" ht="15.75" thickBot="1" x14ac:dyDescent="0.3">
      <c r="A1588" s="1">
        <v>43466</v>
      </c>
      <c r="B1588" s="8" t="s">
        <v>6</v>
      </c>
      <c r="C1588" t="s">
        <v>7</v>
      </c>
      <c r="D1588" t="s">
        <v>407</v>
      </c>
      <c r="E1588" t="s">
        <v>15</v>
      </c>
      <c r="F1588" s="9">
        <v>1070.58</v>
      </c>
      <c r="G1588" s="4">
        <v>2</v>
      </c>
      <c r="H1588" s="8">
        <f t="shared" si="24"/>
        <v>2</v>
      </c>
      <c r="I1588" s="10">
        <v>2</v>
      </c>
    </row>
    <row r="1589" spans="1:9" ht="15.75" thickBot="1" x14ac:dyDescent="0.3">
      <c r="A1589" s="1">
        <v>43466</v>
      </c>
      <c r="B1589" s="8" t="s">
        <v>6</v>
      </c>
      <c r="C1589" t="s">
        <v>7</v>
      </c>
      <c r="D1589" t="s">
        <v>407</v>
      </c>
      <c r="E1589" t="s">
        <v>10</v>
      </c>
      <c r="F1589" s="9">
        <v>65767.33</v>
      </c>
      <c r="G1589" s="6">
        <v>59741843.473999999</v>
      </c>
      <c r="H1589" s="8">
        <f t="shared" si="24"/>
        <v>59741.843474000001</v>
      </c>
      <c r="I1589" s="10">
        <v>6295</v>
      </c>
    </row>
    <row r="1590" spans="1:9" ht="15.75" thickBot="1" x14ac:dyDescent="0.3">
      <c r="A1590" s="1">
        <v>43800</v>
      </c>
      <c r="B1590" s="8" t="s">
        <v>6</v>
      </c>
      <c r="C1590" t="s">
        <v>7</v>
      </c>
      <c r="D1590" t="s">
        <v>407</v>
      </c>
      <c r="E1590" t="s">
        <v>11</v>
      </c>
      <c r="F1590" s="9">
        <v>41111.31</v>
      </c>
      <c r="G1590" s="7">
        <v>17850.32</v>
      </c>
      <c r="H1590" s="8">
        <f t="shared" si="24"/>
        <v>17850.32</v>
      </c>
      <c r="I1590" s="10">
        <v>12</v>
      </c>
    </row>
    <row r="1591" spans="1:9" ht="15.75" thickBot="1" x14ac:dyDescent="0.3">
      <c r="A1591" s="1">
        <v>43800</v>
      </c>
      <c r="B1591" s="8" t="s">
        <v>6</v>
      </c>
      <c r="C1591" t="s">
        <v>7</v>
      </c>
      <c r="D1591" t="s">
        <v>407</v>
      </c>
      <c r="E1591" t="s">
        <v>13</v>
      </c>
      <c r="F1591" s="9">
        <v>499.05</v>
      </c>
      <c r="G1591" s="6">
        <v>91111.493000000002</v>
      </c>
      <c r="H1591" s="8">
        <f t="shared" si="24"/>
        <v>91111.493000000002</v>
      </c>
      <c r="I1591" s="10">
        <v>13</v>
      </c>
    </row>
    <row r="1592" spans="1:9" ht="15.75" thickBot="1" x14ac:dyDescent="0.3">
      <c r="A1592" s="1">
        <v>43800</v>
      </c>
      <c r="B1592" s="8" t="s">
        <v>6</v>
      </c>
      <c r="C1592" t="s">
        <v>7</v>
      </c>
      <c r="D1592" t="s">
        <v>408</v>
      </c>
      <c r="E1592" t="s">
        <v>9</v>
      </c>
      <c r="F1592" s="9">
        <v>59591.78</v>
      </c>
      <c r="G1592" s="4">
        <v>1770</v>
      </c>
      <c r="H1592" s="8">
        <f t="shared" si="24"/>
        <v>1770</v>
      </c>
      <c r="I1592" s="10">
        <v>13</v>
      </c>
    </row>
    <row r="1593" spans="1:9" ht="15.75" thickBot="1" x14ac:dyDescent="0.3">
      <c r="A1593" s="1">
        <v>43800</v>
      </c>
      <c r="B1593" s="8" t="s">
        <v>6</v>
      </c>
      <c r="C1593" t="s">
        <v>7</v>
      </c>
      <c r="D1593" t="s">
        <v>408</v>
      </c>
      <c r="E1593" t="s">
        <v>15</v>
      </c>
      <c r="F1593" s="9">
        <v>59438.51</v>
      </c>
      <c r="G1593" s="7">
        <v>179173.99</v>
      </c>
      <c r="H1593" s="8">
        <f t="shared" si="24"/>
        <v>179173.99</v>
      </c>
      <c r="I1593" s="10">
        <v>21</v>
      </c>
    </row>
    <row r="1594" spans="1:9" ht="15.75" thickBot="1" x14ac:dyDescent="0.3">
      <c r="A1594" s="1">
        <v>43466</v>
      </c>
      <c r="B1594" s="8" t="s">
        <v>6</v>
      </c>
      <c r="C1594" t="s">
        <v>7</v>
      </c>
      <c r="D1594" t="s">
        <v>408</v>
      </c>
      <c r="E1594" t="s">
        <v>10</v>
      </c>
      <c r="F1594" s="9">
        <v>1478610.79</v>
      </c>
      <c r="G1594" s="6">
        <v>69317450.554000005</v>
      </c>
      <c r="H1594" s="8">
        <f t="shared" si="24"/>
        <v>69317.45055400001</v>
      </c>
      <c r="I1594" s="10">
        <v>7012</v>
      </c>
    </row>
    <row r="1595" spans="1:9" ht="15.75" thickBot="1" x14ac:dyDescent="0.3">
      <c r="A1595" s="1">
        <v>43466</v>
      </c>
      <c r="B1595" s="8" t="s">
        <v>6</v>
      </c>
      <c r="C1595" t="s">
        <v>7</v>
      </c>
      <c r="D1595" t="s">
        <v>408</v>
      </c>
      <c r="E1595" t="s">
        <v>11</v>
      </c>
      <c r="F1595" s="9">
        <v>547622.07999999996</v>
      </c>
      <c r="G1595" s="7">
        <v>47755.260999999999</v>
      </c>
      <c r="H1595" s="8">
        <f t="shared" si="24"/>
        <v>47755.260999999999</v>
      </c>
      <c r="I1595" s="10">
        <v>61</v>
      </c>
    </row>
    <row r="1596" spans="1:9" ht="15.75" thickBot="1" x14ac:dyDescent="0.3">
      <c r="A1596" s="1">
        <v>43466</v>
      </c>
      <c r="B1596" s="8" t="s">
        <v>6</v>
      </c>
      <c r="C1596" t="s">
        <v>7</v>
      </c>
      <c r="D1596" t="s">
        <v>408</v>
      </c>
      <c r="E1596" t="s">
        <v>13</v>
      </c>
      <c r="F1596" s="9">
        <v>11251.33</v>
      </c>
      <c r="G1596" s="6">
        <v>493468.33500000002</v>
      </c>
      <c r="H1596" s="8">
        <f t="shared" si="24"/>
        <v>493468.33500000002</v>
      </c>
      <c r="I1596" s="10">
        <v>65</v>
      </c>
    </row>
    <row r="1597" spans="1:9" ht="15.75" thickBot="1" x14ac:dyDescent="0.3">
      <c r="A1597" s="1">
        <v>43800</v>
      </c>
      <c r="B1597" s="8" t="s">
        <v>6</v>
      </c>
      <c r="C1597" t="s">
        <v>7</v>
      </c>
      <c r="D1597" t="s">
        <v>409</v>
      </c>
      <c r="E1597" t="s">
        <v>9</v>
      </c>
      <c r="F1597" s="9">
        <v>7459.5</v>
      </c>
      <c r="G1597" s="4">
        <v>250</v>
      </c>
      <c r="H1597" s="8">
        <f t="shared" si="24"/>
        <v>250</v>
      </c>
      <c r="I1597" s="10">
        <v>7</v>
      </c>
    </row>
    <row r="1598" spans="1:9" ht="15.75" thickBot="1" x14ac:dyDescent="0.3">
      <c r="A1598" s="1">
        <v>43800</v>
      </c>
      <c r="B1598" s="8" t="s">
        <v>6</v>
      </c>
      <c r="C1598" t="s">
        <v>7</v>
      </c>
      <c r="D1598" t="s">
        <v>409</v>
      </c>
      <c r="E1598" t="s">
        <v>15</v>
      </c>
      <c r="F1598" s="9">
        <v>382425.55</v>
      </c>
      <c r="G1598" s="7">
        <v>7529650.8200000003</v>
      </c>
      <c r="H1598" s="8">
        <f t="shared" si="24"/>
        <v>7529650.8200000003</v>
      </c>
      <c r="I1598" s="10">
        <v>116</v>
      </c>
    </row>
    <row r="1599" spans="1:9" ht="15.75" thickBot="1" x14ac:dyDescent="0.3">
      <c r="A1599" s="1">
        <v>43800</v>
      </c>
      <c r="B1599" s="8" t="s">
        <v>6</v>
      </c>
      <c r="C1599" t="s">
        <v>7</v>
      </c>
      <c r="D1599" t="s">
        <v>409</v>
      </c>
      <c r="E1599" t="s">
        <v>10</v>
      </c>
      <c r="F1599" s="9">
        <v>226379.43</v>
      </c>
      <c r="G1599" s="6">
        <v>9591416.8019999992</v>
      </c>
      <c r="H1599" s="8">
        <f t="shared" si="24"/>
        <v>9591.4168019999997</v>
      </c>
      <c r="I1599" s="10">
        <v>990</v>
      </c>
    </row>
    <row r="1600" spans="1:9" ht="15.75" thickBot="1" x14ac:dyDescent="0.3">
      <c r="A1600" s="1">
        <v>43800</v>
      </c>
      <c r="B1600" s="8" t="s">
        <v>6</v>
      </c>
      <c r="C1600" t="s">
        <v>7</v>
      </c>
      <c r="D1600" t="s">
        <v>409</v>
      </c>
      <c r="E1600" t="s">
        <v>11</v>
      </c>
      <c r="F1600" s="9">
        <v>-1281.52</v>
      </c>
      <c r="G1600" s="4">
        <v>-286</v>
      </c>
      <c r="H1600" s="8">
        <f t="shared" si="24"/>
        <v>-286</v>
      </c>
      <c r="I1600" s="10">
        <v>18</v>
      </c>
    </row>
    <row r="1601" spans="1:9" ht="15.75" thickBot="1" x14ac:dyDescent="0.3">
      <c r="A1601" s="1">
        <v>43466</v>
      </c>
      <c r="B1601" s="8" t="s">
        <v>6</v>
      </c>
      <c r="C1601" t="s">
        <v>7</v>
      </c>
      <c r="D1601" t="s">
        <v>409</v>
      </c>
      <c r="E1601" t="s">
        <v>13</v>
      </c>
      <c r="F1601" s="9">
        <v>447.17</v>
      </c>
      <c r="G1601" s="6">
        <v>21867</v>
      </c>
      <c r="H1601" s="8">
        <f t="shared" si="24"/>
        <v>21867</v>
      </c>
      <c r="I1601" s="10">
        <v>3</v>
      </c>
    </row>
    <row r="1602" spans="1:9" ht="15.75" thickBot="1" x14ac:dyDescent="0.3">
      <c r="A1602" s="1">
        <v>43466</v>
      </c>
      <c r="B1602" s="8" t="s">
        <v>6</v>
      </c>
      <c r="C1602" t="s">
        <v>7</v>
      </c>
      <c r="D1602" t="s">
        <v>410</v>
      </c>
      <c r="E1602" t="s">
        <v>9</v>
      </c>
      <c r="F1602" s="9">
        <v>575.08000000000004</v>
      </c>
      <c r="G1602" s="4">
        <v>19</v>
      </c>
      <c r="H1602" s="8">
        <f t="shared" ref="H1602:H1665" si="25">IF(ISNUMBER(SEARCH("Domestic customer", E1602)),G1602/1000,G1602)</f>
        <v>19</v>
      </c>
      <c r="I1602" s="10">
        <v>1</v>
      </c>
    </row>
    <row r="1603" spans="1:9" ht="15.75" thickBot="1" x14ac:dyDescent="0.3">
      <c r="A1603" s="1">
        <v>43466</v>
      </c>
      <c r="B1603" s="8" t="s">
        <v>6</v>
      </c>
      <c r="C1603" t="s">
        <v>7</v>
      </c>
      <c r="D1603" t="s">
        <v>410</v>
      </c>
      <c r="E1603" t="s">
        <v>15</v>
      </c>
      <c r="F1603" s="9">
        <v>400</v>
      </c>
      <c r="G1603" s="4">
        <v>0</v>
      </c>
      <c r="H1603" s="8">
        <f t="shared" si="25"/>
        <v>0</v>
      </c>
      <c r="I1603" s="10">
        <v>1</v>
      </c>
    </row>
    <row r="1604" spans="1:9" ht="15.75" thickBot="1" x14ac:dyDescent="0.3">
      <c r="A1604" s="1">
        <v>43800</v>
      </c>
      <c r="B1604" s="8" t="s">
        <v>6</v>
      </c>
      <c r="C1604" t="s">
        <v>7</v>
      </c>
      <c r="D1604" t="s">
        <v>410</v>
      </c>
      <c r="E1604" t="s">
        <v>10</v>
      </c>
      <c r="F1604" s="9">
        <v>8015.97</v>
      </c>
      <c r="G1604" s="6">
        <v>275000</v>
      </c>
      <c r="H1604" s="8">
        <f t="shared" si="25"/>
        <v>275</v>
      </c>
      <c r="I1604" s="10">
        <v>25</v>
      </c>
    </row>
    <row r="1605" spans="1:9" ht="15.75" thickBot="1" x14ac:dyDescent="0.3">
      <c r="A1605" s="1">
        <v>43800</v>
      </c>
      <c r="B1605" s="8" t="s">
        <v>6</v>
      </c>
      <c r="C1605" t="s">
        <v>7</v>
      </c>
      <c r="D1605" t="s">
        <v>411</v>
      </c>
      <c r="E1605" t="s">
        <v>10</v>
      </c>
      <c r="F1605" s="9">
        <v>8613.18</v>
      </c>
      <c r="G1605" s="6">
        <v>398000</v>
      </c>
      <c r="H1605" s="8">
        <f t="shared" si="25"/>
        <v>398</v>
      </c>
      <c r="I1605" s="10">
        <v>4</v>
      </c>
    </row>
    <row r="1606" spans="1:9" ht="15.75" thickBot="1" x14ac:dyDescent="0.3">
      <c r="A1606" s="1">
        <v>43800</v>
      </c>
      <c r="B1606" s="8" t="s">
        <v>6</v>
      </c>
      <c r="C1606" t="s">
        <v>7</v>
      </c>
      <c r="D1606" t="s">
        <v>412</v>
      </c>
      <c r="E1606" t="s">
        <v>15</v>
      </c>
      <c r="F1606" s="9">
        <v>7395.02</v>
      </c>
      <c r="G1606" s="7">
        <v>3836.59</v>
      </c>
      <c r="H1606" s="8">
        <f t="shared" si="25"/>
        <v>3836.59</v>
      </c>
      <c r="I1606" s="10">
        <v>7</v>
      </c>
    </row>
    <row r="1607" spans="1:9" ht="15.75" thickBot="1" x14ac:dyDescent="0.3">
      <c r="A1607" s="1">
        <v>43800</v>
      </c>
      <c r="B1607" s="8" t="s">
        <v>6</v>
      </c>
      <c r="C1607" t="s">
        <v>7</v>
      </c>
      <c r="D1607" t="s">
        <v>412</v>
      </c>
      <c r="E1607" t="s">
        <v>10</v>
      </c>
      <c r="F1607" s="9">
        <v>166790.79999999999</v>
      </c>
      <c r="G1607" s="6">
        <v>4516644.97</v>
      </c>
      <c r="H1607" s="8">
        <f t="shared" si="25"/>
        <v>4516.6449699999994</v>
      </c>
      <c r="I1607" s="10">
        <v>312</v>
      </c>
    </row>
    <row r="1608" spans="1:9" ht="15.75" thickBot="1" x14ac:dyDescent="0.3">
      <c r="A1608" s="1">
        <v>43466</v>
      </c>
      <c r="B1608" s="8" t="s">
        <v>6</v>
      </c>
      <c r="C1608" t="s">
        <v>7</v>
      </c>
      <c r="D1608" t="s">
        <v>412</v>
      </c>
      <c r="E1608" t="s">
        <v>11</v>
      </c>
      <c r="F1608" s="9">
        <v>1007.67</v>
      </c>
      <c r="G1608" s="4">
        <v>3</v>
      </c>
      <c r="H1608" s="8">
        <f t="shared" si="25"/>
        <v>3</v>
      </c>
      <c r="I1608" s="10">
        <v>5</v>
      </c>
    </row>
    <row r="1609" spans="1:9" ht="15.75" thickBot="1" x14ac:dyDescent="0.3">
      <c r="A1609" s="1">
        <v>43466</v>
      </c>
      <c r="B1609" s="8" t="s">
        <v>6</v>
      </c>
      <c r="C1609" t="s">
        <v>7</v>
      </c>
      <c r="D1609" t="s">
        <v>412</v>
      </c>
      <c r="E1609" t="s">
        <v>13</v>
      </c>
      <c r="F1609" s="9">
        <v>2974.46</v>
      </c>
      <c r="G1609" s="6">
        <v>88160</v>
      </c>
      <c r="H1609" s="8">
        <f t="shared" si="25"/>
        <v>88160</v>
      </c>
      <c r="I1609" s="10">
        <v>4</v>
      </c>
    </row>
    <row r="1610" spans="1:9" ht="15.75" thickBot="1" x14ac:dyDescent="0.3">
      <c r="A1610" s="1">
        <v>43466</v>
      </c>
      <c r="B1610" s="8" t="s">
        <v>6</v>
      </c>
      <c r="C1610" t="s">
        <v>7</v>
      </c>
      <c r="D1610" t="s">
        <v>413</v>
      </c>
      <c r="E1610" t="s">
        <v>9</v>
      </c>
      <c r="F1610" s="9">
        <v>22416.79</v>
      </c>
      <c r="G1610" s="4">
        <v>656</v>
      </c>
      <c r="H1610" s="8">
        <f t="shared" si="25"/>
        <v>656</v>
      </c>
      <c r="I1610" s="10">
        <v>9</v>
      </c>
    </row>
    <row r="1611" spans="1:9" ht="15.75" thickBot="1" x14ac:dyDescent="0.3">
      <c r="A1611" s="1">
        <v>43800</v>
      </c>
      <c r="B1611" s="8" t="s">
        <v>6</v>
      </c>
      <c r="C1611" t="s">
        <v>7</v>
      </c>
      <c r="D1611" t="s">
        <v>413</v>
      </c>
      <c r="E1611" t="s">
        <v>15</v>
      </c>
      <c r="F1611" s="9">
        <v>8686.91</v>
      </c>
      <c r="G1611" s="4">
        <v>91</v>
      </c>
      <c r="H1611" s="8">
        <f t="shared" si="25"/>
        <v>91</v>
      </c>
      <c r="I1611" s="10">
        <v>12</v>
      </c>
    </row>
    <row r="1612" spans="1:9" ht="15.75" thickBot="1" x14ac:dyDescent="0.3">
      <c r="A1612" s="1">
        <v>43800</v>
      </c>
      <c r="B1612" s="8" t="s">
        <v>6</v>
      </c>
      <c r="C1612" t="s">
        <v>7</v>
      </c>
      <c r="D1612" t="s">
        <v>413</v>
      </c>
      <c r="E1612" t="s">
        <v>10</v>
      </c>
      <c r="F1612" s="9">
        <v>450046.12</v>
      </c>
      <c r="G1612" s="6">
        <v>15609002.006999999</v>
      </c>
      <c r="H1612" s="8">
        <f t="shared" si="25"/>
        <v>15609.002006999999</v>
      </c>
      <c r="I1612" s="10">
        <v>859</v>
      </c>
    </row>
    <row r="1613" spans="1:9" ht="15.75" thickBot="1" x14ac:dyDescent="0.3">
      <c r="A1613" s="1">
        <v>43800</v>
      </c>
      <c r="B1613" s="8" t="s">
        <v>6</v>
      </c>
      <c r="C1613" t="s">
        <v>7</v>
      </c>
      <c r="D1613" t="s">
        <v>413</v>
      </c>
      <c r="E1613" t="s">
        <v>11</v>
      </c>
      <c r="F1613" s="9">
        <v>5775.29</v>
      </c>
      <c r="G1613" s="7">
        <v>39011</v>
      </c>
      <c r="H1613" s="8">
        <f t="shared" si="25"/>
        <v>39011</v>
      </c>
      <c r="I1613" s="10">
        <v>17</v>
      </c>
    </row>
    <row r="1614" spans="1:9" ht="15.75" thickBot="1" x14ac:dyDescent="0.3">
      <c r="A1614" s="1">
        <v>43800</v>
      </c>
      <c r="B1614" s="8" t="s">
        <v>6</v>
      </c>
      <c r="C1614" t="s">
        <v>7</v>
      </c>
      <c r="D1614" t="s">
        <v>413</v>
      </c>
      <c r="E1614" t="s">
        <v>13</v>
      </c>
      <c r="F1614" s="9">
        <v>2323.85</v>
      </c>
      <c r="G1614" s="6">
        <v>72000</v>
      </c>
      <c r="H1614" s="8">
        <f t="shared" si="25"/>
        <v>72000</v>
      </c>
      <c r="I1614" s="10">
        <v>5</v>
      </c>
    </row>
    <row r="1615" spans="1:9" ht="15.75" thickBot="1" x14ac:dyDescent="0.3">
      <c r="A1615" s="1">
        <v>43466</v>
      </c>
      <c r="B1615" s="8" t="s">
        <v>6</v>
      </c>
      <c r="C1615" t="s">
        <v>7</v>
      </c>
      <c r="D1615" t="s">
        <v>414</v>
      </c>
      <c r="E1615" t="s">
        <v>10</v>
      </c>
      <c r="F1615" s="9">
        <v>17488.38</v>
      </c>
      <c r="G1615" s="6">
        <v>552368.9</v>
      </c>
      <c r="H1615" s="8">
        <f t="shared" si="25"/>
        <v>552.36890000000005</v>
      </c>
      <c r="I1615" s="10">
        <v>57</v>
      </c>
    </row>
    <row r="1616" spans="1:9" ht="15.75" thickBot="1" x14ac:dyDescent="0.3">
      <c r="A1616" s="1">
        <v>43466</v>
      </c>
      <c r="B1616" s="8" t="s">
        <v>6</v>
      </c>
      <c r="C1616" t="s">
        <v>7</v>
      </c>
      <c r="D1616" t="s">
        <v>414</v>
      </c>
      <c r="E1616" t="s">
        <v>11</v>
      </c>
      <c r="F1616" s="9">
        <v>100</v>
      </c>
      <c r="G1616" s="4">
        <v>0</v>
      </c>
      <c r="H1616" s="8">
        <f t="shared" si="25"/>
        <v>0</v>
      </c>
      <c r="I1616" s="10">
        <v>1</v>
      </c>
    </row>
    <row r="1617" spans="1:9" ht="15.75" thickBot="1" x14ac:dyDescent="0.3">
      <c r="A1617" s="1">
        <v>43466</v>
      </c>
      <c r="B1617" s="8" t="s">
        <v>6</v>
      </c>
      <c r="C1617" t="s">
        <v>7</v>
      </c>
      <c r="D1617" t="s">
        <v>415</v>
      </c>
      <c r="E1617" t="s">
        <v>9</v>
      </c>
      <c r="F1617" s="9">
        <v>34592.11</v>
      </c>
      <c r="G1617" s="4">
        <v>1098</v>
      </c>
      <c r="H1617" s="8">
        <f t="shared" si="25"/>
        <v>1098</v>
      </c>
      <c r="I1617" s="10">
        <v>21</v>
      </c>
    </row>
    <row r="1618" spans="1:9" ht="15.75" thickBot="1" x14ac:dyDescent="0.3">
      <c r="A1618" s="1">
        <v>43800</v>
      </c>
      <c r="B1618" s="8" t="s">
        <v>6</v>
      </c>
      <c r="C1618" t="s">
        <v>7</v>
      </c>
      <c r="D1618" t="s">
        <v>415</v>
      </c>
      <c r="E1618" t="s">
        <v>15</v>
      </c>
      <c r="F1618" s="9">
        <v>1567595.98</v>
      </c>
      <c r="G1618" s="7">
        <v>21251510.046</v>
      </c>
      <c r="H1618" s="8">
        <f t="shared" si="25"/>
        <v>21251510.046</v>
      </c>
      <c r="I1618" s="10">
        <v>272</v>
      </c>
    </row>
    <row r="1619" spans="1:9" ht="15.75" thickBot="1" x14ac:dyDescent="0.3">
      <c r="A1619" s="1">
        <v>43800</v>
      </c>
      <c r="B1619" s="8" t="s">
        <v>6</v>
      </c>
      <c r="C1619" t="s">
        <v>7</v>
      </c>
      <c r="D1619" t="s">
        <v>415</v>
      </c>
      <c r="E1619" t="s">
        <v>10</v>
      </c>
      <c r="F1619" s="9">
        <v>1673513.05</v>
      </c>
      <c r="G1619" s="7">
        <v>65499219.859999999</v>
      </c>
      <c r="H1619" s="8">
        <f t="shared" si="25"/>
        <v>65499.219859999997</v>
      </c>
      <c r="I1619" s="10">
        <v>5123</v>
      </c>
    </row>
    <row r="1620" spans="1:9" ht="15.75" thickBot="1" x14ac:dyDescent="0.3">
      <c r="A1620" s="1">
        <v>43800</v>
      </c>
      <c r="B1620" s="8" t="s">
        <v>6</v>
      </c>
      <c r="C1620" t="s">
        <v>7</v>
      </c>
      <c r="D1620" t="s">
        <v>415</v>
      </c>
      <c r="E1620" t="s">
        <v>11</v>
      </c>
      <c r="F1620" s="9">
        <v>71166.14</v>
      </c>
      <c r="G1620" s="7">
        <v>574679.66299999994</v>
      </c>
      <c r="H1620" s="8">
        <f t="shared" si="25"/>
        <v>574679.66299999994</v>
      </c>
      <c r="I1620" s="10">
        <v>44</v>
      </c>
    </row>
    <row r="1621" spans="1:9" ht="15.75" thickBot="1" x14ac:dyDescent="0.3">
      <c r="A1621" s="1">
        <v>43800</v>
      </c>
      <c r="B1621" s="8" t="s">
        <v>6</v>
      </c>
      <c r="C1621" t="s">
        <v>7</v>
      </c>
      <c r="D1621" t="s">
        <v>415</v>
      </c>
      <c r="E1621" t="s">
        <v>13</v>
      </c>
      <c r="F1621" s="9">
        <v>26962.48</v>
      </c>
      <c r="G1621" s="6">
        <v>662170.71499999997</v>
      </c>
      <c r="H1621" s="8">
        <f t="shared" si="25"/>
        <v>662170.71499999997</v>
      </c>
      <c r="I1621" s="10">
        <v>38</v>
      </c>
    </row>
    <row r="1622" spans="1:9" ht="15.75" thickBot="1" x14ac:dyDescent="0.3">
      <c r="A1622" s="1">
        <v>43466</v>
      </c>
      <c r="B1622" s="8" t="s">
        <v>6</v>
      </c>
      <c r="C1622" t="s">
        <v>7</v>
      </c>
      <c r="D1622" t="s">
        <v>416</v>
      </c>
      <c r="E1622" t="s">
        <v>9</v>
      </c>
      <c r="F1622" s="9">
        <v>15757.72</v>
      </c>
      <c r="G1622" s="4">
        <v>421</v>
      </c>
      <c r="H1622" s="8">
        <f t="shared" si="25"/>
        <v>421</v>
      </c>
      <c r="I1622" s="10">
        <v>3</v>
      </c>
    </row>
    <row r="1623" spans="1:9" ht="15.75" thickBot="1" x14ac:dyDescent="0.3">
      <c r="A1623" s="1">
        <v>43466</v>
      </c>
      <c r="B1623" s="8" t="s">
        <v>6</v>
      </c>
      <c r="C1623" t="s">
        <v>7</v>
      </c>
      <c r="D1623" t="s">
        <v>416</v>
      </c>
      <c r="E1623" t="s">
        <v>10</v>
      </c>
      <c r="F1623" s="9">
        <v>26621.86</v>
      </c>
      <c r="G1623" s="6">
        <v>1083546</v>
      </c>
      <c r="H1623" s="8">
        <f t="shared" si="25"/>
        <v>1083.546</v>
      </c>
      <c r="I1623" s="10">
        <v>62</v>
      </c>
    </row>
    <row r="1624" spans="1:9" ht="15.75" thickBot="1" x14ac:dyDescent="0.3">
      <c r="A1624" s="1">
        <v>43466</v>
      </c>
      <c r="B1624" s="8" t="s">
        <v>6</v>
      </c>
      <c r="C1624" t="s">
        <v>7</v>
      </c>
      <c r="D1624" t="s">
        <v>416</v>
      </c>
      <c r="E1624" t="s">
        <v>11</v>
      </c>
      <c r="F1624" s="9">
        <v>536.79999999999995</v>
      </c>
      <c r="G1624" s="6">
        <v>19000</v>
      </c>
      <c r="H1624" s="8">
        <f t="shared" si="25"/>
        <v>19000</v>
      </c>
      <c r="I1624" s="10">
        <v>2</v>
      </c>
    </row>
    <row r="1625" spans="1:9" ht="15.75" thickBot="1" x14ac:dyDescent="0.3">
      <c r="A1625" s="1">
        <v>43800</v>
      </c>
      <c r="B1625" s="8" t="s">
        <v>6</v>
      </c>
      <c r="C1625" t="s">
        <v>7</v>
      </c>
      <c r="D1625" t="s">
        <v>416</v>
      </c>
      <c r="E1625" t="s">
        <v>13</v>
      </c>
      <c r="F1625" s="9">
        <v>2500</v>
      </c>
      <c r="G1625" s="4">
        <v>0</v>
      </c>
      <c r="H1625" s="8">
        <f t="shared" si="25"/>
        <v>0</v>
      </c>
      <c r="I1625" s="10">
        <v>1</v>
      </c>
    </row>
    <row r="1626" spans="1:9" ht="15.75" thickBot="1" x14ac:dyDescent="0.3">
      <c r="A1626" s="1">
        <v>43800</v>
      </c>
      <c r="B1626" s="8" t="s">
        <v>6</v>
      </c>
      <c r="C1626" t="s">
        <v>7</v>
      </c>
      <c r="D1626" t="s">
        <v>417</v>
      </c>
      <c r="E1626" t="s">
        <v>9</v>
      </c>
      <c r="F1626" s="9">
        <v>6279.87</v>
      </c>
      <c r="G1626" s="4">
        <v>205</v>
      </c>
      <c r="H1626" s="8">
        <f t="shared" si="25"/>
        <v>205</v>
      </c>
      <c r="I1626" s="10">
        <v>4</v>
      </c>
    </row>
    <row r="1627" spans="1:9" ht="15.75" thickBot="1" x14ac:dyDescent="0.3">
      <c r="A1627" s="1">
        <v>43800</v>
      </c>
      <c r="B1627" s="8" t="s">
        <v>6</v>
      </c>
      <c r="C1627" t="s">
        <v>7</v>
      </c>
      <c r="D1627" t="s">
        <v>417</v>
      </c>
      <c r="E1627" t="s">
        <v>15</v>
      </c>
      <c r="F1627" s="9">
        <v>717.27</v>
      </c>
      <c r="G1627" s="4">
        <v>23</v>
      </c>
      <c r="H1627" s="8">
        <f t="shared" si="25"/>
        <v>23</v>
      </c>
      <c r="I1627" s="10">
        <v>1</v>
      </c>
    </row>
    <row r="1628" spans="1:9" ht="15.75" thickBot="1" x14ac:dyDescent="0.3">
      <c r="A1628" s="1">
        <v>43800</v>
      </c>
      <c r="B1628" s="8" t="s">
        <v>6</v>
      </c>
      <c r="C1628" t="s">
        <v>7</v>
      </c>
      <c r="D1628" t="s">
        <v>417</v>
      </c>
      <c r="E1628" t="s">
        <v>10</v>
      </c>
      <c r="F1628" s="9">
        <v>13220.94</v>
      </c>
      <c r="G1628" s="6">
        <v>509573.94300000003</v>
      </c>
      <c r="H1628" s="8">
        <f t="shared" si="25"/>
        <v>509.57394300000004</v>
      </c>
      <c r="I1628" s="10">
        <v>47</v>
      </c>
    </row>
    <row r="1629" spans="1:9" ht="15.75" thickBot="1" x14ac:dyDescent="0.3">
      <c r="A1629" s="1">
        <v>43466</v>
      </c>
      <c r="B1629" s="8" t="s">
        <v>6</v>
      </c>
      <c r="C1629" t="s">
        <v>7</v>
      </c>
      <c r="D1629" t="s">
        <v>417</v>
      </c>
      <c r="E1629" t="s">
        <v>11</v>
      </c>
      <c r="F1629" s="9">
        <v>4699.6499999999996</v>
      </c>
      <c r="G1629" s="7">
        <v>77022.009999999995</v>
      </c>
      <c r="H1629" s="8">
        <f t="shared" si="25"/>
        <v>77022.009999999995</v>
      </c>
      <c r="I1629" s="10">
        <v>3</v>
      </c>
    </row>
    <row r="1630" spans="1:9" ht="15.75" thickBot="1" x14ac:dyDescent="0.3">
      <c r="A1630" s="1">
        <v>43466</v>
      </c>
      <c r="B1630" s="8" t="s">
        <v>6</v>
      </c>
      <c r="C1630" t="s">
        <v>7</v>
      </c>
      <c r="D1630" t="s">
        <v>418</v>
      </c>
      <c r="E1630" t="s">
        <v>10</v>
      </c>
      <c r="F1630" s="9">
        <v>430.15</v>
      </c>
      <c r="G1630" s="6">
        <v>1657607.885</v>
      </c>
      <c r="H1630" s="8">
        <f t="shared" si="25"/>
        <v>1657.6078849999999</v>
      </c>
      <c r="I1630" s="10">
        <v>198</v>
      </c>
    </row>
    <row r="1631" spans="1:9" ht="15.75" thickBot="1" x14ac:dyDescent="0.3">
      <c r="A1631" s="1">
        <v>43466</v>
      </c>
      <c r="B1631" s="8" t="s">
        <v>6</v>
      </c>
      <c r="C1631" t="s">
        <v>7</v>
      </c>
      <c r="D1631" t="s">
        <v>418</v>
      </c>
      <c r="E1631" t="s">
        <v>13</v>
      </c>
      <c r="F1631" s="9">
        <v>0</v>
      </c>
      <c r="G1631" s="6">
        <v>18000</v>
      </c>
      <c r="H1631" s="8">
        <f t="shared" si="25"/>
        <v>18000</v>
      </c>
      <c r="I1631" s="10">
        <v>2</v>
      </c>
    </row>
    <row r="1632" spans="1:9" ht="15.75" thickBot="1" x14ac:dyDescent="0.3">
      <c r="A1632" s="1">
        <v>43800</v>
      </c>
      <c r="B1632" s="8" t="s">
        <v>6</v>
      </c>
      <c r="C1632" t="s">
        <v>7</v>
      </c>
      <c r="D1632" t="s">
        <v>419</v>
      </c>
      <c r="E1632" t="s">
        <v>9</v>
      </c>
      <c r="F1632" s="9">
        <v>2914.8</v>
      </c>
      <c r="G1632" s="4">
        <v>90</v>
      </c>
      <c r="H1632" s="8">
        <f t="shared" si="25"/>
        <v>90</v>
      </c>
      <c r="I1632" s="10">
        <v>2</v>
      </c>
    </row>
    <row r="1633" spans="1:9" ht="15.75" thickBot="1" x14ac:dyDescent="0.3">
      <c r="A1633" s="1">
        <v>43800</v>
      </c>
      <c r="B1633" s="8" t="s">
        <v>6</v>
      </c>
      <c r="C1633" t="s">
        <v>7</v>
      </c>
      <c r="D1633" t="s">
        <v>419</v>
      </c>
      <c r="E1633" t="s">
        <v>15</v>
      </c>
      <c r="F1633" s="9">
        <v>2688.82</v>
      </c>
      <c r="G1633" s="4">
        <v>997</v>
      </c>
      <c r="H1633" s="8">
        <f t="shared" si="25"/>
        <v>997</v>
      </c>
      <c r="I1633" s="10">
        <v>10</v>
      </c>
    </row>
    <row r="1634" spans="1:9" ht="15.75" thickBot="1" x14ac:dyDescent="0.3">
      <c r="A1634" s="1">
        <v>43800</v>
      </c>
      <c r="B1634" s="8" t="s">
        <v>6</v>
      </c>
      <c r="C1634" t="s">
        <v>7</v>
      </c>
      <c r="D1634" t="s">
        <v>419</v>
      </c>
      <c r="E1634" t="s">
        <v>10</v>
      </c>
      <c r="F1634" s="9">
        <v>187283.22</v>
      </c>
      <c r="G1634" s="6">
        <v>17336726.009</v>
      </c>
      <c r="H1634" s="8">
        <f t="shared" si="25"/>
        <v>17336.726008999998</v>
      </c>
      <c r="I1634" s="10">
        <v>2274</v>
      </c>
    </row>
    <row r="1635" spans="1:9" ht="15.75" thickBot="1" x14ac:dyDescent="0.3">
      <c r="A1635" s="1">
        <v>43800</v>
      </c>
      <c r="B1635" s="8" t="s">
        <v>6</v>
      </c>
      <c r="C1635" t="s">
        <v>7</v>
      </c>
      <c r="D1635" t="s">
        <v>419</v>
      </c>
      <c r="E1635" t="s">
        <v>17</v>
      </c>
      <c r="F1635" s="9">
        <v>3269.12</v>
      </c>
      <c r="G1635" s="4">
        <v>116</v>
      </c>
      <c r="H1635" s="8">
        <f t="shared" si="25"/>
        <v>116</v>
      </c>
      <c r="I1635" s="10">
        <v>1</v>
      </c>
    </row>
    <row r="1636" spans="1:9" ht="15.75" thickBot="1" x14ac:dyDescent="0.3">
      <c r="A1636" s="1">
        <v>43466</v>
      </c>
      <c r="B1636" s="8" t="s">
        <v>6</v>
      </c>
      <c r="C1636" t="s">
        <v>7</v>
      </c>
      <c r="D1636" t="s">
        <v>419</v>
      </c>
      <c r="E1636" t="s">
        <v>11</v>
      </c>
      <c r="F1636" s="9">
        <v>13624.32</v>
      </c>
      <c r="G1636" s="4">
        <v>401</v>
      </c>
      <c r="H1636" s="8">
        <f t="shared" si="25"/>
        <v>401</v>
      </c>
      <c r="I1636" s="10">
        <v>12</v>
      </c>
    </row>
    <row r="1637" spans="1:9" ht="15.75" thickBot="1" x14ac:dyDescent="0.3">
      <c r="A1637" s="1">
        <v>43466</v>
      </c>
      <c r="B1637" s="8" t="s">
        <v>6</v>
      </c>
      <c r="C1637" t="s">
        <v>7</v>
      </c>
      <c r="D1637" t="s">
        <v>419</v>
      </c>
      <c r="E1637" t="s">
        <v>13</v>
      </c>
      <c r="F1637" s="9">
        <v>1533.59</v>
      </c>
      <c r="G1637" s="6">
        <v>110000</v>
      </c>
      <c r="H1637" s="8">
        <f t="shared" si="25"/>
        <v>110000</v>
      </c>
      <c r="I1637" s="10">
        <v>17</v>
      </c>
    </row>
    <row r="1638" spans="1:9" ht="15.75" thickBot="1" x14ac:dyDescent="0.3">
      <c r="A1638" s="1">
        <v>43466</v>
      </c>
      <c r="B1638" s="8" t="s">
        <v>6</v>
      </c>
      <c r="C1638" t="s">
        <v>7</v>
      </c>
      <c r="D1638" t="s">
        <v>420</v>
      </c>
      <c r="E1638" t="s">
        <v>15</v>
      </c>
      <c r="F1638" s="9">
        <v>100</v>
      </c>
      <c r="G1638" s="4">
        <v>0</v>
      </c>
      <c r="H1638" s="8">
        <f t="shared" si="25"/>
        <v>0</v>
      </c>
      <c r="I1638" s="10">
        <v>1</v>
      </c>
    </row>
    <row r="1639" spans="1:9" ht="15.75" thickBot="1" x14ac:dyDescent="0.3">
      <c r="A1639" s="1">
        <v>43800</v>
      </c>
      <c r="B1639" s="8" t="s">
        <v>6</v>
      </c>
      <c r="C1639" t="s">
        <v>7</v>
      </c>
      <c r="D1639" t="s">
        <v>420</v>
      </c>
      <c r="E1639" t="s">
        <v>10</v>
      </c>
      <c r="F1639" s="9">
        <v>148925.75</v>
      </c>
      <c r="G1639" s="6">
        <v>4816974.5999999996</v>
      </c>
      <c r="H1639" s="8">
        <f t="shared" si="25"/>
        <v>4816.9745999999996</v>
      </c>
      <c r="I1639" s="10">
        <v>385</v>
      </c>
    </row>
    <row r="1640" spans="1:9" ht="15.75" thickBot="1" x14ac:dyDescent="0.3">
      <c r="A1640" s="1">
        <v>43800</v>
      </c>
      <c r="B1640" s="8" t="s">
        <v>6</v>
      </c>
      <c r="C1640" t="s">
        <v>7</v>
      </c>
      <c r="D1640" t="s">
        <v>420</v>
      </c>
      <c r="E1640" t="s">
        <v>11</v>
      </c>
      <c r="F1640" s="9">
        <v>1340.03</v>
      </c>
      <c r="G1640" s="4">
        <v>31</v>
      </c>
      <c r="H1640" s="8">
        <f t="shared" si="25"/>
        <v>31</v>
      </c>
      <c r="I1640" s="10">
        <v>5</v>
      </c>
    </row>
    <row r="1641" spans="1:9" ht="15.75" thickBot="1" x14ac:dyDescent="0.3">
      <c r="A1641" s="1">
        <v>43800</v>
      </c>
      <c r="B1641" s="8" t="s">
        <v>6</v>
      </c>
      <c r="C1641" t="s">
        <v>7</v>
      </c>
      <c r="D1641" t="s">
        <v>420</v>
      </c>
      <c r="E1641" t="s">
        <v>13</v>
      </c>
      <c r="F1641" s="9">
        <v>909.76</v>
      </c>
      <c r="G1641" s="6">
        <v>31000</v>
      </c>
      <c r="H1641" s="8">
        <f t="shared" si="25"/>
        <v>31000</v>
      </c>
      <c r="I1641" s="10">
        <v>2</v>
      </c>
    </row>
    <row r="1642" spans="1:9" ht="15.75" thickBot="1" x14ac:dyDescent="0.3">
      <c r="A1642" s="1">
        <v>43800</v>
      </c>
      <c r="B1642" s="8" t="s">
        <v>6</v>
      </c>
      <c r="C1642" t="s">
        <v>7</v>
      </c>
      <c r="D1642" t="s">
        <v>421</v>
      </c>
      <c r="E1642" t="s">
        <v>9</v>
      </c>
      <c r="F1642" s="9">
        <v>2726.8</v>
      </c>
      <c r="G1642" s="4">
        <v>90</v>
      </c>
      <c r="H1642" s="8">
        <f t="shared" si="25"/>
        <v>90</v>
      </c>
      <c r="I1642" s="10">
        <v>4</v>
      </c>
    </row>
    <row r="1643" spans="1:9" ht="15.75" thickBot="1" x14ac:dyDescent="0.3">
      <c r="A1643" s="1">
        <v>43466</v>
      </c>
      <c r="B1643" s="8" t="s">
        <v>6</v>
      </c>
      <c r="C1643" t="s">
        <v>7</v>
      </c>
      <c r="D1643" t="s">
        <v>421</v>
      </c>
      <c r="E1643" t="s">
        <v>15</v>
      </c>
      <c r="F1643" s="9">
        <v>913.6</v>
      </c>
      <c r="G1643" s="4">
        <v>13</v>
      </c>
      <c r="H1643" s="8">
        <f t="shared" si="25"/>
        <v>13</v>
      </c>
      <c r="I1643" s="10">
        <v>3</v>
      </c>
    </row>
    <row r="1644" spans="1:9" ht="15.75" thickBot="1" x14ac:dyDescent="0.3">
      <c r="A1644" s="1">
        <v>43466</v>
      </c>
      <c r="B1644" s="8" t="s">
        <v>6</v>
      </c>
      <c r="C1644" t="s">
        <v>7</v>
      </c>
      <c r="D1644" t="s">
        <v>421</v>
      </c>
      <c r="E1644" t="s">
        <v>10</v>
      </c>
      <c r="F1644" s="9">
        <v>83349.16</v>
      </c>
      <c r="G1644" s="7">
        <v>2928172.8739999998</v>
      </c>
      <c r="H1644" s="8">
        <f t="shared" si="25"/>
        <v>2928.1728739999999</v>
      </c>
      <c r="I1644" s="10">
        <v>295</v>
      </c>
    </row>
    <row r="1645" spans="1:9" ht="15.75" thickBot="1" x14ac:dyDescent="0.3">
      <c r="A1645" s="1">
        <v>43466</v>
      </c>
      <c r="B1645" s="8" t="s">
        <v>6</v>
      </c>
      <c r="C1645" t="s">
        <v>7</v>
      </c>
      <c r="D1645" t="s">
        <v>421</v>
      </c>
      <c r="E1645" t="s">
        <v>11</v>
      </c>
      <c r="F1645" s="9">
        <v>383.84</v>
      </c>
      <c r="G1645" s="4">
        <v>12</v>
      </c>
      <c r="H1645" s="8">
        <f t="shared" si="25"/>
        <v>12</v>
      </c>
      <c r="I1645" s="10">
        <v>1</v>
      </c>
    </row>
    <row r="1646" spans="1:9" ht="15.75" thickBot="1" x14ac:dyDescent="0.3">
      <c r="A1646" s="1">
        <v>43800</v>
      </c>
      <c r="B1646" s="8" t="s">
        <v>6</v>
      </c>
      <c r="C1646" t="s">
        <v>7</v>
      </c>
      <c r="D1646" t="s">
        <v>421</v>
      </c>
      <c r="E1646" t="s">
        <v>13</v>
      </c>
      <c r="F1646" s="9">
        <v>1317.54</v>
      </c>
      <c r="G1646" s="6">
        <v>47000</v>
      </c>
      <c r="H1646" s="8">
        <f t="shared" si="25"/>
        <v>47000</v>
      </c>
      <c r="I1646" s="10">
        <v>2</v>
      </c>
    </row>
    <row r="1647" spans="1:9" ht="15.75" thickBot="1" x14ac:dyDescent="0.3">
      <c r="A1647" s="1">
        <v>43800</v>
      </c>
      <c r="B1647" s="8" t="s">
        <v>6</v>
      </c>
      <c r="C1647" t="s">
        <v>7</v>
      </c>
      <c r="D1647" t="s">
        <v>422</v>
      </c>
      <c r="E1647" t="s">
        <v>9</v>
      </c>
      <c r="F1647" s="9">
        <v>23099.919999999998</v>
      </c>
      <c r="G1647" s="4">
        <v>431</v>
      </c>
      <c r="H1647" s="8">
        <f t="shared" si="25"/>
        <v>431</v>
      </c>
      <c r="I1647" s="10">
        <v>7</v>
      </c>
    </row>
    <row r="1648" spans="1:9" ht="15.75" thickBot="1" x14ac:dyDescent="0.3">
      <c r="A1648" s="1">
        <v>43800</v>
      </c>
      <c r="B1648" s="8" t="s">
        <v>6</v>
      </c>
      <c r="C1648" t="s">
        <v>7</v>
      </c>
      <c r="D1648" t="s">
        <v>422</v>
      </c>
      <c r="E1648" t="s">
        <v>15</v>
      </c>
      <c r="F1648" s="9">
        <v>540889.96</v>
      </c>
      <c r="G1648" s="7">
        <v>4368391.6840000004</v>
      </c>
      <c r="H1648" s="8">
        <f t="shared" si="25"/>
        <v>4368391.6840000004</v>
      </c>
      <c r="I1648" s="10">
        <v>31</v>
      </c>
    </row>
    <row r="1649" spans="1:9" ht="15.75" thickBot="1" x14ac:dyDescent="0.3">
      <c r="A1649" s="1">
        <v>43800</v>
      </c>
      <c r="B1649" s="8" t="s">
        <v>6</v>
      </c>
      <c r="C1649" t="s">
        <v>7</v>
      </c>
      <c r="D1649" t="s">
        <v>422</v>
      </c>
      <c r="E1649" t="s">
        <v>10</v>
      </c>
      <c r="F1649" s="9">
        <v>129385.21</v>
      </c>
      <c r="G1649" s="7">
        <v>5524703.4759999998</v>
      </c>
      <c r="H1649" s="8">
        <f t="shared" si="25"/>
        <v>5524.7034759999997</v>
      </c>
      <c r="I1649" s="10">
        <v>610</v>
      </c>
    </row>
    <row r="1650" spans="1:9" ht="15.75" thickBot="1" x14ac:dyDescent="0.3">
      <c r="A1650" s="1">
        <v>43466</v>
      </c>
      <c r="B1650" s="8" t="s">
        <v>6</v>
      </c>
      <c r="C1650" t="s">
        <v>7</v>
      </c>
      <c r="D1650" t="s">
        <v>422</v>
      </c>
      <c r="E1650" t="s">
        <v>17</v>
      </c>
      <c r="F1650" s="9">
        <v>39100.199999999997</v>
      </c>
      <c r="G1650" s="4">
        <v>860</v>
      </c>
      <c r="H1650" s="8">
        <f t="shared" si="25"/>
        <v>860</v>
      </c>
      <c r="I1650" s="10">
        <v>1</v>
      </c>
    </row>
    <row r="1651" spans="1:9" ht="15.75" thickBot="1" x14ac:dyDescent="0.3">
      <c r="A1651" s="1">
        <v>43466</v>
      </c>
      <c r="B1651" s="8" t="s">
        <v>6</v>
      </c>
      <c r="C1651" t="s">
        <v>7</v>
      </c>
      <c r="D1651" t="s">
        <v>422</v>
      </c>
      <c r="E1651" t="s">
        <v>11</v>
      </c>
      <c r="F1651" s="9">
        <v>65854.62</v>
      </c>
      <c r="G1651" s="7">
        <v>471312.34600000002</v>
      </c>
      <c r="H1651" s="8">
        <f t="shared" si="25"/>
        <v>471312.34600000002</v>
      </c>
      <c r="I1651" s="10">
        <v>31</v>
      </c>
    </row>
    <row r="1652" spans="1:9" ht="15.75" thickBot="1" x14ac:dyDescent="0.3">
      <c r="A1652" s="1">
        <v>43466</v>
      </c>
      <c r="B1652" s="8" t="s">
        <v>6</v>
      </c>
      <c r="C1652" t="s">
        <v>7</v>
      </c>
      <c r="D1652" t="s">
        <v>422</v>
      </c>
      <c r="E1652" t="s">
        <v>13</v>
      </c>
      <c r="F1652" s="9">
        <v>81.569999999999993</v>
      </c>
      <c r="G1652" s="5">
        <v>0</v>
      </c>
      <c r="H1652" s="8">
        <f t="shared" si="25"/>
        <v>0</v>
      </c>
      <c r="I1652" s="10">
        <v>1</v>
      </c>
    </row>
    <row r="1653" spans="1:9" ht="15.75" thickBot="1" x14ac:dyDescent="0.3">
      <c r="A1653" s="1">
        <v>43800</v>
      </c>
      <c r="B1653" s="8" t="s">
        <v>6</v>
      </c>
      <c r="C1653" t="s">
        <v>7</v>
      </c>
      <c r="D1653" t="s">
        <v>423</v>
      </c>
      <c r="E1653" t="s">
        <v>10</v>
      </c>
      <c r="F1653" s="9">
        <v>1753.14</v>
      </c>
      <c r="G1653" s="6">
        <v>57000</v>
      </c>
      <c r="H1653" s="8">
        <f t="shared" si="25"/>
        <v>57</v>
      </c>
      <c r="I1653" s="10">
        <v>8</v>
      </c>
    </row>
    <row r="1654" spans="1:9" ht="15.75" thickBot="1" x14ac:dyDescent="0.3">
      <c r="A1654" s="1">
        <v>43800</v>
      </c>
      <c r="B1654" s="8" t="s">
        <v>6</v>
      </c>
      <c r="C1654" t="s">
        <v>7</v>
      </c>
      <c r="D1654" t="s">
        <v>423</v>
      </c>
      <c r="E1654" t="s">
        <v>11</v>
      </c>
      <c r="F1654" s="9">
        <v>244.71</v>
      </c>
      <c r="G1654" s="5">
        <v>0</v>
      </c>
      <c r="H1654" s="8">
        <f t="shared" si="25"/>
        <v>0</v>
      </c>
      <c r="I1654" s="10">
        <v>3</v>
      </c>
    </row>
    <row r="1655" spans="1:9" ht="15.75" thickBot="1" x14ac:dyDescent="0.3">
      <c r="A1655" s="1">
        <v>43800</v>
      </c>
      <c r="B1655" s="8" t="s">
        <v>6</v>
      </c>
      <c r="C1655" t="s">
        <v>7</v>
      </c>
      <c r="D1655" t="s">
        <v>423</v>
      </c>
      <c r="E1655" t="s">
        <v>13</v>
      </c>
      <c r="F1655" s="9">
        <v>-409.83</v>
      </c>
      <c r="G1655" s="6">
        <v>191880</v>
      </c>
      <c r="H1655" s="8">
        <f t="shared" si="25"/>
        <v>191880</v>
      </c>
      <c r="I1655" s="10">
        <v>1</v>
      </c>
    </row>
    <row r="1656" spans="1:9" ht="15.75" thickBot="1" x14ac:dyDescent="0.3">
      <c r="A1656" s="1">
        <v>43800</v>
      </c>
      <c r="B1656" s="8" t="s">
        <v>6</v>
      </c>
      <c r="C1656" t="s">
        <v>7</v>
      </c>
      <c r="D1656" t="s">
        <v>424</v>
      </c>
      <c r="E1656" t="s">
        <v>15</v>
      </c>
      <c r="F1656" s="9">
        <v>762.96</v>
      </c>
      <c r="G1656" s="4">
        <v>3</v>
      </c>
      <c r="H1656" s="8">
        <f t="shared" si="25"/>
        <v>3</v>
      </c>
      <c r="I1656" s="10">
        <v>2</v>
      </c>
    </row>
    <row r="1657" spans="1:9" ht="15.75" thickBot="1" x14ac:dyDescent="0.3">
      <c r="A1657" s="1">
        <v>43466</v>
      </c>
      <c r="B1657" s="8" t="s">
        <v>6</v>
      </c>
      <c r="C1657" t="s">
        <v>7</v>
      </c>
      <c r="D1657" t="s">
        <v>424</v>
      </c>
      <c r="E1657" t="s">
        <v>10</v>
      </c>
      <c r="F1657" s="9">
        <v>29232.12</v>
      </c>
      <c r="G1657" s="7">
        <v>9826179.1980000008</v>
      </c>
      <c r="H1657" s="8">
        <f t="shared" si="25"/>
        <v>9826.1791980000016</v>
      </c>
      <c r="I1657" s="10">
        <v>1325</v>
      </c>
    </row>
    <row r="1658" spans="1:9" ht="15.75" thickBot="1" x14ac:dyDescent="0.3">
      <c r="A1658" s="1">
        <v>43466</v>
      </c>
      <c r="B1658" s="8" t="s">
        <v>6</v>
      </c>
      <c r="C1658" t="s">
        <v>7</v>
      </c>
      <c r="D1658" t="s">
        <v>424</v>
      </c>
      <c r="E1658" t="s">
        <v>11</v>
      </c>
      <c r="F1658" s="9">
        <v>2299.9899999999998</v>
      </c>
      <c r="G1658" s="4">
        <v>54</v>
      </c>
      <c r="H1658" s="8">
        <f t="shared" si="25"/>
        <v>54</v>
      </c>
      <c r="I1658" s="10">
        <v>11</v>
      </c>
    </row>
    <row r="1659" spans="1:9" ht="15.75" thickBot="1" x14ac:dyDescent="0.3">
      <c r="A1659" s="1">
        <v>43466</v>
      </c>
      <c r="B1659" s="8" t="s">
        <v>6</v>
      </c>
      <c r="C1659" t="s">
        <v>7</v>
      </c>
      <c r="D1659" t="s">
        <v>424</v>
      </c>
      <c r="E1659" t="s">
        <v>13</v>
      </c>
      <c r="F1659" s="9">
        <v>31.6</v>
      </c>
      <c r="G1659" s="6">
        <v>78000</v>
      </c>
      <c r="H1659" s="8">
        <f t="shared" si="25"/>
        <v>78000</v>
      </c>
      <c r="I1659" s="10">
        <v>12</v>
      </c>
    </row>
    <row r="1660" spans="1:9" ht="15.75" thickBot="1" x14ac:dyDescent="0.3">
      <c r="A1660" s="1">
        <v>43800</v>
      </c>
      <c r="B1660" s="8" t="s">
        <v>6</v>
      </c>
      <c r="C1660" t="s">
        <v>7</v>
      </c>
      <c r="D1660" t="s">
        <v>425</v>
      </c>
      <c r="E1660" t="s">
        <v>9</v>
      </c>
      <c r="F1660" s="9">
        <v>367761.16</v>
      </c>
      <c r="G1660" s="7">
        <v>13387.436</v>
      </c>
      <c r="H1660" s="8">
        <f t="shared" si="25"/>
        <v>13387.436</v>
      </c>
      <c r="I1660" s="10">
        <v>203</v>
      </c>
    </row>
    <row r="1661" spans="1:9" ht="15.75" thickBot="1" x14ac:dyDescent="0.3">
      <c r="A1661" s="1">
        <v>43800</v>
      </c>
      <c r="B1661" s="8" t="s">
        <v>6</v>
      </c>
      <c r="C1661" t="s">
        <v>7</v>
      </c>
      <c r="D1661" t="s">
        <v>425</v>
      </c>
      <c r="E1661" t="s">
        <v>15</v>
      </c>
      <c r="F1661" s="9">
        <v>48304.61</v>
      </c>
      <c r="G1661" s="4">
        <v>907</v>
      </c>
      <c r="H1661" s="8">
        <f t="shared" si="25"/>
        <v>907</v>
      </c>
      <c r="I1661" s="10">
        <v>18</v>
      </c>
    </row>
    <row r="1662" spans="1:9" ht="15.75" thickBot="1" x14ac:dyDescent="0.3">
      <c r="A1662" s="1">
        <v>43800</v>
      </c>
      <c r="B1662" s="8" t="s">
        <v>6</v>
      </c>
      <c r="C1662" t="s">
        <v>7</v>
      </c>
      <c r="D1662" t="s">
        <v>425</v>
      </c>
      <c r="E1662" t="s">
        <v>10</v>
      </c>
      <c r="F1662" s="9">
        <v>526129.59</v>
      </c>
      <c r="G1662" s="7">
        <v>20495137.566</v>
      </c>
      <c r="H1662" s="8">
        <f t="shared" si="25"/>
        <v>20495.137566000001</v>
      </c>
      <c r="I1662" s="10">
        <v>1065</v>
      </c>
    </row>
    <row r="1663" spans="1:9" ht="15.75" thickBot="1" x14ac:dyDescent="0.3">
      <c r="A1663" s="1">
        <v>43800</v>
      </c>
      <c r="B1663" s="8" t="s">
        <v>6</v>
      </c>
      <c r="C1663" t="s">
        <v>7</v>
      </c>
      <c r="D1663" t="s">
        <v>425</v>
      </c>
      <c r="E1663" t="s">
        <v>17</v>
      </c>
      <c r="F1663" s="9">
        <v>1653664.66</v>
      </c>
      <c r="G1663" s="7">
        <v>2553097.503</v>
      </c>
      <c r="H1663" s="8">
        <f t="shared" si="25"/>
        <v>2553097.503</v>
      </c>
      <c r="I1663" s="10">
        <v>192</v>
      </c>
    </row>
    <row r="1664" spans="1:9" ht="15.75" thickBot="1" x14ac:dyDescent="0.3">
      <c r="A1664" s="1">
        <v>43466</v>
      </c>
      <c r="B1664" s="8" t="s">
        <v>6</v>
      </c>
      <c r="C1664" t="s">
        <v>7</v>
      </c>
      <c r="D1664" t="s">
        <v>425</v>
      </c>
      <c r="E1664" t="s">
        <v>11</v>
      </c>
      <c r="F1664" s="9">
        <v>351364.76</v>
      </c>
      <c r="G1664" s="7">
        <v>101437.31299999999</v>
      </c>
      <c r="H1664" s="8">
        <f t="shared" si="25"/>
        <v>101437.31299999999</v>
      </c>
      <c r="I1664" s="10">
        <v>177</v>
      </c>
    </row>
    <row r="1665" spans="1:9" ht="15.75" thickBot="1" x14ac:dyDescent="0.3">
      <c r="A1665" s="1">
        <v>43466</v>
      </c>
      <c r="B1665" s="8" t="s">
        <v>6</v>
      </c>
      <c r="C1665" t="s">
        <v>7</v>
      </c>
      <c r="D1665" t="s">
        <v>425</v>
      </c>
      <c r="E1665" t="s">
        <v>13</v>
      </c>
      <c r="F1665" s="9">
        <v>31711</v>
      </c>
      <c r="G1665" s="7">
        <v>110151.999</v>
      </c>
      <c r="H1665" s="8">
        <f t="shared" si="25"/>
        <v>110151.999</v>
      </c>
      <c r="I1665" s="10">
        <v>13</v>
      </c>
    </row>
    <row r="1666" spans="1:9" ht="15.75" thickBot="1" x14ac:dyDescent="0.3">
      <c r="A1666" s="1">
        <v>43466</v>
      </c>
      <c r="B1666" s="8" t="s">
        <v>6</v>
      </c>
      <c r="C1666" t="s">
        <v>7</v>
      </c>
      <c r="D1666" t="s">
        <v>426</v>
      </c>
      <c r="E1666" t="s">
        <v>9</v>
      </c>
      <c r="F1666" s="9">
        <v>303.24</v>
      </c>
      <c r="G1666" s="4">
        <v>7</v>
      </c>
      <c r="H1666" s="8">
        <f t="shared" ref="H1666:H1729" si="26">IF(ISNUMBER(SEARCH("Domestic customer", E1666)),G1666/1000,G1666)</f>
        <v>7</v>
      </c>
      <c r="I1666" s="10">
        <v>2</v>
      </c>
    </row>
    <row r="1667" spans="1:9" ht="15.75" thickBot="1" x14ac:dyDescent="0.3">
      <c r="A1667" s="1">
        <v>43800</v>
      </c>
      <c r="B1667" s="8" t="s">
        <v>6</v>
      </c>
      <c r="C1667" t="s">
        <v>7</v>
      </c>
      <c r="D1667" t="s">
        <v>426</v>
      </c>
      <c r="E1667" t="s">
        <v>15</v>
      </c>
      <c r="F1667" s="9">
        <v>4007.92</v>
      </c>
      <c r="G1667" s="4">
        <v>118</v>
      </c>
      <c r="H1667" s="8">
        <f t="shared" si="26"/>
        <v>118</v>
      </c>
      <c r="I1667" s="10">
        <v>3</v>
      </c>
    </row>
    <row r="1668" spans="1:9" ht="15.75" thickBot="1" x14ac:dyDescent="0.3">
      <c r="A1668" s="1">
        <v>43800</v>
      </c>
      <c r="B1668" s="8" t="s">
        <v>6</v>
      </c>
      <c r="C1668" t="s">
        <v>7</v>
      </c>
      <c r="D1668" t="s">
        <v>426</v>
      </c>
      <c r="E1668" t="s">
        <v>10</v>
      </c>
      <c r="F1668" s="9">
        <v>75617.919999999998</v>
      </c>
      <c r="G1668" s="6">
        <v>2566762.5440000002</v>
      </c>
      <c r="H1668" s="8">
        <f t="shared" si="26"/>
        <v>2566.7625440000002</v>
      </c>
      <c r="I1668" s="10">
        <v>233</v>
      </c>
    </row>
    <row r="1669" spans="1:9" ht="15.75" thickBot="1" x14ac:dyDescent="0.3">
      <c r="A1669" s="1">
        <v>43800</v>
      </c>
      <c r="B1669" s="8" t="s">
        <v>6</v>
      </c>
      <c r="C1669" t="s">
        <v>7</v>
      </c>
      <c r="D1669" t="s">
        <v>426</v>
      </c>
      <c r="E1669" t="s">
        <v>11</v>
      </c>
      <c r="F1669" s="9">
        <v>33834.019999999997</v>
      </c>
      <c r="G1669" s="4">
        <v>697</v>
      </c>
      <c r="H1669" s="8">
        <f t="shared" si="26"/>
        <v>697</v>
      </c>
      <c r="I1669" s="10">
        <v>6</v>
      </c>
    </row>
    <row r="1670" spans="1:9" ht="15.75" thickBot="1" x14ac:dyDescent="0.3">
      <c r="A1670" s="1">
        <v>43800</v>
      </c>
      <c r="B1670" s="8" t="s">
        <v>6</v>
      </c>
      <c r="C1670" t="s">
        <v>7</v>
      </c>
      <c r="D1670" t="s">
        <v>427</v>
      </c>
      <c r="E1670" t="s">
        <v>9</v>
      </c>
      <c r="F1670" s="9">
        <v>4278.68</v>
      </c>
      <c r="G1670" s="4">
        <v>99</v>
      </c>
      <c r="H1670" s="8">
        <f t="shared" si="26"/>
        <v>99</v>
      </c>
      <c r="I1670" s="10">
        <v>6</v>
      </c>
    </row>
    <row r="1671" spans="1:9" ht="15.75" thickBot="1" x14ac:dyDescent="0.3">
      <c r="A1671" s="1">
        <v>43466</v>
      </c>
      <c r="B1671" s="8" t="s">
        <v>6</v>
      </c>
      <c r="C1671" t="s">
        <v>7</v>
      </c>
      <c r="D1671" t="s">
        <v>427</v>
      </c>
      <c r="E1671" t="s">
        <v>15</v>
      </c>
      <c r="F1671" s="9">
        <v>4261.1099999999997</v>
      </c>
      <c r="G1671" s="4">
        <v>52</v>
      </c>
      <c r="H1671" s="8">
        <f t="shared" si="26"/>
        <v>52</v>
      </c>
      <c r="I1671" s="10">
        <v>13</v>
      </c>
    </row>
    <row r="1672" spans="1:9" ht="15.75" thickBot="1" x14ac:dyDescent="0.3">
      <c r="A1672" s="1">
        <v>43466</v>
      </c>
      <c r="B1672" s="8" t="s">
        <v>6</v>
      </c>
      <c r="C1672" t="s">
        <v>7</v>
      </c>
      <c r="D1672" t="s">
        <v>427</v>
      </c>
      <c r="E1672" t="s">
        <v>10</v>
      </c>
      <c r="F1672" s="9">
        <v>399915.74</v>
      </c>
      <c r="G1672" s="6">
        <v>14444043.584000001</v>
      </c>
      <c r="H1672" s="8">
        <f t="shared" si="26"/>
        <v>14444.043584000001</v>
      </c>
      <c r="I1672" s="10">
        <v>1612</v>
      </c>
    </row>
    <row r="1673" spans="1:9" ht="15.75" thickBot="1" x14ac:dyDescent="0.3">
      <c r="A1673" s="1">
        <v>43466</v>
      </c>
      <c r="B1673" s="8" t="s">
        <v>6</v>
      </c>
      <c r="C1673" t="s">
        <v>7</v>
      </c>
      <c r="D1673" t="s">
        <v>427</v>
      </c>
      <c r="E1673" t="s">
        <v>11</v>
      </c>
      <c r="F1673" s="9">
        <v>14284.76</v>
      </c>
      <c r="G1673" s="7">
        <v>43367</v>
      </c>
      <c r="H1673" s="8">
        <f t="shared" si="26"/>
        <v>43367</v>
      </c>
      <c r="I1673" s="10">
        <v>32</v>
      </c>
    </row>
    <row r="1674" spans="1:9" ht="15.75" thickBot="1" x14ac:dyDescent="0.3">
      <c r="A1674" s="1">
        <v>43800</v>
      </c>
      <c r="B1674" s="8" t="s">
        <v>6</v>
      </c>
      <c r="C1674" t="s">
        <v>7</v>
      </c>
      <c r="D1674" t="s">
        <v>427</v>
      </c>
      <c r="E1674" t="s">
        <v>13</v>
      </c>
      <c r="F1674" s="9">
        <v>699.02</v>
      </c>
      <c r="G1674" s="6">
        <v>22000</v>
      </c>
      <c r="H1674" s="8">
        <f t="shared" si="26"/>
        <v>22000</v>
      </c>
      <c r="I1674" s="10">
        <v>3</v>
      </c>
    </row>
    <row r="1675" spans="1:9" ht="15.75" thickBot="1" x14ac:dyDescent="0.3">
      <c r="A1675" s="1">
        <v>43800</v>
      </c>
      <c r="B1675" s="8" t="s">
        <v>6</v>
      </c>
      <c r="C1675" t="s">
        <v>7</v>
      </c>
      <c r="D1675" t="s">
        <v>428</v>
      </c>
      <c r="E1675" t="s">
        <v>9</v>
      </c>
      <c r="F1675" s="9">
        <v>94618.28</v>
      </c>
      <c r="G1675" s="4">
        <v>2137</v>
      </c>
      <c r="H1675" s="8">
        <f t="shared" si="26"/>
        <v>2137</v>
      </c>
      <c r="I1675" s="10">
        <v>26</v>
      </c>
    </row>
    <row r="1676" spans="1:9" ht="15.75" thickBot="1" x14ac:dyDescent="0.3">
      <c r="A1676" s="1">
        <v>43800</v>
      </c>
      <c r="B1676" s="8" t="s">
        <v>6</v>
      </c>
      <c r="C1676" t="s">
        <v>7</v>
      </c>
      <c r="D1676" t="s">
        <v>428</v>
      </c>
      <c r="E1676" t="s">
        <v>15</v>
      </c>
      <c r="F1676" s="9">
        <v>725</v>
      </c>
      <c r="G1676" s="4">
        <v>0</v>
      </c>
      <c r="H1676" s="8">
        <f t="shared" si="26"/>
        <v>0</v>
      </c>
      <c r="I1676" s="10">
        <v>1</v>
      </c>
    </row>
    <row r="1677" spans="1:9" ht="15.75" thickBot="1" x14ac:dyDescent="0.3">
      <c r="A1677" s="1">
        <v>43800</v>
      </c>
      <c r="B1677" s="8" t="s">
        <v>6</v>
      </c>
      <c r="C1677" t="s">
        <v>7</v>
      </c>
      <c r="D1677" t="s">
        <v>428</v>
      </c>
      <c r="E1677" t="s">
        <v>10</v>
      </c>
      <c r="F1677" s="9">
        <v>3427.18</v>
      </c>
      <c r="G1677" s="7">
        <v>49040</v>
      </c>
      <c r="H1677" s="8">
        <f t="shared" si="26"/>
        <v>49.04</v>
      </c>
      <c r="I1677" s="10">
        <v>8</v>
      </c>
    </row>
    <row r="1678" spans="1:9" ht="15.75" thickBot="1" x14ac:dyDescent="0.3">
      <c r="A1678" s="1">
        <v>43466</v>
      </c>
      <c r="B1678" s="8" t="s">
        <v>6</v>
      </c>
      <c r="C1678" t="s">
        <v>7</v>
      </c>
      <c r="D1678" t="s">
        <v>428</v>
      </c>
      <c r="E1678" t="s">
        <v>17</v>
      </c>
      <c r="F1678" s="9">
        <v>38511.919999999998</v>
      </c>
      <c r="G1678" s="4">
        <v>1056</v>
      </c>
      <c r="H1678" s="8">
        <f t="shared" si="26"/>
        <v>1056</v>
      </c>
      <c r="I1678" s="10">
        <v>9</v>
      </c>
    </row>
    <row r="1679" spans="1:9" ht="15.75" thickBot="1" x14ac:dyDescent="0.3">
      <c r="A1679" s="1">
        <v>43466</v>
      </c>
      <c r="B1679" s="8" t="s">
        <v>6</v>
      </c>
      <c r="C1679" t="s">
        <v>7</v>
      </c>
      <c r="D1679" t="s">
        <v>428</v>
      </c>
      <c r="E1679" t="s">
        <v>11</v>
      </c>
      <c r="F1679" s="9">
        <v>2992.48</v>
      </c>
      <c r="G1679" s="7">
        <v>21003</v>
      </c>
      <c r="H1679" s="8">
        <f t="shared" si="26"/>
        <v>21003</v>
      </c>
      <c r="I1679" s="10">
        <v>7</v>
      </c>
    </row>
    <row r="1680" spans="1:9" ht="15.75" thickBot="1" x14ac:dyDescent="0.3">
      <c r="A1680" s="1">
        <v>43466</v>
      </c>
      <c r="B1680" s="8" t="s">
        <v>6</v>
      </c>
      <c r="C1680" t="s">
        <v>7</v>
      </c>
      <c r="D1680" t="s">
        <v>428</v>
      </c>
      <c r="E1680" t="s">
        <v>13</v>
      </c>
      <c r="F1680" s="9">
        <v>12313.4</v>
      </c>
      <c r="G1680" s="4">
        <v>445</v>
      </c>
      <c r="H1680" s="8">
        <f t="shared" si="26"/>
        <v>445</v>
      </c>
      <c r="I1680" s="10">
        <v>1</v>
      </c>
    </row>
    <row r="1681" spans="1:9" ht="15.75" thickBot="1" x14ac:dyDescent="0.3">
      <c r="A1681" s="1">
        <v>43800</v>
      </c>
      <c r="B1681" s="8" t="s">
        <v>6</v>
      </c>
      <c r="C1681" t="s">
        <v>7</v>
      </c>
      <c r="D1681" t="s">
        <v>429</v>
      </c>
      <c r="E1681" t="s">
        <v>15</v>
      </c>
      <c r="F1681" s="9">
        <v>100</v>
      </c>
      <c r="G1681" s="4">
        <v>0</v>
      </c>
      <c r="H1681" s="8">
        <f t="shared" si="26"/>
        <v>0</v>
      </c>
      <c r="I1681" s="10">
        <v>1</v>
      </c>
    </row>
    <row r="1682" spans="1:9" ht="15.75" thickBot="1" x14ac:dyDescent="0.3">
      <c r="A1682" s="1">
        <v>43800</v>
      </c>
      <c r="B1682" s="8" t="s">
        <v>6</v>
      </c>
      <c r="C1682" t="s">
        <v>7</v>
      </c>
      <c r="D1682" t="s">
        <v>429</v>
      </c>
      <c r="E1682" t="s">
        <v>11</v>
      </c>
      <c r="F1682" s="9">
        <v>319.14</v>
      </c>
      <c r="G1682" s="4">
        <v>0</v>
      </c>
      <c r="H1682" s="8">
        <f t="shared" si="26"/>
        <v>0</v>
      </c>
      <c r="I1682" s="10">
        <v>3</v>
      </c>
    </row>
    <row r="1683" spans="1:9" ht="15.75" thickBot="1" x14ac:dyDescent="0.3">
      <c r="A1683" s="1">
        <v>43800</v>
      </c>
      <c r="B1683" s="8" t="s">
        <v>6</v>
      </c>
      <c r="C1683" t="s">
        <v>7</v>
      </c>
      <c r="D1683" t="s">
        <v>430</v>
      </c>
      <c r="E1683" t="s">
        <v>9</v>
      </c>
      <c r="F1683" s="9">
        <v>156614.97</v>
      </c>
      <c r="G1683" s="4">
        <v>3837</v>
      </c>
      <c r="H1683" s="8">
        <f t="shared" si="26"/>
        <v>3837</v>
      </c>
      <c r="I1683" s="10">
        <v>23</v>
      </c>
    </row>
    <row r="1684" spans="1:9" ht="15.75" thickBot="1" x14ac:dyDescent="0.3">
      <c r="A1684" s="1">
        <v>43800</v>
      </c>
      <c r="B1684" s="8" t="s">
        <v>6</v>
      </c>
      <c r="C1684" t="s">
        <v>7</v>
      </c>
      <c r="D1684" t="s">
        <v>430</v>
      </c>
      <c r="E1684" t="s">
        <v>15</v>
      </c>
      <c r="F1684" s="9">
        <v>7644.92</v>
      </c>
      <c r="G1684" s="4">
        <v>181</v>
      </c>
      <c r="H1684" s="8">
        <f t="shared" si="26"/>
        <v>181</v>
      </c>
      <c r="I1684" s="10">
        <v>5</v>
      </c>
    </row>
    <row r="1685" spans="1:9" ht="15.75" thickBot="1" x14ac:dyDescent="0.3">
      <c r="A1685" s="1">
        <v>43466</v>
      </c>
      <c r="B1685" s="8" t="s">
        <v>6</v>
      </c>
      <c r="C1685" t="s">
        <v>7</v>
      </c>
      <c r="D1685" t="s">
        <v>430</v>
      </c>
      <c r="E1685" t="s">
        <v>10</v>
      </c>
      <c r="F1685" s="9">
        <v>31291.51</v>
      </c>
      <c r="G1685" s="6">
        <v>1739000</v>
      </c>
      <c r="H1685" s="8">
        <f t="shared" si="26"/>
        <v>1739</v>
      </c>
      <c r="I1685" s="10">
        <v>2</v>
      </c>
    </row>
    <row r="1686" spans="1:9" ht="15.75" thickBot="1" x14ac:dyDescent="0.3">
      <c r="A1686" s="1">
        <v>43466</v>
      </c>
      <c r="B1686" s="8" t="s">
        <v>6</v>
      </c>
      <c r="C1686" t="s">
        <v>7</v>
      </c>
      <c r="D1686" t="s">
        <v>430</v>
      </c>
      <c r="E1686" t="s">
        <v>11</v>
      </c>
      <c r="F1686" s="9">
        <v>29084.36</v>
      </c>
      <c r="G1686" s="4">
        <v>823</v>
      </c>
      <c r="H1686" s="8">
        <f t="shared" si="26"/>
        <v>823</v>
      </c>
      <c r="I1686" s="10">
        <v>3</v>
      </c>
    </row>
    <row r="1687" spans="1:9" ht="15.75" thickBot="1" x14ac:dyDescent="0.3">
      <c r="A1687" s="1">
        <v>43466</v>
      </c>
      <c r="B1687" s="8" t="s">
        <v>6</v>
      </c>
      <c r="C1687" t="s">
        <v>7</v>
      </c>
      <c r="D1687" t="s">
        <v>430</v>
      </c>
      <c r="E1687" t="s">
        <v>13</v>
      </c>
      <c r="F1687" s="9">
        <v>177942.76</v>
      </c>
      <c r="G1687" s="4">
        <v>6018</v>
      </c>
      <c r="H1687" s="8">
        <f t="shared" si="26"/>
        <v>6018</v>
      </c>
      <c r="I1687" s="10">
        <v>2</v>
      </c>
    </row>
    <row r="1688" spans="1:9" ht="15.75" thickBot="1" x14ac:dyDescent="0.3">
      <c r="A1688" s="1">
        <v>43800</v>
      </c>
      <c r="B1688" s="8" t="s">
        <v>6</v>
      </c>
      <c r="C1688" t="s">
        <v>7</v>
      </c>
      <c r="D1688" t="s">
        <v>431</v>
      </c>
      <c r="E1688" t="s">
        <v>10</v>
      </c>
      <c r="F1688" s="9">
        <v>974.96</v>
      </c>
      <c r="G1688" s="6">
        <v>25174.799999999999</v>
      </c>
      <c r="H1688" s="8">
        <f t="shared" si="26"/>
        <v>25.174799999999998</v>
      </c>
      <c r="I1688" s="10">
        <v>2</v>
      </c>
    </row>
    <row r="1689" spans="1:9" ht="15.75" thickBot="1" x14ac:dyDescent="0.3">
      <c r="A1689" s="1">
        <v>43800</v>
      </c>
      <c r="B1689" s="8" t="s">
        <v>6</v>
      </c>
      <c r="C1689" t="s">
        <v>7</v>
      </c>
      <c r="D1689" t="s">
        <v>431</v>
      </c>
      <c r="E1689" t="s">
        <v>11</v>
      </c>
      <c r="F1689" s="9">
        <v>97.07</v>
      </c>
      <c r="G1689" s="4">
        <v>1</v>
      </c>
      <c r="H1689" s="8">
        <f t="shared" si="26"/>
        <v>1</v>
      </c>
      <c r="I1689" s="10">
        <v>1</v>
      </c>
    </row>
    <row r="1690" spans="1:9" ht="15.75" thickBot="1" x14ac:dyDescent="0.3">
      <c r="A1690" s="1">
        <v>43800</v>
      </c>
      <c r="B1690" s="8" t="s">
        <v>6</v>
      </c>
      <c r="C1690" t="s">
        <v>7</v>
      </c>
      <c r="D1690" t="s">
        <v>431</v>
      </c>
      <c r="E1690" t="s">
        <v>13</v>
      </c>
      <c r="F1690" s="9">
        <v>12726.76</v>
      </c>
      <c r="G1690" s="4">
        <v>462</v>
      </c>
      <c r="H1690" s="8">
        <f t="shared" si="26"/>
        <v>462</v>
      </c>
      <c r="I1690" s="10">
        <v>1</v>
      </c>
    </row>
    <row r="1691" spans="1:9" ht="15.75" thickBot="1" x14ac:dyDescent="0.3">
      <c r="A1691" s="1">
        <v>43800</v>
      </c>
      <c r="B1691" s="8" t="s">
        <v>6</v>
      </c>
      <c r="C1691" t="s">
        <v>7</v>
      </c>
      <c r="D1691" t="s">
        <v>432</v>
      </c>
      <c r="E1691" t="s">
        <v>9</v>
      </c>
      <c r="F1691" s="9">
        <v>9771.08</v>
      </c>
      <c r="G1691" s="4">
        <v>324</v>
      </c>
      <c r="H1691" s="8">
        <f t="shared" si="26"/>
        <v>324</v>
      </c>
      <c r="I1691" s="10">
        <v>8</v>
      </c>
    </row>
    <row r="1692" spans="1:9" ht="15.75" thickBot="1" x14ac:dyDescent="0.3">
      <c r="A1692" s="1">
        <v>43466</v>
      </c>
      <c r="B1692" s="8" t="s">
        <v>6</v>
      </c>
      <c r="C1692" t="s">
        <v>7</v>
      </c>
      <c r="D1692" t="s">
        <v>432</v>
      </c>
      <c r="E1692" t="s">
        <v>15</v>
      </c>
      <c r="F1692" s="9">
        <v>4757.63</v>
      </c>
      <c r="G1692" s="4">
        <v>116</v>
      </c>
      <c r="H1692" s="8">
        <f t="shared" si="26"/>
        <v>116</v>
      </c>
      <c r="I1692" s="10">
        <v>9</v>
      </c>
    </row>
    <row r="1693" spans="1:9" ht="15.75" thickBot="1" x14ac:dyDescent="0.3">
      <c r="A1693" s="1">
        <v>43466</v>
      </c>
      <c r="B1693" s="8" t="s">
        <v>6</v>
      </c>
      <c r="C1693" t="s">
        <v>7</v>
      </c>
      <c r="D1693" t="s">
        <v>432</v>
      </c>
      <c r="E1693" t="s">
        <v>10</v>
      </c>
      <c r="F1693" s="9">
        <v>106019.64</v>
      </c>
      <c r="G1693" s="6">
        <v>16825994.5</v>
      </c>
      <c r="H1693" s="8">
        <f t="shared" si="26"/>
        <v>16825.994500000001</v>
      </c>
      <c r="I1693" s="10">
        <v>1749</v>
      </c>
    </row>
    <row r="1694" spans="1:9" ht="15.75" thickBot="1" x14ac:dyDescent="0.3">
      <c r="A1694" s="1">
        <v>43466</v>
      </c>
      <c r="B1694" s="8" t="s">
        <v>6</v>
      </c>
      <c r="C1694" t="s">
        <v>7</v>
      </c>
      <c r="D1694" t="s">
        <v>432</v>
      </c>
      <c r="E1694" t="s">
        <v>11</v>
      </c>
      <c r="F1694" s="9">
        <v>6505.16</v>
      </c>
      <c r="G1694" s="4">
        <v>105</v>
      </c>
      <c r="H1694" s="8">
        <f t="shared" si="26"/>
        <v>105</v>
      </c>
      <c r="I1694" s="10">
        <v>11</v>
      </c>
    </row>
    <row r="1695" spans="1:9" ht="15.75" thickBot="1" x14ac:dyDescent="0.3">
      <c r="A1695" s="1">
        <v>43800</v>
      </c>
      <c r="B1695" s="8" t="s">
        <v>6</v>
      </c>
      <c r="C1695" t="s">
        <v>7</v>
      </c>
      <c r="D1695" t="s">
        <v>432</v>
      </c>
      <c r="E1695" t="s">
        <v>13</v>
      </c>
      <c r="F1695" s="9">
        <v>0</v>
      </c>
      <c r="G1695" s="6">
        <v>6000</v>
      </c>
      <c r="H1695" s="8">
        <f t="shared" si="26"/>
        <v>6000</v>
      </c>
      <c r="I1695" s="10">
        <v>1</v>
      </c>
    </row>
    <row r="1696" spans="1:9" ht="15.75" thickBot="1" x14ac:dyDescent="0.3">
      <c r="A1696" s="1">
        <v>43800</v>
      </c>
      <c r="B1696" s="8" t="s">
        <v>6</v>
      </c>
      <c r="C1696" t="s">
        <v>7</v>
      </c>
      <c r="D1696" t="s">
        <v>433</v>
      </c>
      <c r="E1696" t="s">
        <v>9</v>
      </c>
      <c r="F1696" s="9">
        <v>2902.47</v>
      </c>
      <c r="G1696" s="7">
        <v>21549.19</v>
      </c>
      <c r="H1696" s="8">
        <f t="shared" si="26"/>
        <v>21549.19</v>
      </c>
      <c r="I1696" s="10">
        <v>4</v>
      </c>
    </row>
    <row r="1697" spans="1:9" ht="15.75" thickBot="1" x14ac:dyDescent="0.3">
      <c r="A1697" s="1">
        <v>43800</v>
      </c>
      <c r="B1697" s="8" t="s">
        <v>6</v>
      </c>
      <c r="C1697" t="s">
        <v>7</v>
      </c>
      <c r="D1697" t="s">
        <v>433</v>
      </c>
      <c r="E1697" t="s">
        <v>15</v>
      </c>
      <c r="F1697" s="9">
        <v>32604.47</v>
      </c>
      <c r="G1697" s="7">
        <v>11287.465</v>
      </c>
      <c r="H1697" s="8">
        <f t="shared" si="26"/>
        <v>11287.465</v>
      </c>
      <c r="I1697" s="10">
        <v>15</v>
      </c>
    </row>
    <row r="1698" spans="1:9" ht="15.75" thickBot="1" x14ac:dyDescent="0.3">
      <c r="A1698" s="1">
        <v>43800</v>
      </c>
      <c r="B1698" s="8" t="s">
        <v>6</v>
      </c>
      <c r="C1698" t="s">
        <v>7</v>
      </c>
      <c r="D1698" t="s">
        <v>433</v>
      </c>
      <c r="E1698" t="s">
        <v>10</v>
      </c>
      <c r="F1698" s="9">
        <v>212073.2</v>
      </c>
      <c r="G1698" s="6">
        <v>36325807.383000001</v>
      </c>
      <c r="H1698" s="8">
        <f t="shared" si="26"/>
        <v>36325.807382999999</v>
      </c>
      <c r="I1698" s="10">
        <v>4510</v>
      </c>
    </row>
    <row r="1699" spans="1:9" ht="15.75" thickBot="1" x14ac:dyDescent="0.3">
      <c r="A1699" s="1">
        <v>43466</v>
      </c>
      <c r="B1699" s="8" t="s">
        <v>6</v>
      </c>
      <c r="C1699" t="s">
        <v>7</v>
      </c>
      <c r="D1699" t="s">
        <v>433</v>
      </c>
      <c r="E1699" t="s">
        <v>17</v>
      </c>
      <c r="F1699" s="9">
        <v>575.08000000000004</v>
      </c>
      <c r="G1699" s="4">
        <v>19</v>
      </c>
      <c r="H1699" s="8">
        <f t="shared" si="26"/>
        <v>19</v>
      </c>
      <c r="I1699" s="10">
        <v>1</v>
      </c>
    </row>
    <row r="1700" spans="1:9" ht="15.75" thickBot="1" x14ac:dyDescent="0.3">
      <c r="A1700" s="1">
        <v>43466</v>
      </c>
      <c r="B1700" s="8" t="s">
        <v>6</v>
      </c>
      <c r="C1700" t="s">
        <v>7</v>
      </c>
      <c r="D1700" t="s">
        <v>433</v>
      </c>
      <c r="E1700" t="s">
        <v>11</v>
      </c>
      <c r="F1700" s="9">
        <v>208452.68</v>
      </c>
      <c r="G1700" s="7">
        <v>8927.74</v>
      </c>
      <c r="H1700" s="8">
        <f t="shared" si="26"/>
        <v>8927.74</v>
      </c>
      <c r="I1700" s="10">
        <v>39</v>
      </c>
    </row>
    <row r="1701" spans="1:9" ht="15.75" thickBot="1" x14ac:dyDescent="0.3">
      <c r="A1701" s="1">
        <v>43466</v>
      </c>
      <c r="B1701" s="8" t="s">
        <v>6</v>
      </c>
      <c r="C1701" t="s">
        <v>7</v>
      </c>
      <c r="D1701" t="s">
        <v>433</v>
      </c>
      <c r="E1701" t="s">
        <v>13</v>
      </c>
      <c r="F1701" s="9">
        <v>244.71</v>
      </c>
      <c r="G1701" s="6">
        <v>67803.95</v>
      </c>
      <c r="H1701" s="8">
        <f t="shared" si="26"/>
        <v>67803.95</v>
      </c>
      <c r="I1701" s="10">
        <v>12</v>
      </c>
    </row>
    <row r="1702" spans="1:9" ht="15.75" thickBot="1" x14ac:dyDescent="0.3">
      <c r="A1702" s="1">
        <v>43800</v>
      </c>
      <c r="B1702" s="8" t="s">
        <v>6</v>
      </c>
      <c r="C1702" t="s">
        <v>7</v>
      </c>
      <c r="D1702" t="s">
        <v>434</v>
      </c>
      <c r="E1702" t="s">
        <v>9</v>
      </c>
      <c r="F1702" s="9">
        <v>10883.91</v>
      </c>
      <c r="G1702" s="4">
        <v>336</v>
      </c>
      <c r="H1702" s="8">
        <f t="shared" si="26"/>
        <v>336</v>
      </c>
      <c r="I1702" s="10">
        <v>14</v>
      </c>
    </row>
    <row r="1703" spans="1:9" ht="15.75" thickBot="1" x14ac:dyDescent="0.3">
      <c r="A1703" s="1">
        <v>43800</v>
      </c>
      <c r="B1703" s="8" t="s">
        <v>6</v>
      </c>
      <c r="C1703" t="s">
        <v>7</v>
      </c>
      <c r="D1703" t="s">
        <v>434</v>
      </c>
      <c r="E1703" t="s">
        <v>15</v>
      </c>
      <c r="F1703" s="9">
        <v>552915.72</v>
      </c>
      <c r="G1703" s="7">
        <v>9250976.4560000002</v>
      </c>
      <c r="H1703" s="8">
        <f t="shared" si="26"/>
        <v>9250976.4560000002</v>
      </c>
      <c r="I1703" s="10">
        <v>140</v>
      </c>
    </row>
    <row r="1704" spans="1:9" ht="15.75" thickBot="1" x14ac:dyDescent="0.3">
      <c r="A1704" s="1">
        <v>43800</v>
      </c>
      <c r="B1704" s="8" t="s">
        <v>6</v>
      </c>
      <c r="C1704" t="s">
        <v>7</v>
      </c>
      <c r="D1704" t="s">
        <v>434</v>
      </c>
      <c r="E1704" t="s">
        <v>10</v>
      </c>
      <c r="F1704" s="9">
        <v>737910.15</v>
      </c>
      <c r="G1704" s="6">
        <v>63780054.607000001</v>
      </c>
      <c r="H1704" s="8">
        <f t="shared" si="26"/>
        <v>63780.054606999998</v>
      </c>
      <c r="I1704" s="10">
        <v>5507</v>
      </c>
    </row>
    <row r="1705" spans="1:9" ht="15.75" thickBot="1" x14ac:dyDescent="0.3">
      <c r="A1705" s="1">
        <v>43800</v>
      </c>
      <c r="B1705" s="8" t="s">
        <v>6</v>
      </c>
      <c r="C1705" t="s">
        <v>7</v>
      </c>
      <c r="D1705" t="s">
        <v>434</v>
      </c>
      <c r="E1705" t="s">
        <v>17</v>
      </c>
      <c r="F1705" s="9">
        <v>878.48</v>
      </c>
      <c r="G1705" s="4">
        <v>18</v>
      </c>
      <c r="H1705" s="8">
        <f t="shared" si="26"/>
        <v>18</v>
      </c>
      <c r="I1705" s="10">
        <v>1</v>
      </c>
    </row>
    <row r="1706" spans="1:9" ht="15.75" thickBot="1" x14ac:dyDescent="0.3">
      <c r="A1706" s="1">
        <v>43466</v>
      </c>
      <c r="B1706" s="8" t="s">
        <v>6</v>
      </c>
      <c r="C1706" t="s">
        <v>7</v>
      </c>
      <c r="D1706" t="s">
        <v>434</v>
      </c>
      <c r="E1706" t="s">
        <v>11</v>
      </c>
      <c r="F1706" s="9">
        <v>162839.91</v>
      </c>
      <c r="G1706" s="7">
        <v>16096.664000000001</v>
      </c>
      <c r="H1706" s="8">
        <f t="shared" si="26"/>
        <v>16096.664000000001</v>
      </c>
      <c r="I1706" s="10">
        <v>99</v>
      </c>
    </row>
    <row r="1707" spans="1:9" ht="15.75" thickBot="1" x14ac:dyDescent="0.3">
      <c r="A1707" s="1">
        <v>43466</v>
      </c>
      <c r="B1707" s="8" t="s">
        <v>6</v>
      </c>
      <c r="C1707" t="s">
        <v>7</v>
      </c>
      <c r="D1707" t="s">
        <v>434</v>
      </c>
      <c r="E1707" t="s">
        <v>13</v>
      </c>
      <c r="F1707" s="9">
        <v>19537.259999999998</v>
      </c>
      <c r="G1707" s="7">
        <v>621197</v>
      </c>
      <c r="H1707" s="8">
        <f t="shared" si="26"/>
        <v>621197</v>
      </c>
      <c r="I1707" s="10">
        <v>32</v>
      </c>
    </row>
    <row r="1708" spans="1:9" ht="15.75" thickBot="1" x14ac:dyDescent="0.3">
      <c r="A1708" s="1">
        <v>43466</v>
      </c>
      <c r="B1708" s="8" t="s">
        <v>6</v>
      </c>
      <c r="C1708" t="s">
        <v>7</v>
      </c>
      <c r="D1708" t="s">
        <v>435</v>
      </c>
      <c r="E1708" t="s">
        <v>9</v>
      </c>
      <c r="F1708" s="9">
        <v>18734.12</v>
      </c>
      <c r="G1708" s="4">
        <v>516</v>
      </c>
      <c r="H1708" s="8">
        <f t="shared" si="26"/>
        <v>516</v>
      </c>
      <c r="I1708" s="10">
        <v>19</v>
      </c>
    </row>
    <row r="1709" spans="1:9" ht="15.75" thickBot="1" x14ac:dyDescent="0.3">
      <c r="A1709" s="1">
        <v>43800</v>
      </c>
      <c r="B1709" s="8" t="s">
        <v>6</v>
      </c>
      <c r="C1709" t="s">
        <v>7</v>
      </c>
      <c r="D1709" t="s">
        <v>435</v>
      </c>
      <c r="E1709" t="s">
        <v>10</v>
      </c>
      <c r="F1709" s="9">
        <v>2044.29</v>
      </c>
      <c r="G1709" s="7">
        <v>17046</v>
      </c>
      <c r="H1709" s="8">
        <f t="shared" si="26"/>
        <v>17.045999999999999</v>
      </c>
      <c r="I1709" s="10">
        <v>4</v>
      </c>
    </row>
    <row r="1710" spans="1:9" ht="15.75" thickBot="1" x14ac:dyDescent="0.3">
      <c r="A1710" s="1">
        <v>43800</v>
      </c>
      <c r="B1710" s="8" t="s">
        <v>6</v>
      </c>
      <c r="C1710" t="s">
        <v>7</v>
      </c>
      <c r="D1710" t="s">
        <v>435</v>
      </c>
      <c r="E1710" t="s">
        <v>17</v>
      </c>
      <c r="F1710" s="9">
        <v>9947.94</v>
      </c>
      <c r="G1710" s="4">
        <v>204</v>
      </c>
      <c r="H1710" s="8">
        <f t="shared" si="26"/>
        <v>204</v>
      </c>
      <c r="I1710" s="10">
        <v>10</v>
      </c>
    </row>
    <row r="1711" spans="1:9" ht="15.75" thickBot="1" x14ac:dyDescent="0.3">
      <c r="A1711" s="1">
        <v>43800</v>
      </c>
      <c r="B1711" s="8" t="s">
        <v>6</v>
      </c>
      <c r="C1711" t="s">
        <v>7</v>
      </c>
      <c r="D1711" t="s">
        <v>435</v>
      </c>
      <c r="E1711" t="s">
        <v>11</v>
      </c>
      <c r="F1711" s="9">
        <v>7909.83</v>
      </c>
      <c r="G1711" s="4">
        <v>241</v>
      </c>
      <c r="H1711" s="8">
        <f t="shared" si="26"/>
        <v>241</v>
      </c>
      <c r="I1711" s="10">
        <v>6</v>
      </c>
    </row>
    <row r="1712" spans="1:9" ht="15.75" thickBot="1" x14ac:dyDescent="0.3">
      <c r="A1712" s="1">
        <v>43800</v>
      </c>
      <c r="B1712" s="8" t="s">
        <v>6</v>
      </c>
      <c r="C1712" t="s">
        <v>7</v>
      </c>
      <c r="D1712" t="s">
        <v>436</v>
      </c>
      <c r="E1712" t="s">
        <v>9</v>
      </c>
      <c r="F1712" s="9">
        <v>339446.12</v>
      </c>
      <c r="G1712" s="4">
        <v>7198</v>
      </c>
      <c r="H1712" s="8">
        <f t="shared" si="26"/>
        <v>7198</v>
      </c>
      <c r="I1712" s="10">
        <v>73</v>
      </c>
    </row>
    <row r="1713" spans="1:9" ht="15.75" thickBot="1" x14ac:dyDescent="0.3">
      <c r="A1713" s="1">
        <v>43466</v>
      </c>
      <c r="B1713" s="8" t="s">
        <v>6</v>
      </c>
      <c r="C1713" t="s">
        <v>7</v>
      </c>
      <c r="D1713" t="s">
        <v>436</v>
      </c>
      <c r="E1713" t="s">
        <v>15</v>
      </c>
      <c r="F1713" s="9">
        <v>1210.8399999999999</v>
      </c>
      <c r="G1713" s="4">
        <v>37</v>
      </c>
      <c r="H1713" s="8">
        <f t="shared" si="26"/>
        <v>37</v>
      </c>
      <c r="I1713" s="10">
        <v>2</v>
      </c>
    </row>
    <row r="1714" spans="1:9" ht="15.75" thickBot="1" x14ac:dyDescent="0.3">
      <c r="A1714" s="1">
        <v>43466</v>
      </c>
      <c r="B1714" s="8" t="s">
        <v>6</v>
      </c>
      <c r="C1714" t="s">
        <v>7</v>
      </c>
      <c r="D1714" t="s">
        <v>436</v>
      </c>
      <c r="E1714" t="s">
        <v>10</v>
      </c>
      <c r="F1714" s="9">
        <v>4882.2</v>
      </c>
      <c r="G1714" s="7">
        <v>29088</v>
      </c>
      <c r="H1714" s="8">
        <f t="shared" si="26"/>
        <v>29.088000000000001</v>
      </c>
      <c r="I1714" s="10">
        <v>14</v>
      </c>
    </row>
    <row r="1715" spans="1:9" ht="15.75" thickBot="1" x14ac:dyDescent="0.3">
      <c r="A1715" s="1">
        <v>43466</v>
      </c>
      <c r="B1715" s="8" t="s">
        <v>6</v>
      </c>
      <c r="C1715" t="s">
        <v>7</v>
      </c>
      <c r="D1715" t="s">
        <v>436</v>
      </c>
      <c r="E1715" t="s">
        <v>17</v>
      </c>
      <c r="F1715" s="9">
        <v>435702.4</v>
      </c>
      <c r="G1715" s="4">
        <v>11370</v>
      </c>
      <c r="H1715" s="8">
        <f t="shared" si="26"/>
        <v>11370</v>
      </c>
      <c r="I1715" s="10">
        <v>68</v>
      </c>
    </row>
    <row r="1716" spans="1:9" ht="15.75" thickBot="1" x14ac:dyDescent="0.3">
      <c r="A1716" s="1">
        <v>43800</v>
      </c>
      <c r="B1716" s="8" t="s">
        <v>6</v>
      </c>
      <c r="C1716" t="s">
        <v>7</v>
      </c>
      <c r="D1716" t="s">
        <v>436</v>
      </c>
      <c r="E1716" t="s">
        <v>11</v>
      </c>
      <c r="F1716" s="9">
        <v>8648.4599999999991</v>
      </c>
      <c r="G1716" s="4">
        <v>47</v>
      </c>
      <c r="H1716" s="8">
        <f t="shared" si="26"/>
        <v>47</v>
      </c>
      <c r="I1716" s="10">
        <v>8</v>
      </c>
    </row>
    <row r="1717" spans="1:9" ht="15.75" thickBot="1" x14ac:dyDescent="0.3">
      <c r="A1717" s="1">
        <v>43800</v>
      </c>
      <c r="B1717" s="8" t="s">
        <v>6</v>
      </c>
      <c r="C1717" t="s">
        <v>7</v>
      </c>
      <c r="D1717" t="s">
        <v>436</v>
      </c>
      <c r="E1717" t="s">
        <v>13</v>
      </c>
      <c r="F1717" s="9">
        <v>197366.84</v>
      </c>
      <c r="G1717" s="4">
        <v>7087</v>
      </c>
      <c r="H1717" s="8">
        <f t="shared" si="26"/>
        <v>7087</v>
      </c>
      <c r="I1717" s="10">
        <v>3</v>
      </c>
    </row>
    <row r="1718" spans="1:9" ht="15.75" thickBot="1" x14ac:dyDescent="0.3">
      <c r="A1718" s="1">
        <v>43800</v>
      </c>
      <c r="B1718" s="8" t="s">
        <v>6</v>
      </c>
      <c r="C1718" t="s">
        <v>7</v>
      </c>
      <c r="D1718" t="s">
        <v>437</v>
      </c>
      <c r="E1718" t="s">
        <v>15</v>
      </c>
      <c r="F1718" s="9">
        <v>625</v>
      </c>
      <c r="G1718" s="4">
        <v>0</v>
      </c>
      <c r="H1718" s="8">
        <f t="shared" si="26"/>
        <v>0</v>
      </c>
      <c r="I1718" s="10">
        <v>1</v>
      </c>
    </row>
    <row r="1719" spans="1:9" ht="15.75" thickBot="1" x14ac:dyDescent="0.3">
      <c r="A1719" s="1">
        <v>43800</v>
      </c>
      <c r="B1719" s="8" t="s">
        <v>6</v>
      </c>
      <c r="C1719" t="s">
        <v>7</v>
      </c>
      <c r="D1719" t="s">
        <v>437</v>
      </c>
      <c r="E1719" t="s">
        <v>10</v>
      </c>
      <c r="F1719" s="9">
        <v>33265.19</v>
      </c>
      <c r="G1719" s="6">
        <v>1169070.987</v>
      </c>
      <c r="H1719" s="8">
        <f t="shared" si="26"/>
        <v>1169.0709870000001</v>
      </c>
      <c r="I1719" s="10">
        <v>132</v>
      </c>
    </row>
    <row r="1720" spans="1:9" ht="15.75" thickBot="1" x14ac:dyDescent="0.3">
      <c r="A1720" s="1">
        <v>43466</v>
      </c>
      <c r="B1720" s="8" t="s">
        <v>6</v>
      </c>
      <c r="C1720" t="s">
        <v>7</v>
      </c>
      <c r="D1720" t="s">
        <v>437</v>
      </c>
      <c r="E1720" t="s">
        <v>11</v>
      </c>
      <c r="F1720" s="9">
        <v>-766.3</v>
      </c>
      <c r="G1720" s="6">
        <v>-64493.15</v>
      </c>
      <c r="H1720" s="8">
        <f t="shared" si="26"/>
        <v>-64493.15</v>
      </c>
      <c r="I1720" s="10">
        <v>6</v>
      </c>
    </row>
    <row r="1721" spans="1:9" ht="15.75" thickBot="1" x14ac:dyDescent="0.3">
      <c r="A1721" s="1">
        <v>43466</v>
      </c>
      <c r="B1721" s="8" t="s">
        <v>6</v>
      </c>
      <c r="C1721" t="s">
        <v>7</v>
      </c>
      <c r="D1721" t="s">
        <v>437</v>
      </c>
      <c r="E1721" t="s">
        <v>13</v>
      </c>
      <c r="F1721" s="9">
        <v>212.19</v>
      </c>
      <c r="G1721" s="6">
        <v>9000</v>
      </c>
      <c r="H1721" s="8">
        <f t="shared" si="26"/>
        <v>9000</v>
      </c>
      <c r="I1721" s="10">
        <v>1</v>
      </c>
    </row>
    <row r="1722" spans="1:9" ht="15.75" thickBot="1" x14ac:dyDescent="0.3">
      <c r="A1722" s="1">
        <v>43466</v>
      </c>
      <c r="B1722" s="8" t="s">
        <v>6</v>
      </c>
      <c r="C1722" t="s">
        <v>7</v>
      </c>
      <c r="D1722" t="s">
        <v>438</v>
      </c>
      <c r="E1722" t="s">
        <v>9</v>
      </c>
      <c r="F1722" s="9">
        <v>6259.94</v>
      </c>
      <c r="G1722" s="7">
        <v>13148</v>
      </c>
      <c r="H1722" s="8">
        <f t="shared" si="26"/>
        <v>13148</v>
      </c>
      <c r="I1722" s="10">
        <v>14</v>
      </c>
    </row>
    <row r="1723" spans="1:9" ht="15.75" thickBot="1" x14ac:dyDescent="0.3">
      <c r="A1723" s="1">
        <v>43800</v>
      </c>
      <c r="B1723" s="8" t="s">
        <v>6</v>
      </c>
      <c r="C1723" t="s">
        <v>7</v>
      </c>
      <c r="D1723" t="s">
        <v>438</v>
      </c>
      <c r="E1723" t="s">
        <v>15</v>
      </c>
      <c r="F1723" s="9">
        <v>1821.16</v>
      </c>
      <c r="G1723" s="4">
        <v>63</v>
      </c>
      <c r="H1723" s="8">
        <f t="shared" si="26"/>
        <v>63</v>
      </c>
      <c r="I1723" s="10">
        <v>1</v>
      </c>
    </row>
    <row r="1724" spans="1:9" ht="15.75" thickBot="1" x14ac:dyDescent="0.3">
      <c r="A1724" s="1">
        <v>43800</v>
      </c>
      <c r="B1724" s="8" t="s">
        <v>6</v>
      </c>
      <c r="C1724" t="s">
        <v>7</v>
      </c>
      <c r="D1724" t="s">
        <v>438</v>
      </c>
      <c r="E1724" t="s">
        <v>10</v>
      </c>
      <c r="F1724" s="9">
        <v>186823.45</v>
      </c>
      <c r="G1724" s="7">
        <v>5967504.7029999997</v>
      </c>
      <c r="H1724" s="8">
        <f t="shared" si="26"/>
        <v>5967.5047029999996</v>
      </c>
      <c r="I1724" s="10">
        <v>468</v>
      </c>
    </row>
    <row r="1725" spans="1:9" ht="15.75" thickBot="1" x14ac:dyDescent="0.3">
      <c r="A1725" s="1">
        <v>43800</v>
      </c>
      <c r="B1725" s="8" t="s">
        <v>6</v>
      </c>
      <c r="C1725" t="s">
        <v>7</v>
      </c>
      <c r="D1725" t="s">
        <v>438</v>
      </c>
      <c r="E1725" t="s">
        <v>11</v>
      </c>
      <c r="F1725" s="9">
        <v>11853.91</v>
      </c>
      <c r="G1725" s="7">
        <v>215038.772</v>
      </c>
      <c r="H1725" s="8">
        <f t="shared" si="26"/>
        <v>215038.772</v>
      </c>
      <c r="I1725" s="10">
        <v>11</v>
      </c>
    </row>
    <row r="1726" spans="1:9" ht="15.75" thickBot="1" x14ac:dyDescent="0.3">
      <c r="A1726" s="1">
        <v>43800</v>
      </c>
      <c r="B1726" s="8" t="s">
        <v>6</v>
      </c>
      <c r="C1726" t="s">
        <v>7</v>
      </c>
      <c r="D1726" t="s">
        <v>438</v>
      </c>
      <c r="E1726" t="s">
        <v>13</v>
      </c>
      <c r="F1726" s="9">
        <v>1864.76</v>
      </c>
      <c r="G1726" s="6">
        <v>59466</v>
      </c>
      <c r="H1726" s="8">
        <f t="shared" si="26"/>
        <v>59466</v>
      </c>
      <c r="I1726" s="10">
        <v>8</v>
      </c>
    </row>
    <row r="1727" spans="1:9" ht="15.75" thickBot="1" x14ac:dyDescent="0.3">
      <c r="A1727" s="1">
        <v>43466</v>
      </c>
      <c r="B1727" s="8" t="s">
        <v>6</v>
      </c>
      <c r="C1727" t="s">
        <v>7</v>
      </c>
      <c r="D1727" t="s">
        <v>439</v>
      </c>
      <c r="E1727" t="s">
        <v>15</v>
      </c>
      <c r="F1727" s="9">
        <v>625</v>
      </c>
      <c r="G1727" s="4">
        <v>0</v>
      </c>
      <c r="H1727" s="8">
        <f t="shared" si="26"/>
        <v>0</v>
      </c>
      <c r="I1727" s="10">
        <v>1</v>
      </c>
    </row>
    <row r="1728" spans="1:9" ht="15.75" thickBot="1" x14ac:dyDescent="0.3">
      <c r="A1728" s="1">
        <v>43466</v>
      </c>
      <c r="B1728" s="8" t="s">
        <v>6</v>
      </c>
      <c r="C1728" t="s">
        <v>7</v>
      </c>
      <c r="D1728" t="s">
        <v>439</v>
      </c>
      <c r="E1728" t="s">
        <v>10</v>
      </c>
      <c r="F1728" s="9">
        <v>22598.7</v>
      </c>
      <c r="G1728" s="6">
        <v>908556.4</v>
      </c>
      <c r="H1728" s="8">
        <f t="shared" si="26"/>
        <v>908.55640000000005</v>
      </c>
      <c r="I1728" s="10">
        <v>95</v>
      </c>
    </row>
    <row r="1729" spans="1:9" ht="15.75" thickBot="1" x14ac:dyDescent="0.3">
      <c r="A1729" s="1">
        <v>43466</v>
      </c>
      <c r="B1729" s="8" t="s">
        <v>6</v>
      </c>
      <c r="C1729" t="s">
        <v>7</v>
      </c>
      <c r="D1729" t="s">
        <v>439</v>
      </c>
      <c r="E1729" t="s">
        <v>11</v>
      </c>
      <c r="F1729" s="9">
        <v>521.41</v>
      </c>
      <c r="G1729" s="4">
        <v>12</v>
      </c>
      <c r="H1729" s="8">
        <f t="shared" si="26"/>
        <v>12</v>
      </c>
      <c r="I1729" s="10">
        <v>3</v>
      </c>
    </row>
    <row r="1730" spans="1:9" ht="15.75" thickBot="1" x14ac:dyDescent="0.3">
      <c r="A1730" s="1">
        <v>43800</v>
      </c>
      <c r="B1730" s="8" t="s">
        <v>6</v>
      </c>
      <c r="C1730" t="s">
        <v>7</v>
      </c>
      <c r="D1730" t="s">
        <v>440</v>
      </c>
      <c r="E1730" t="s">
        <v>9</v>
      </c>
      <c r="F1730" s="9">
        <v>927.4</v>
      </c>
      <c r="G1730" s="4">
        <v>25</v>
      </c>
      <c r="H1730" s="8">
        <f t="shared" ref="H1730:H1793" si="27">IF(ISNUMBER(SEARCH("Domestic customer", E1730)),G1730/1000,G1730)</f>
        <v>25</v>
      </c>
      <c r="I1730" s="10">
        <v>2</v>
      </c>
    </row>
    <row r="1731" spans="1:9" ht="15.75" thickBot="1" x14ac:dyDescent="0.3">
      <c r="A1731" s="1">
        <v>43800</v>
      </c>
      <c r="B1731" s="8" t="s">
        <v>6</v>
      </c>
      <c r="C1731" t="s">
        <v>7</v>
      </c>
      <c r="D1731" t="s">
        <v>440</v>
      </c>
      <c r="E1731" t="s">
        <v>15</v>
      </c>
      <c r="F1731" s="9">
        <v>83834.490000000005</v>
      </c>
      <c r="G1731" s="4">
        <v>2932</v>
      </c>
      <c r="H1731" s="8">
        <f t="shared" si="27"/>
        <v>2932</v>
      </c>
      <c r="I1731" s="10">
        <v>8</v>
      </c>
    </row>
    <row r="1732" spans="1:9" ht="15.75" thickBot="1" x14ac:dyDescent="0.3">
      <c r="A1732" s="1">
        <v>43800</v>
      </c>
      <c r="B1732" s="8" t="s">
        <v>6</v>
      </c>
      <c r="C1732" t="s">
        <v>7</v>
      </c>
      <c r="D1732" t="s">
        <v>440</v>
      </c>
      <c r="E1732" t="s">
        <v>10</v>
      </c>
      <c r="F1732" s="9">
        <v>206326.95</v>
      </c>
      <c r="G1732" s="6">
        <v>7887994.9189999998</v>
      </c>
      <c r="H1732" s="8">
        <f t="shared" si="27"/>
        <v>7887.9949189999998</v>
      </c>
      <c r="I1732" s="10">
        <v>732</v>
      </c>
    </row>
    <row r="1733" spans="1:9" ht="15.75" thickBot="1" x14ac:dyDescent="0.3">
      <c r="A1733" s="1">
        <v>43800</v>
      </c>
      <c r="B1733" s="8" t="s">
        <v>6</v>
      </c>
      <c r="C1733" t="s">
        <v>7</v>
      </c>
      <c r="D1733" t="s">
        <v>440</v>
      </c>
      <c r="E1733" t="s">
        <v>11</v>
      </c>
      <c r="F1733" s="9">
        <v>2136.2800000000002</v>
      </c>
      <c r="G1733" s="4">
        <v>45</v>
      </c>
      <c r="H1733" s="8">
        <f t="shared" si="27"/>
        <v>45</v>
      </c>
      <c r="I1733" s="10">
        <v>7</v>
      </c>
    </row>
    <row r="1734" spans="1:9" ht="15.75" thickBot="1" x14ac:dyDescent="0.3">
      <c r="A1734" s="1">
        <v>43466</v>
      </c>
      <c r="B1734" s="8" t="s">
        <v>6</v>
      </c>
      <c r="C1734" t="s">
        <v>7</v>
      </c>
      <c r="D1734" t="s">
        <v>440</v>
      </c>
      <c r="E1734" t="s">
        <v>13</v>
      </c>
      <c r="F1734" s="9">
        <v>763.44</v>
      </c>
      <c r="G1734" s="6">
        <v>27000</v>
      </c>
      <c r="H1734" s="8">
        <f t="shared" si="27"/>
        <v>27000</v>
      </c>
      <c r="I1734" s="10">
        <v>2</v>
      </c>
    </row>
    <row r="1735" spans="1:9" ht="15.75" thickBot="1" x14ac:dyDescent="0.3">
      <c r="A1735" s="1">
        <v>43466</v>
      </c>
      <c r="B1735" s="8" t="s">
        <v>6</v>
      </c>
      <c r="C1735" t="s">
        <v>7</v>
      </c>
      <c r="D1735" t="s">
        <v>441</v>
      </c>
      <c r="E1735" t="s">
        <v>9</v>
      </c>
      <c r="F1735" s="9">
        <v>29646.3</v>
      </c>
      <c r="G1735" s="4">
        <v>1085</v>
      </c>
      <c r="H1735" s="8">
        <f t="shared" si="27"/>
        <v>1085</v>
      </c>
      <c r="I1735" s="10">
        <v>5</v>
      </c>
    </row>
    <row r="1736" spans="1:9" ht="15.75" thickBot="1" x14ac:dyDescent="0.3">
      <c r="A1736" s="1">
        <v>43466</v>
      </c>
      <c r="B1736" s="8" t="s">
        <v>6</v>
      </c>
      <c r="C1736" t="s">
        <v>7</v>
      </c>
      <c r="D1736" t="s">
        <v>441</v>
      </c>
      <c r="E1736" t="s">
        <v>15</v>
      </c>
      <c r="F1736" s="9">
        <v>2106.36</v>
      </c>
      <c r="G1736" s="4">
        <v>73</v>
      </c>
      <c r="H1736" s="8">
        <f t="shared" si="27"/>
        <v>73</v>
      </c>
      <c r="I1736" s="10">
        <v>4</v>
      </c>
    </row>
    <row r="1737" spans="1:9" ht="15.75" thickBot="1" x14ac:dyDescent="0.3">
      <c r="A1737" s="1">
        <v>43800</v>
      </c>
      <c r="B1737" s="8" t="s">
        <v>6</v>
      </c>
      <c r="C1737" t="s">
        <v>7</v>
      </c>
      <c r="D1737" t="s">
        <v>441</v>
      </c>
      <c r="E1737" t="s">
        <v>10</v>
      </c>
      <c r="F1737" s="9">
        <v>203251.64</v>
      </c>
      <c r="G1737" s="6">
        <v>8782038.659</v>
      </c>
      <c r="H1737" s="8">
        <f t="shared" si="27"/>
        <v>8782.0386589999998</v>
      </c>
      <c r="I1737" s="10">
        <v>797</v>
      </c>
    </row>
    <row r="1738" spans="1:9" ht="15.75" thickBot="1" x14ac:dyDescent="0.3">
      <c r="A1738" s="1">
        <v>43800</v>
      </c>
      <c r="B1738" s="8" t="s">
        <v>6</v>
      </c>
      <c r="C1738" t="s">
        <v>7</v>
      </c>
      <c r="D1738" t="s">
        <v>441</v>
      </c>
      <c r="E1738" t="s">
        <v>11</v>
      </c>
      <c r="F1738" s="9">
        <v>25594.22</v>
      </c>
      <c r="G1738" s="7">
        <v>465065.46100000001</v>
      </c>
      <c r="H1738" s="8">
        <f t="shared" si="27"/>
        <v>465065.46100000001</v>
      </c>
      <c r="I1738" s="10">
        <v>15</v>
      </c>
    </row>
    <row r="1739" spans="1:9" ht="15.75" thickBot="1" x14ac:dyDescent="0.3">
      <c r="A1739" s="1">
        <v>43800</v>
      </c>
      <c r="B1739" s="8" t="s">
        <v>6</v>
      </c>
      <c r="C1739" t="s">
        <v>7</v>
      </c>
      <c r="D1739" t="s">
        <v>441</v>
      </c>
      <c r="E1739" t="s">
        <v>13</v>
      </c>
      <c r="F1739" s="9">
        <v>1151.27</v>
      </c>
      <c r="G1739" s="6">
        <v>49114.8</v>
      </c>
      <c r="H1739" s="8">
        <f t="shared" si="27"/>
        <v>49114.8</v>
      </c>
      <c r="I1739" s="10">
        <v>5</v>
      </c>
    </row>
    <row r="1740" spans="1:9" ht="15.75" thickBot="1" x14ac:dyDescent="0.3">
      <c r="A1740" s="1">
        <v>43800</v>
      </c>
      <c r="B1740" s="8" t="s">
        <v>6</v>
      </c>
      <c r="C1740" t="s">
        <v>7</v>
      </c>
      <c r="D1740" t="s">
        <v>442</v>
      </c>
      <c r="E1740" t="s">
        <v>9</v>
      </c>
      <c r="F1740" s="9">
        <v>80262.16</v>
      </c>
      <c r="G1740" s="4">
        <v>2288</v>
      </c>
      <c r="H1740" s="8">
        <f t="shared" si="27"/>
        <v>2288</v>
      </c>
      <c r="I1740" s="10">
        <v>30</v>
      </c>
    </row>
    <row r="1741" spans="1:9" ht="15.75" thickBot="1" x14ac:dyDescent="0.3">
      <c r="A1741" s="1">
        <v>43466</v>
      </c>
      <c r="B1741" s="8" t="s">
        <v>6</v>
      </c>
      <c r="C1741" t="s">
        <v>7</v>
      </c>
      <c r="D1741" t="s">
        <v>442</v>
      </c>
      <c r="E1741" t="s">
        <v>15</v>
      </c>
      <c r="F1741" s="9">
        <v>16146.7</v>
      </c>
      <c r="G1741" s="4">
        <v>323</v>
      </c>
      <c r="H1741" s="8">
        <f t="shared" si="27"/>
        <v>323</v>
      </c>
      <c r="I1741" s="10">
        <v>22</v>
      </c>
    </row>
    <row r="1742" spans="1:9" ht="15.75" thickBot="1" x14ac:dyDescent="0.3">
      <c r="A1742" s="1">
        <v>43466</v>
      </c>
      <c r="B1742" s="8" t="s">
        <v>6</v>
      </c>
      <c r="C1742" t="s">
        <v>7</v>
      </c>
      <c r="D1742" t="s">
        <v>442</v>
      </c>
      <c r="E1742" t="s">
        <v>10</v>
      </c>
      <c r="F1742" s="9">
        <v>1136613.1299999999</v>
      </c>
      <c r="G1742" s="7">
        <v>37326962.022</v>
      </c>
      <c r="H1742" s="8">
        <f t="shared" si="27"/>
        <v>37326.962022</v>
      </c>
      <c r="I1742" s="10">
        <v>3053</v>
      </c>
    </row>
    <row r="1743" spans="1:9" ht="15.75" thickBot="1" x14ac:dyDescent="0.3">
      <c r="A1743" s="1">
        <v>43466</v>
      </c>
      <c r="B1743" s="8" t="s">
        <v>6</v>
      </c>
      <c r="C1743" t="s">
        <v>7</v>
      </c>
      <c r="D1743" t="s">
        <v>442</v>
      </c>
      <c r="E1743" t="s">
        <v>11</v>
      </c>
      <c r="F1743" s="9">
        <v>68512.61</v>
      </c>
      <c r="G1743" s="7">
        <v>9097</v>
      </c>
      <c r="H1743" s="8">
        <f t="shared" si="27"/>
        <v>9097</v>
      </c>
      <c r="I1743" s="10">
        <v>29</v>
      </c>
    </row>
    <row r="1744" spans="1:9" ht="15.75" thickBot="1" x14ac:dyDescent="0.3">
      <c r="A1744" s="1">
        <v>43800</v>
      </c>
      <c r="B1744" s="8" t="s">
        <v>6</v>
      </c>
      <c r="C1744" t="s">
        <v>7</v>
      </c>
      <c r="D1744" t="s">
        <v>442</v>
      </c>
      <c r="E1744" t="s">
        <v>13</v>
      </c>
      <c r="F1744" s="9">
        <v>7663.02</v>
      </c>
      <c r="G1744" s="6">
        <v>225000</v>
      </c>
      <c r="H1744" s="8">
        <f t="shared" si="27"/>
        <v>225000</v>
      </c>
      <c r="I1744" s="10">
        <v>17</v>
      </c>
    </row>
    <row r="1745" spans="1:9" ht="15.75" thickBot="1" x14ac:dyDescent="0.3">
      <c r="A1745" s="1">
        <v>43800</v>
      </c>
      <c r="B1745" s="8" t="s">
        <v>6</v>
      </c>
      <c r="C1745" t="s">
        <v>7</v>
      </c>
      <c r="D1745" t="s">
        <v>443</v>
      </c>
      <c r="E1745" t="s">
        <v>15</v>
      </c>
      <c r="F1745" s="9">
        <v>3730.19</v>
      </c>
      <c r="G1745" s="4">
        <v>106</v>
      </c>
      <c r="H1745" s="8">
        <f t="shared" si="27"/>
        <v>106</v>
      </c>
      <c r="I1745" s="10">
        <v>3</v>
      </c>
    </row>
    <row r="1746" spans="1:9" ht="15.75" thickBot="1" x14ac:dyDescent="0.3">
      <c r="A1746" s="1">
        <v>43800</v>
      </c>
      <c r="B1746" s="8" t="s">
        <v>6</v>
      </c>
      <c r="C1746" t="s">
        <v>7</v>
      </c>
      <c r="D1746" t="s">
        <v>443</v>
      </c>
      <c r="E1746" t="s">
        <v>10</v>
      </c>
      <c r="F1746" s="9">
        <v>81.569999999999993</v>
      </c>
      <c r="G1746" s="5">
        <v>0</v>
      </c>
      <c r="H1746" s="8">
        <f t="shared" si="27"/>
        <v>0</v>
      </c>
      <c r="I1746" s="10">
        <v>1</v>
      </c>
    </row>
    <row r="1747" spans="1:9" ht="15.75" thickBot="1" x14ac:dyDescent="0.3">
      <c r="A1747" s="1">
        <v>43800</v>
      </c>
      <c r="B1747" s="8" t="s">
        <v>6</v>
      </c>
      <c r="C1747" t="s">
        <v>7</v>
      </c>
      <c r="D1747" t="s">
        <v>443</v>
      </c>
      <c r="E1747" t="s">
        <v>17</v>
      </c>
      <c r="F1747" s="9">
        <v>39398.46</v>
      </c>
      <c r="G1747" s="4">
        <v>972</v>
      </c>
      <c r="H1747" s="8">
        <f t="shared" si="27"/>
        <v>972</v>
      </c>
      <c r="I1747" s="10">
        <v>31</v>
      </c>
    </row>
    <row r="1748" spans="1:9" ht="15.75" thickBot="1" x14ac:dyDescent="0.3">
      <c r="A1748" s="1">
        <v>43466</v>
      </c>
      <c r="B1748" s="8" t="s">
        <v>6</v>
      </c>
      <c r="C1748" t="s">
        <v>7</v>
      </c>
      <c r="D1748" t="s">
        <v>444</v>
      </c>
      <c r="E1748" t="s">
        <v>9</v>
      </c>
      <c r="F1748" s="9">
        <v>2881.59</v>
      </c>
      <c r="G1748" s="4">
        <v>60</v>
      </c>
      <c r="H1748" s="8">
        <f t="shared" si="27"/>
        <v>60</v>
      </c>
      <c r="I1748" s="10">
        <v>1</v>
      </c>
    </row>
    <row r="1749" spans="1:9" ht="15.75" thickBot="1" x14ac:dyDescent="0.3">
      <c r="A1749" s="1">
        <v>43466</v>
      </c>
      <c r="B1749" s="8" t="s">
        <v>6</v>
      </c>
      <c r="C1749" t="s">
        <v>7</v>
      </c>
      <c r="D1749" t="s">
        <v>444</v>
      </c>
      <c r="E1749" t="s">
        <v>10</v>
      </c>
      <c r="F1749" s="9">
        <v>22956.36</v>
      </c>
      <c r="G1749" s="6">
        <v>779655.67500000005</v>
      </c>
      <c r="H1749" s="8">
        <f t="shared" si="27"/>
        <v>779.65567500000009</v>
      </c>
      <c r="I1749" s="10">
        <v>67</v>
      </c>
    </row>
    <row r="1750" spans="1:9" ht="15.75" thickBot="1" x14ac:dyDescent="0.3">
      <c r="A1750" s="1">
        <v>43466</v>
      </c>
      <c r="B1750" s="8" t="s">
        <v>6</v>
      </c>
      <c r="C1750" t="s">
        <v>7</v>
      </c>
      <c r="D1750" t="s">
        <v>444</v>
      </c>
      <c r="E1750" t="s">
        <v>11</v>
      </c>
      <c r="F1750" s="9">
        <v>356.52</v>
      </c>
      <c r="G1750" s="4">
        <v>11</v>
      </c>
      <c r="H1750" s="8">
        <f t="shared" si="27"/>
        <v>11</v>
      </c>
      <c r="I1750" s="10">
        <v>1</v>
      </c>
    </row>
    <row r="1751" spans="1:9" ht="15.75" thickBot="1" x14ac:dyDescent="0.3">
      <c r="A1751" s="1">
        <v>43800</v>
      </c>
      <c r="B1751" s="8" t="s">
        <v>6</v>
      </c>
      <c r="C1751" t="s">
        <v>7</v>
      </c>
      <c r="D1751" t="s">
        <v>444</v>
      </c>
      <c r="E1751" t="s">
        <v>13</v>
      </c>
      <c r="F1751" s="9">
        <v>236.61</v>
      </c>
      <c r="G1751" s="6">
        <v>10000</v>
      </c>
      <c r="H1751" s="8">
        <f t="shared" si="27"/>
        <v>10000</v>
      </c>
      <c r="I1751" s="10">
        <v>1</v>
      </c>
    </row>
    <row r="1752" spans="1:9" ht="15.75" thickBot="1" x14ac:dyDescent="0.3">
      <c r="A1752" s="1">
        <v>43800</v>
      </c>
      <c r="B1752" s="8" t="s">
        <v>6</v>
      </c>
      <c r="C1752" t="s">
        <v>7</v>
      </c>
      <c r="D1752" t="s">
        <v>445</v>
      </c>
      <c r="E1752" t="s">
        <v>9</v>
      </c>
      <c r="F1752" s="9">
        <v>4784.47</v>
      </c>
      <c r="G1752" s="4">
        <v>152</v>
      </c>
      <c r="H1752" s="8">
        <f t="shared" si="27"/>
        <v>152</v>
      </c>
      <c r="I1752" s="10">
        <v>1</v>
      </c>
    </row>
    <row r="1753" spans="1:9" ht="15.75" thickBot="1" x14ac:dyDescent="0.3">
      <c r="A1753" s="1">
        <v>43800</v>
      </c>
      <c r="B1753" s="8" t="s">
        <v>6</v>
      </c>
      <c r="C1753" t="s">
        <v>7</v>
      </c>
      <c r="D1753" t="s">
        <v>445</v>
      </c>
      <c r="E1753" t="s">
        <v>15</v>
      </c>
      <c r="F1753" s="9">
        <v>-287464.5</v>
      </c>
      <c r="G1753" s="7">
        <v>-94361.979000000007</v>
      </c>
      <c r="H1753" s="8">
        <f t="shared" si="27"/>
        <v>-94361.979000000007</v>
      </c>
      <c r="I1753" s="10">
        <v>33</v>
      </c>
    </row>
    <row r="1754" spans="1:9" ht="15.75" thickBot="1" x14ac:dyDescent="0.3">
      <c r="A1754" s="1">
        <v>43800</v>
      </c>
      <c r="B1754" s="8" t="s">
        <v>6</v>
      </c>
      <c r="C1754" t="s">
        <v>7</v>
      </c>
      <c r="D1754" t="s">
        <v>445</v>
      </c>
      <c r="E1754" t="s">
        <v>10</v>
      </c>
      <c r="F1754" s="9">
        <v>-38690.47</v>
      </c>
      <c r="G1754" s="6">
        <v>171039460.98199999</v>
      </c>
      <c r="H1754" s="8">
        <f t="shared" si="27"/>
        <v>171039.46098199999</v>
      </c>
      <c r="I1754" s="10">
        <v>6478</v>
      </c>
    </row>
    <row r="1755" spans="1:9" ht="15.75" thickBot="1" x14ac:dyDescent="0.3">
      <c r="A1755" s="1">
        <v>43466</v>
      </c>
      <c r="B1755" s="8" t="s">
        <v>6</v>
      </c>
      <c r="C1755" t="s">
        <v>7</v>
      </c>
      <c r="D1755" t="s">
        <v>445</v>
      </c>
      <c r="E1755" t="s">
        <v>11</v>
      </c>
      <c r="F1755" s="9">
        <v>49303.73</v>
      </c>
      <c r="G1755" s="7">
        <v>100328.07799999999</v>
      </c>
      <c r="H1755" s="8">
        <f t="shared" si="27"/>
        <v>100328.07799999999</v>
      </c>
      <c r="I1755" s="10">
        <v>27</v>
      </c>
    </row>
    <row r="1756" spans="1:9" ht="15.75" thickBot="1" x14ac:dyDescent="0.3">
      <c r="A1756" s="1">
        <v>43466</v>
      </c>
      <c r="B1756" s="8" t="s">
        <v>6</v>
      </c>
      <c r="C1756" t="s">
        <v>7</v>
      </c>
      <c r="D1756" t="s">
        <v>445</v>
      </c>
      <c r="E1756" t="s">
        <v>13</v>
      </c>
      <c r="F1756" s="9">
        <v>1645.13</v>
      </c>
      <c r="G1756" s="7">
        <v>548341.17799999996</v>
      </c>
      <c r="H1756" s="8">
        <f t="shared" si="27"/>
        <v>548341.17799999996</v>
      </c>
      <c r="I1756" s="10">
        <v>46</v>
      </c>
    </row>
    <row r="1757" spans="1:9" ht="15.75" thickBot="1" x14ac:dyDescent="0.3">
      <c r="A1757" s="1">
        <v>43466</v>
      </c>
      <c r="B1757" s="8" t="s">
        <v>6</v>
      </c>
      <c r="C1757" t="s">
        <v>7</v>
      </c>
      <c r="D1757" t="s">
        <v>446</v>
      </c>
      <c r="E1757" t="s">
        <v>10</v>
      </c>
      <c r="F1757" s="9">
        <v>41482.019999999997</v>
      </c>
      <c r="G1757" s="6">
        <v>1280431.8729999999</v>
      </c>
      <c r="H1757" s="8">
        <f t="shared" si="27"/>
        <v>1280.431873</v>
      </c>
      <c r="I1757" s="10">
        <v>118</v>
      </c>
    </row>
    <row r="1758" spans="1:9" ht="15.75" thickBot="1" x14ac:dyDescent="0.3">
      <c r="A1758" s="1">
        <v>43800</v>
      </c>
      <c r="B1758" s="8" t="s">
        <v>6</v>
      </c>
      <c r="C1758" t="s">
        <v>7</v>
      </c>
      <c r="D1758" t="s">
        <v>446</v>
      </c>
      <c r="E1758" t="s">
        <v>11</v>
      </c>
      <c r="F1758" s="9">
        <v>1829.94</v>
      </c>
      <c r="G1758" s="4">
        <v>54</v>
      </c>
      <c r="H1758" s="8">
        <f t="shared" si="27"/>
        <v>54</v>
      </c>
      <c r="I1758" s="10">
        <v>4</v>
      </c>
    </row>
    <row r="1759" spans="1:9" ht="15.75" thickBot="1" x14ac:dyDescent="0.3">
      <c r="A1759" s="1">
        <v>43800</v>
      </c>
      <c r="B1759" s="8" t="s">
        <v>6</v>
      </c>
      <c r="C1759" t="s">
        <v>7</v>
      </c>
      <c r="D1759" t="s">
        <v>446</v>
      </c>
      <c r="E1759" t="s">
        <v>13</v>
      </c>
      <c r="F1759" s="9">
        <v>1788.84</v>
      </c>
      <c r="G1759" s="7">
        <v>51484.44</v>
      </c>
      <c r="H1759" s="8">
        <f t="shared" si="27"/>
        <v>51484.44</v>
      </c>
      <c r="I1759" s="10">
        <v>5</v>
      </c>
    </row>
    <row r="1760" spans="1:9" ht="15.75" thickBot="1" x14ac:dyDescent="0.3">
      <c r="A1760" s="1">
        <v>43800</v>
      </c>
      <c r="B1760" s="8" t="s">
        <v>6</v>
      </c>
      <c r="C1760" t="s">
        <v>7</v>
      </c>
      <c r="D1760" t="s">
        <v>447</v>
      </c>
      <c r="E1760" t="s">
        <v>15</v>
      </c>
      <c r="F1760" s="9">
        <v>783.84</v>
      </c>
      <c r="G1760" s="4">
        <v>12</v>
      </c>
      <c r="H1760" s="8">
        <f t="shared" si="27"/>
        <v>12</v>
      </c>
      <c r="I1760" s="10">
        <v>2</v>
      </c>
    </row>
    <row r="1761" spans="1:9" ht="15.75" thickBot="1" x14ac:dyDescent="0.3">
      <c r="A1761" s="1">
        <v>43800</v>
      </c>
      <c r="B1761" s="8" t="s">
        <v>6</v>
      </c>
      <c r="C1761" t="s">
        <v>7</v>
      </c>
      <c r="D1761" t="s">
        <v>447</v>
      </c>
      <c r="E1761" t="s">
        <v>10</v>
      </c>
      <c r="F1761" s="9">
        <v>43356.17</v>
      </c>
      <c r="G1761" s="6">
        <v>1554411.5419999999</v>
      </c>
      <c r="H1761" s="8">
        <f t="shared" si="27"/>
        <v>1554.4115419999998</v>
      </c>
      <c r="I1761" s="10">
        <v>158</v>
      </c>
    </row>
    <row r="1762" spans="1:9" ht="15.75" thickBot="1" x14ac:dyDescent="0.3">
      <c r="A1762" s="1">
        <v>43466</v>
      </c>
      <c r="B1762" s="8" t="s">
        <v>6</v>
      </c>
      <c r="C1762" t="s">
        <v>7</v>
      </c>
      <c r="D1762" t="s">
        <v>447</v>
      </c>
      <c r="E1762" t="s">
        <v>13</v>
      </c>
      <c r="F1762" s="9">
        <v>374.29</v>
      </c>
      <c r="G1762" s="6">
        <v>15000</v>
      </c>
      <c r="H1762" s="8">
        <f t="shared" si="27"/>
        <v>15000</v>
      </c>
      <c r="I1762" s="10">
        <v>1</v>
      </c>
    </row>
    <row r="1763" spans="1:9" ht="15.75" thickBot="1" x14ac:dyDescent="0.3">
      <c r="A1763" s="1">
        <v>43466</v>
      </c>
      <c r="B1763" s="8" t="s">
        <v>6</v>
      </c>
      <c r="C1763" t="s">
        <v>7</v>
      </c>
      <c r="D1763" t="s">
        <v>448</v>
      </c>
      <c r="E1763" t="s">
        <v>9</v>
      </c>
      <c r="F1763" s="9">
        <v>216414.15</v>
      </c>
      <c r="G1763" s="4">
        <v>6843</v>
      </c>
      <c r="H1763" s="8">
        <f t="shared" si="27"/>
        <v>6843</v>
      </c>
      <c r="I1763" s="10">
        <v>33</v>
      </c>
    </row>
    <row r="1764" spans="1:9" ht="15.75" thickBot="1" x14ac:dyDescent="0.3">
      <c r="A1764" s="1">
        <v>43466</v>
      </c>
      <c r="B1764" s="8" t="s">
        <v>6</v>
      </c>
      <c r="C1764" t="s">
        <v>7</v>
      </c>
      <c r="D1764" t="s">
        <v>448</v>
      </c>
      <c r="E1764" t="s">
        <v>15</v>
      </c>
      <c r="F1764" s="9">
        <v>190458.65</v>
      </c>
      <c r="G1764" s="4">
        <v>12277</v>
      </c>
      <c r="H1764" s="8">
        <f t="shared" si="27"/>
        <v>12277</v>
      </c>
      <c r="I1764" s="10">
        <v>38</v>
      </c>
    </row>
    <row r="1765" spans="1:9" ht="15.75" thickBot="1" x14ac:dyDescent="0.3">
      <c r="A1765" s="1">
        <v>43800</v>
      </c>
      <c r="B1765" s="8" t="s">
        <v>6</v>
      </c>
      <c r="C1765" t="s">
        <v>7</v>
      </c>
      <c r="D1765" t="s">
        <v>448</v>
      </c>
      <c r="E1765" t="s">
        <v>10</v>
      </c>
      <c r="F1765" s="9">
        <v>598390.67000000004</v>
      </c>
      <c r="G1765" s="7">
        <v>21794374.438000001</v>
      </c>
      <c r="H1765" s="8">
        <f t="shared" si="27"/>
        <v>21794.374438000003</v>
      </c>
      <c r="I1765" s="10">
        <v>1166</v>
      </c>
    </row>
    <row r="1766" spans="1:9" ht="15.75" thickBot="1" x14ac:dyDescent="0.3">
      <c r="A1766" s="1">
        <v>43800</v>
      </c>
      <c r="B1766" s="8" t="s">
        <v>6</v>
      </c>
      <c r="C1766" t="s">
        <v>7</v>
      </c>
      <c r="D1766" t="s">
        <v>448</v>
      </c>
      <c r="E1766" t="s">
        <v>17</v>
      </c>
      <c r="F1766" s="9">
        <v>1905.68</v>
      </c>
      <c r="G1766" s="4">
        <v>24</v>
      </c>
      <c r="H1766" s="8">
        <f t="shared" si="27"/>
        <v>24</v>
      </c>
      <c r="I1766" s="10">
        <v>2</v>
      </c>
    </row>
    <row r="1767" spans="1:9" ht="15.75" thickBot="1" x14ac:dyDescent="0.3">
      <c r="A1767" s="1">
        <v>43800</v>
      </c>
      <c r="B1767" s="8" t="s">
        <v>6</v>
      </c>
      <c r="C1767" t="s">
        <v>7</v>
      </c>
      <c r="D1767" t="s">
        <v>448</v>
      </c>
      <c r="E1767" t="s">
        <v>11</v>
      </c>
      <c r="F1767" s="9">
        <v>245431.51</v>
      </c>
      <c r="G1767" s="7">
        <v>357180.95899999997</v>
      </c>
      <c r="H1767" s="8">
        <f t="shared" si="27"/>
        <v>357180.95899999997</v>
      </c>
      <c r="I1767" s="10">
        <v>38</v>
      </c>
    </row>
    <row r="1768" spans="1:9" ht="15.75" thickBot="1" x14ac:dyDescent="0.3">
      <c r="A1768" s="1">
        <v>43800</v>
      </c>
      <c r="B1768" s="8" t="s">
        <v>6</v>
      </c>
      <c r="C1768" t="s">
        <v>7</v>
      </c>
      <c r="D1768" t="s">
        <v>448</v>
      </c>
      <c r="E1768" t="s">
        <v>13</v>
      </c>
      <c r="F1768" s="9">
        <v>5770.38</v>
      </c>
      <c r="G1768" s="6">
        <v>193336</v>
      </c>
      <c r="H1768" s="8">
        <f t="shared" si="27"/>
        <v>193336</v>
      </c>
      <c r="I1768" s="10">
        <v>8</v>
      </c>
    </row>
    <row r="1769" spans="1:9" ht="15.75" thickBot="1" x14ac:dyDescent="0.3">
      <c r="A1769" s="1">
        <v>43466</v>
      </c>
      <c r="B1769" s="8" t="s">
        <v>6</v>
      </c>
      <c r="C1769" t="s">
        <v>7</v>
      </c>
      <c r="D1769" t="s">
        <v>449</v>
      </c>
      <c r="E1769" t="s">
        <v>9</v>
      </c>
      <c r="F1769" s="9">
        <v>3679.1</v>
      </c>
      <c r="G1769" s="4">
        <v>124</v>
      </c>
      <c r="H1769" s="8">
        <f t="shared" si="27"/>
        <v>124</v>
      </c>
      <c r="I1769" s="10">
        <v>3</v>
      </c>
    </row>
    <row r="1770" spans="1:9" ht="15.75" thickBot="1" x14ac:dyDescent="0.3">
      <c r="A1770" s="1">
        <v>43466</v>
      </c>
      <c r="B1770" s="8" t="s">
        <v>6</v>
      </c>
      <c r="C1770" t="s">
        <v>7</v>
      </c>
      <c r="D1770" t="s">
        <v>449</v>
      </c>
      <c r="E1770" t="s">
        <v>10</v>
      </c>
      <c r="F1770" s="9">
        <v>182560.03</v>
      </c>
      <c r="G1770" s="6">
        <v>5760775.9230000004</v>
      </c>
      <c r="H1770" s="8">
        <f t="shared" si="27"/>
        <v>5760.7759230000001</v>
      </c>
      <c r="I1770" s="10">
        <v>468</v>
      </c>
    </row>
    <row r="1771" spans="1:9" ht="15.75" thickBot="1" x14ac:dyDescent="0.3">
      <c r="A1771" s="1">
        <v>43466</v>
      </c>
      <c r="B1771" s="8" t="s">
        <v>6</v>
      </c>
      <c r="C1771" t="s">
        <v>7</v>
      </c>
      <c r="D1771" t="s">
        <v>449</v>
      </c>
      <c r="E1771" t="s">
        <v>11</v>
      </c>
      <c r="F1771" s="9">
        <v>574.25</v>
      </c>
      <c r="G1771" s="6">
        <v>16000</v>
      </c>
      <c r="H1771" s="8">
        <f t="shared" si="27"/>
        <v>16000</v>
      </c>
      <c r="I1771" s="10">
        <v>2</v>
      </c>
    </row>
    <row r="1772" spans="1:9" ht="15.75" thickBot="1" x14ac:dyDescent="0.3">
      <c r="A1772" s="1">
        <v>43800</v>
      </c>
      <c r="B1772" s="8" t="s">
        <v>6</v>
      </c>
      <c r="C1772" t="s">
        <v>7</v>
      </c>
      <c r="D1772" t="s">
        <v>449</v>
      </c>
      <c r="E1772" t="s">
        <v>13</v>
      </c>
      <c r="F1772" s="9">
        <v>934.67</v>
      </c>
      <c r="G1772" s="6">
        <v>28000</v>
      </c>
      <c r="H1772" s="8">
        <f t="shared" si="27"/>
        <v>28000</v>
      </c>
      <c r="I1772" s="10">
        <v>3</v>
      </c>
    </row>
    <row r="1773" spans="1:9" ht="15.75" thickBot="1" x14ac:dyDescent="0.3">
      <c r="A1773" s="1">
        <v>43800</v>
      </c>
      <c r="B1773" s="8" t="s">
        <v>6</v>
      </c>
      <c r="C1773" t="s">
        <v>7</v>
      </c>
      <c r="D1773" t="s">
        <v>450</v>
      </c>
      <c r="E1773" t="s">
        <v>15</v>
      </c>
      <c r="F1773" s="9">
        <v>100</v>
      </c>
      <c r="G1773" s="4">
        <v>0</v>
      </c>
      <c r="H1773" s="8">
        <f t="shared" si="27"/>
        <v>0</v>
      </c>
      <c r="I1773" s="10">
        <v>1</v>
      </c>
    </row>
    <row r="1774" spans="1:9" ht="15.75" thickBot="1" x14ac:dyDescent="0.3">
      <c r="A1774" s="1">
        <v>43800</v>
      </c>
      <c r="B1774" s="8" t="s">
        <v>6</v>
      </c>
      <c r="C1774" t="s">
        <v>7</v>
      </c>
      <c r="D1774" t="s">
        <v>450</v>
      </c>
      <c r="E1774" t="s">
        <v>10</v>
      </c>
      <c r="F1774" s="9">
        <v>55001.8</v>
      </c>
      <c r="G1774" s="6">
        <v>2126805.2230000002</v>
      </c>
      <c r="H1774" s="8">
        <f t="shared" si="27"/>
        <v>2126.8052230000003</v>
      </c>
      <c r="I1774" s="10">
        <v>282</v>
      </c>
    </row>
    <row r="1775" spans="1:9" ht="15.75" thickBot="1" x14ac:dyDescent="0.3">
      <c r="A1775" s="1">
        <v>43800</v>
      </c>
      <c r="B1775" s="8" t="s">
        <v>6</v>
      </c>
      <c r="C1775" t="s">
        <v>7</v>
      </c>
      <c r="D1775" t="s">
        <v>450</v>
      </c>
      <c r="E1775" t="s">
        <v>11</v>
      </c>
      <c r="F1775" s="9">
        <v>4375.33</v>
      </c>
      <c r="G1775" s="7">
        <v>83021</v>
      </c>
      <c r="H1775" s="8">
        <f t="shared" si="27"/>
        <v>83021</v>
      </c>
      <c r="I1775" s="10">
        <v>8</v>
      </c>
    </row>
    <row r="1776" spans="1:9" ht="15.75" thickBot="1" x14ac:dyDescent="0.3">
      <c r="A1776" s="1">
        <v>43466</v>
      </c>
      <c r="B1776" s="8" t="s">
        <v>6</v>
      </c>
      <c r="C1776" t="s">
        <v>7</v>
      </c>
      <c r="D1776" t="s">
        <v>450</v>
      </c>
      <c r="E1776" t="s">
        <v>13</v>
      </c>
      <c r="F1776" s="9">
        <v>512.79</v>
      </c>
      <c r="G1776" s="6">
        <v>26000</v>
      </c>
      <c r="H1776" s="8">
        <f t="shared" si="27"/>
        <v>26000</v>
      </c>
      <c r="I1776" s="10">
        <v>3</v>
      </c>
    </row>
    <row r="1777" spans="1:9" ht="15.75" thickBot="1" x14ac:dyDescent="0.3">
      <c r="A1777" s="1">
        <v>43466</v>
      </c>
      <c r="B1777" s="8" t="s">
        <v>6</v>
      </c>
      <c r="C1777" t="s">
        <v>7</v>
      </c>
      <c r="D1777" t="s">
        <v>451</v>
      </c>
      <c r="E1777" t="s">
        <v>10</v>
      </c>
      <c r="F1777" s="9">
        <v>14765.88</v>
      </c>
      <c r="G1777" s="6">
        <v>386690.36099999998</v>
      </c>
      <c r="H1777" s="8">
        <f t="shared" si="27"/>
        <v>386.690361</v>
      </c>
      <c r="I1777" s="10">
        <v>60</v>
      </c>
    </row>
    <row r="1778" spans="1:9" ht="15.75" thickBot="1" x14ac:dyDescent="0.3">
      <c r="A1778" s="1">
        <v>43466</v>
      </c>
      <c r="B1778" s="8" t="s">
        <v>6</v>
      </c>
      <c r="C1778" t="s">
        <v>7</v>
      </c>
      <c r="D1778" t="s">
        <v>452</v>
      </c>
      <c r="E1778" t="s">
        <v>9</v>
      </c>
      <c r="F1778" s="9">
        <v>1751933.26</v>
      </c>
      <c r="G1778" s="4">
        <v>60306</v>
      </c>
      <c r="H1778" s="8">
        <f t="shared" si="27"/>
        <v>60306</v>
      </c>
      <c r="I1778" s="10">
        <v>97</v>
      </c>
    </row>
    <row r="1779" spans="1:9" ht="15.75" thickBot="1" x14ac:dyDescent="0.3">
      <c r="A1779" s="1">
        <v>43800</v>
      </c>
      <c r="B1779" s="8" t="s">
        <v>6</v>
      </c>
      <c r="C1779" t="s">
        <v>7</v>
      </c>
      <c r="D1779" t="s">
        <v>452</v>
      </c>
      <c r="E1779" t="s">
        <v>15</v>
      </c>
      <c r="F1779" s="9">
        <v>33755.15</v>
      </c>
      <c r="G1779" s="4">
        <v>864</v>
      </c>
      <c r="H1779" s="8">
        <f t="shared" si="27"/>
        <v>864</v>
      </c>
      <c r="I1779" s="10">
        <v>11</v>
      </c>
    </row>
    <row r="1780" spans="1:9" ht="15.75" thickBot="1" x14ac:dyDescent="0.3">
      <c r="A1780" s="1">
        <v>43800</v>
      </c>
      <c r="B1780" s="8" t="s">
        <v>6</v>
      </c>
      <c r="C1780" t="s">
        <v>7</v>
      </c>
      <c r="D1780" t="s">
        <v>452</v>
      </c>
      <c r="E1780" t="s">
        <v>10</v>
      </c>
      <c r="F1780" s="9">
        <v>4051.07</v>
      </c>
      <c r="G1780" s="6">
        <v>55237.201000000001</v>
      </c>
      <c r="H1780" s="8">
        <f t="shared" si="27"/>
        <v>55.237200999999999</v>
      </c>
      <c r="I1780" s="10">
        <v>3</v>
      </c>
    </row>
    <row r="1781" spans="1:9" ht="15.75" thickBot="1" x14ac:dyDescent="0.3">
      <c r="A1781" s="1">
        <v>43800</v>
      </c>
      <c r="B1781" s="8" t="s">
        <v>6</v>
      </c>
      <c r="C1781" t="s">
        <v>7</v>
      </c>
      <c r="D1781" t="s">
        <v>452</v>
      </c>
      <c r="E1781" t="s">
        <v>17</v>
      </c>
      <c r="F1781" s="9">
        <v>43459.35</v>
      </c>
      <c r="G1781" s="4">
        <v>1454</v>
      </c>
      <c r="H1781" s="8">
        <f t="shared" si="27"/>
        <v>1454</v>
      </c>
      <c r="I1781" s="10">
        <v>12</v>
      </c>
    </row>
    <row r="1782" spans="1:9" ht="15.75" thickBot="1" x14ac:dyDescent="0.3">
      <c r="A1782" s="1">
        <v>43800</v>
      </c>
      <c r="B1782" s="8" t="s">
        <v>6</v>
      </c>
      <c r="C1782" t="s">
        <v>7</v>
      </c>
      <c r="D1782" t="s">
        <v>452</v>
      </c>
      <c r="E1782" t="s">
        <v>11</v>
      </c>
      <c r="F1782" s="9">
        <v>79748.240000000005</v>
      </c>
      <c r="G1782" s="7">
        <v>52288.444000000003</v>
      </c>
      <c r="H1782" s="8">
        <f t="shared" si="27"/>
        <v>52288.444000000003</v>
      </c>
      <c r="I1782" s="10">
        <v>18</v>
      </c>
    </row>
    <row r="1783" spans="1:9" ht="15.75" thickBot="1" x14ac:dyDescent="0.3">
      <c r="A1783" s="1">
        <v>43466</v>
      </c>
      <c r="B1783" s="8" t="s">
        <v>6</v>
      </c>
      <c r="C1783" t="s">
        <v>7</v>
      </c>
      <c r="D1783" t="s">
        <v>452</v>
      </c>
      <c r="E1783" t="s">
        <v>13</v>
      </c>
      <c r="F1783" s="9">
        <v>621.53</v>
      </c>
      <c r="G1783" s="4">
        <v>17</v>
      </c>
      <c r="H1783" s="8">
        <f t="shared" si="27"/>
        <v>17</v>
      </c>
      <c r="I1783" s="10">
        <v>1</v>
      </c>
    </row>
    <row r="1784" spans="1:9" ht="15.75" thickBot="1" x14ac:dyDescent="0.3">
      <c r="A1784" s="1">
        <v>43466</v>
      </c>
      <c r="B1784" s="8" t="s">
        <v>6</v>
      </c>
      <c r="C1784" t="s">
        <v>7</v>
      </c>
      <c r="D1784" t="s">
        <v>453</v>
      </c>
      <c r="E1784" t="s">
        <v>15</v>
      </c>
      <c r="F1784" s="9">
        <v>0</v>
      </c>
      <c r="G1784" s="4">
        <v>82</v>
      </c>
      <c r="H1784" s="8">
        <f t="shared" si="27"/>
        <v>82</v>
      </c>
      <c r="I1784" s="10">
        <v>1</v>
      </c>
    </row>
    <row r="1785" spans="1:9" ht="15.75" thickBot="1" x14ac:dyDescent="0.3">
      <c r="A1785" s="1">
        <v>43466</v>
      </c>
      <c r="B1785" s="8" t="s">
        <v>6</v>
      </c>
      <c r="C1785" t="s">
        <v>7</v>
      </c>
      <c r="D1785" t="s">
        <v>453</v>
      </c>
      <c r="E1785" t="s">
        <v>10</v>
      </c>
      <c r="F1785" s="9">
        <v>9176.18</v>
      </c>
      <c r="G1785" s="6">
        <v>376900</v>
      </c>
      <c r="H1785" s="8">
        <f t="shared" si="27"/>
        <v>376.9</v>
      </c>
      <c r="I1785" s="10">
        <v>1</v>
      </c>
    </row>
    <row r="1786" spans="1:9" ht="15.75" thickBot="1" x14ac:dyDescent="0.3">
      <c r="A1786" s="1">
        <v>43800</v>
      </c>
      <c r="B1786" s="8" t="s">
        <v>6</v>
      </c>
      <c r="C1786" t="s">
        <v>7</v>
      </c>
      <c r="D1786" t="s">
        <v>453</v>
      </c>
      <c r="E1786" t="s">
        <v>11</v>
      </c>
      <c r="F1786" s="9">
        <v>24974.04</v>
      </c>
      <c r="G1786" s="4">
        <v>797</v>
      </c>
      <c r="H1786" s="8">
        <f t="shared" si="27"/>
        <v>797</v>
      </c>
      <c r="I1786" s="10">
        <v>2</v>
      </c>
    </row>
    <row r="1787" spans="1:9" ht="15.75" thickBot="1" x14ac:dyDescent="0.3">
      <c r="A1787" s="1">
        <v>43800</v>
      </c>
      <c r="B1787" s="8" t="s">
        <v>6</v>
      </c>
      <c r="C1787" t="s">
        <v>7</v>
      </c>
      <c r="D1787" t="s">
        <v>454</v>
      </c>
      <c r="E1787" t="s">
        <v>10</v>
      </c>
      <c r="F1787" s="9">
        <v>17752.52</v>
      </c>
      <c r="G1787" s="6">
        <v>677757</v>
      </c>
      <c r="H1787" s="8">
        <f t="shared" si="27"/>
        <v>677.75699999999995</v>
      </c>
      <c r="I1787" s="10">
        <v>86</v>
      </c>
    </row>
    <row r="1788" spans="1:9" ht="15.75" thickBot="1" x14ac:dyDescent="0.3">
      <c r="A1788" s="1">
        <v>43800</v>
      </c>
      <c r="B1788" s="8" t="s">
        <v>6</v>
      </c>
      <c r="C1788" t="s">
        <v>7</v>
      </c>
      <c r="D1788" t="s">
        <v>454</v>
      </c>
      <c r="E1788" t="s">
        <v>11</v>
      </c>
      <c r="F1788" s="9">
        <v>81.569999999999993</v>
      </c>
      <c r="G1788" s="5">
        <v>0</v>
      </c>
      <c r="H1788" s="8">
        <f t="shared" si="27"/>
        <v>0</v>
      </c>
      <c r="I1788" s="10">
        <v>1</v>
      </c>
    </row>
    <row r="1789" spans="1:9" ht="15.75" thickBot="1" x14ac:dyDescent="0.3">
      <c r="A1789" s="1">
        <v>43800</v>
      </c>
      <c r="B1789" s="8" t="s">
        <v>6</v>
      </c>
      <c r="C1789" t="s">
        <v>7</v>
      </c>
      <c r="D1789" t="s">
        <v>454</v>
      </c>
      <c r="E1789" t="s">
        <v>13</v>
      </c>
      <c r="F1789" s="9">
        <v>598.04999999999995</v>
      </c>
      <c r="G1789" s="6">
        <v>22000</v>
      </c>
      <c r="H1789" s="8">
        <f t="shared" si="27"/>
        <v>22000</v>
      </c>
      <c r="I1789" s="10">
        <v>1</v>
      </c>
    </row>
    <row r="1790" spans="1:9" ht="15.75" thickBot="1" x14ac:dyDescent="0.3">
      <c r="A1790" s="1">
        <v>43466</v>
      </c>
      <c r="B1790" s="8" t="s">
        <v>6</v>
      </c>
      <c r="C1790" t="s">
        <v>7</v>
      </c>
      <c r="D1790" t="s">
        <v>455</v>
      </c>
      <c r="E1790" t="s">
        <v>9</v>
      </c>
      <c r="F1790" s="9">
        <v>71774.240000000005</v>
      </c>
      <c r="G1790" s="4">
        <v>1442</v>
      </c>
      <c r="H1790" s="8">
        <f t="shared" si="27"/>
        <v>1442</v>
      </c>
      <c r="I1790" s="10">
        <v>14</v>
      </c>
    </row>
    <row r="1791" spans="1:9" ht="15.75" thickBot="1" x14ac:dyDescent="0.3">
      <c r="A1791" s="1">
        <v>43466</v>
      </c>
      <c r="B1791" s="8" t="s">
        <v>6</v>
      </c>
      <c r="C1791" t="s">
        <v>7</v>
      </c>
      <c r="D1791" t="s">
        <v>455</v>
      </c>
      <c r="E1791" t="s">
        <v>15</v>
      </c>
      <c r="F1791" s="9">
        <v>8237.32</v>
      </c>
      <c r="G1791" s="4">
        <v>206</v>
      </c>
      <c r="H1791" s="8">
        <f t="shared" si="27"/>
        <v>206</v>
      </c>
      <c r="I1791" s="10">
        <v>1</v>
      </c>
    </row>
    <row r="1792" spans="1:9" ht="15.75" thickBot="1" x14ac:dyDescent="0.3">
      <c r="A1792" s="1">
        <v>43466</v>
      </c>
      <c r="B1792" s="8" t="s">
        <v>6</v>
      </c>
      <c r="C1792" t="s">
        <v>7</v>
      </c>
      <c r="D1792" t="s">
        <v>455</v>
      </c>
      <c r="E1792" t="s">
        <v>10</v>
      </c>
      <c r="F1792" s="9">
        <v>12019.54</v>
      </c>
      <c r="G1792" s="7">
        <v>54226</v>
      </c>
      <c r="H1792" s="8">
        <f t="shared" si="27"/>
        <v>54.225999999999999</v>
      </c>
      <c r="I1792" s="10">
        <v>22</v>
      </c>
    </row>
    <row r="1793" spans="1:9" ht="15.75" thickBot="1" x14ac:dyDescent="0.3">
      <c r="A1793" s="1">
        <v>43800</v>
      </c>
      <c r="B1793" s="8" t="s">
        <v>6</v>
      </c>
      <c r="C1793" t="s">
        <v>7</v>
      </c>
      <c r="D1793" t="s">
        <v>455</v>
      </c>
      <c r="E1793" t="s">
        <v>17</v>
      </c>
      <c r="F1793" s="9">
        <v>1294784.7</v>
      </c>
      <c r="G1793" s="4">
        <v>34433</v>
      </c>
      <c r="H1793" s="8">
        <f t="shared" si="27"/>
        <v>34433</v>
      </c>
      <c r="I1793" s="10">
        <v>391</v>
      </c>
    </row>
    <row r="1794" spans="1:9" ht="15.75" thickBot="1" x14ac:dyDescent="0.3">
      <c r="A1794" s="1">
        <v>43800</v>
      </c>
      <c r="B1794" s="8" t="s">
        <v>6</v>
      </c>
      <c r="C1794" t="s">
        <v>7</v>
      </c>
      <c r="D1794" t="s">
        <v>455</v>
      </c>
      <c r="E1794" t="s">
        <v>11</v>
      </c>
      <c r="F1794" s="9">
        <v>641204.5</v>
      </c>
      <c r="G1794" s="4">
        <v>34360</v>
      </c>
      <c r="H1794" s="8">
        <f t="shared" ref="H1794:H1857" si="28">IF(ISNUMBER(SEARCH("Domestic customer", E1794)),G1794/1000,G1794)</f>
        <v>34360</v>
      </c>
      <c r="I1794" s="10">
        <v>16</v>
      </c>
    </row>
    <row r="1795" spans="1:9" ht="15.75" thickBot="1" x14ac:dyDescent="0.3">
      <c r="A1795" s="1">
        <v>43800</v>
      </c>
      <c r="B1795" s="8" t="s">
        <v>6</v>
      </c>
      <c r="C1795" t="s">
        <v>7</v>
      </c>
      <c r="D1795" t="s">
        <v>455</v>
      </c>
      <c r="E1795" t="s">
        <v>13</v>
      </c>
      <c r="F1795" s="9">
        <v>9494.7199999999993</v>
      </c>
      <c r="G1795" s="4">
        <v>321</v>
      </c>
      <c r="H1795" s="8">
        <f t="shared" si="28"/>
        <v>321</v>
      </c>
      <c r="I1795" s="10">
        <v>1</v>
      </c>
    </row>
    <row r="1796" spans="1:9" ht="15.75" thickBot="1" x14ac:dyDescent="0.3">
      <c r="A1796" s="1">
        <v>43800</v>
      </c>
      <c r="B1796" s="8" t="s">
        <v>6</v>
      </c>
      <c r="C1796" t="s">
        <v>7</v>
      </c>
      <c r="D1796" t="s">
        <v>456</v>
      </c>
      <c r="E1796" t="s">
        <v>9</v>
      </c>
      <c r="F1796" s="9">
        <v>3863.86</v>
      </c>
      <c r="G1796" s="4">
        <v>109</v>
      </c>
      <c r="H1796" s="8">
        <f t="shared" si="28"/>
        <v>109</v>
      </c>
      <c r="I1796" s="10">
        <v>6</v>
      </c>
    </row>
    <row r="1797" spans="1:9" ht="15.75" thickBot="1" x14ac:dyDescent="0.3">
      <c r="A1797" s="1">
        <v>43466</v>
      </c>
      <c r="B1797" s="8" t="s">
        <v>6</v>
      </c>
      <c r="C1797" t="s">
        <v>7</v>
      </c>
      <c r="D1797" t="s">
        <v>456</v>
      </c>
      <c r="E1797" t="s">
        <v>15</v>
      </c>
      <c r="F1797" s="9">
        <v>932.9</v>
      </c>
      <c r="G1797" s="4">
        <v>16</v>
      </c>
      <c r="H1797" s="8">
        <f t="shared" si="28"/>
        <v>16</v>
      </c>
      <c r="I1797" s="10">
        <v>2</v>
      </c>
    </row>
    <row r="1798" spans="1:9" ht="15.75" thickBot="1" x14ac:dyDescent="0.3">
      <c r="A1798" s="1">
        <v>43466</v>
      </c>
      <c r="B1798" s="8" t="s">
        <v>6</v>
      </c>
      <c r="C1798" t="s">
        <v>7</v>
      </c>
      <c r="D1798" t="s">
        <v>456</v>
      </c>
      <c r="E1798" t="s">
        <v>10</v>
      </c>
      <c r="F1798" s="9">
        <v>166219.51999999999</v>
      </c>
      <c r="G1798" s="6">
        <v>5541158.7589999996</v>
      </c>
      <c r="H1798" s="8">
        <f t="shared" si="28"/>
        <v>5541.1587589999999</v>
      </c>
      <c r="I1798" s="10">
        <v>542</v>
      </c>
    </row>
    <row r="1799" spans="1:9" ht="15.75" thickBot="1" x14ac:dyDescent="0.3">
      <c r="A1799" s="1">
        <v>43466</v>
      </c>
      <c r="B1799" s="8" t="s">
        <v>6</v>
      </c>
      <c r="C1799" t="s">
        <v>7</v>
      </c>
      <c r="D1799" t="s">
        <v>456</v>
      </c>
      <c r="E1799" t="s">
        <v>11</v>
      </c>
      <c r="F1799" s="9">
        <v>5868.89</v>
      </c>
      <c r="G1799" s="7">
        <v>6125</v>
      </c>
      <c r="H1799" s="8">
        <f t="shared" si="28"/>
        <v>6125</v>
      </c>
      <c r="I1799" s="10">
        <v>3</v>
      </c>
    </row>
    <row r="1800" spans="1:9" ht="15.75" thickBot="1" x14ac:dyDescent="0.3">
      <c r="A1800" s="1">
        <v>43800</v>
      </c>
      <c r="B1800" s="8" t="s">
        <v>6</v>
      </c>
      <c r="C1800" t="s">
        <v>7</v>
      </c>
      <c r="D1800" t="s">
        <v>456</v>
      </c>
      <c r="E1800" t="s">
        <v>13</v>
      </c>
      <c r="F1800" s="9">
        <v>2294</v>
      </c>
      <c r="G1800" s="6">
        <v>80072.130999999994</v>
      </c>
      <c r="H1800" s="8">
        <f t="shared" si="28"/>
        <v>80072.130999999994</v>
      </c>
      <c r="I1800" s="10">
        <v>5</v>
      </c>
    </row>
    <row r="1801" spans="1:9" ht="15.75" thickBot="1" x14ac:dyDescent="0.3">
      <c r="A1801" s="1">
        <v>43800</v>
      </c>
      <c r="B1801" s="8" t="s">
        <v>6</v>
      </c>
      <c r="C1801" t="s">
        <v>7</v>
      </c>
      <c r="D1801" t="s">
        <v>457</v>
      </c>
      <c r="E1801" t="s">
        <v>10</v>
      </c>
      <c r="F1801" s="9">
        <v>26607.82</v>
      </c>
      <c r="G1801" s="6">
        <v>878235.25</v>
      </c>
      <c r="H1801" s="8">
        <f t="shared" si="28"/>
        <v>878.23524999999995</v>
      </c>
      <c r="I1801" s="10">
        <v>87</v>
      </c>
    </row>
    <row r="1802" spans="1:9" ht="15.75" thickBot="1" x14ac:dyDescent="0.3">
      <c r="A1802" s="1">
        <v>43800</v>
      </c>
      <c r="B1802" s="8" t="s">
        <v>6</v>
      </c>
      <c r="C1802" t="s">
        <v>7</v>
      </c>
      <c r="D1802" t="s">
        <v>457</v>
      </c>
      <c r="E1802" t="s">
        <v>11</v>
      </c>
      <c r="F1802" s="9">
        <v>706.96</v>
      </c>
      <c r="G1802" s="4">
        <v>3</v>
      </c>
      <c r="H1802" s="8">
        <f t="shared" si="28"/>
        <v>3</v>
      </c>
      <c r="I1802" s="10">
        <v>1</v>
      </c>
    </row>
    <row r="1803" spans="1:9" ht="15.75" thickBot="1" x14ac:dyDescent="0.3">
      <c r="A1803" s="1">
        <v>43800</v>
      </c>
      <c r="B1803" s="8" t="s">
        <v>6</v>
      </c>
      <c r="C1803" t="s">
        <v>7</v>
      </c>
      <c r="D1803" t="s">
        <v>458</v>
      </c>
      <c r="E1803" t="s">
        <v>9</v>
      </c>
      <c r="F1803" s="9">
        <v>783</v>
      </c>
      <c r="G1803" s="4">
        <v>25</v>
      </c>
      <c r="H1803" s="8">
        <f t="shared" si="28"/>
        <v>25</v>
      </c>
      <c r="I1803" s="10">
        <v>1</v>
      </c>
    </row>
    <row r="1804" spans="1:9" ht="15.75" thickBot="1" x14ac:dyDescent="0.3">
      <c r="A1804" s="1">
        <v>43466</v>
      </c>
      <c r="B1804" s="8" t="s">
        <v>6</v>
      </c>
      <c r="C1804" t="s">
        <v>7</v>
      </c>
      <c r="D1804" t="s">
        <v>458</v>
      </c>
      <c r="E1804" t="s">
        <v>10</v>
      </c>
      <c r="F1804" s="9">
        <v>15007.67</v>
      </c>
      <c r="G1804" s="6">
        <v>384784.4</v>
      </c>
      <c r="H1804" s="8">
        <f t="shared" si="28"/>
        <v>384.78440000000001</v>
      </c>
      <c r="I1804" s="10">
        <v>37</v>
      </c>
    </row>
    <row r="1805" spans="1:9" ht="15.75" thickBot="1" x14ac:dyDescent="0.3">
      <c r="A1805" s="1">
        <v>43466</v>
      </c>
      <c r="B1805" s="8" t="s">
        <v>6</v>
      </c>
      <c r="C1805" t="s">
        <v>7</v>
      </c>
      <c r="D1805" t="s">
        <v>459</v>
      </c>
      <c r="E1805" t="s">
        <v>9</v>
      </c>
      <c r="F1805" s="9">
        <v>2376.3200000000002</v>
      </c>
      <c r="G1805" s="4">
        <v>76</v>
      </c>
      <c r="H1805" s="8">
        <f t="shared" si="28"/>
        <v>76</v>
      </c>
      <c r="I1805" s="10">
        <v>3</v>
      </c>
    </row>
    <row r="1806" spans="1:9" ht="15.75" thickBot="1" x14ac:dyDescent="0.3">
      <c r="A1806" s="1">
        <v>43466</v>
      </c>
      <c r="B1806" s="8" t="s">
        <v>6</v>
      </c>
      <c r="C1806" t="s">
        <v>7</v>
      </c>
      <c r="D1806" t="s">
        <v>459</v>
      </c>
      <c r="E1806" t="s">
        <v>10</v>
      </c>
      <c r="F1806" s="9">
        <v>27550.07</v>
      </c>
      <c r="G1806" s="6">
        <v>845287.05900000001</v>
      </c>
      <c r="H1806" s="8">
        <f t="shared" si="28"/>
        <v>845.287059</v>
      </c>
      <c r="I1806" s="10">
        <v>69</v>
      </c>
    </row>
    <row r="1807" spans="1:9" ht="15.75" thickBot="1" x14ac:dyDescent="0.3">
      <c r="A1807" s="1">
        <v>43800</v>
      </c>
      <c r="B1807" s="8" t="s">
        <v>6</v>
      </c>
      <c r="C1807" t="s">
        <v>7</v>
      </c>
      <c r="D1807" t="s">
        <v>460</v>
      </c>
      <c r="E1807" t="s">
        <v>9</v>
      </c>
      <c r="F1807" s="9">
        <v>27212.45</v>
      </c>
      <c r="G1807" s="4">
        <v>865</v>
      </c>
      <c r="H1807" s="8">
        <f t="shared" si="28"/>
        <v>865</v>
      </c>
      <c r="I1807" s="10">
        <v>29</v>
      </c>
    </row>
    <row r="1808" spans="1:9" ht="15.75" thickBot="1" x14ac:dyDescent="0.3">
      <c r="A1808" s="1">
        <v>43800</v>
      </c>
      <c r="B1808" s="8" t="s">
        <v>6</v>
      </c>
      <c r="C1808" t="s">
        <v>7</v>
      </c>
      <c r="D1808" t="s">
        <v>460</v>
      </c>
      <c r="E1808" t="s">
        <v>15</v>
      </c>
      <c r="F1808" s="9">
        <v>1325</v>
      </c>
      <c r="G1808" s="7">
        <v>6036.8689999999997</v>
      </c>
      <c r="H1808" s="8">
        <f t="shared" si="28"/>
        <v>6036.8689999999997</v>
      </c>
      <c r="I1808" s="10">
        <v>7</v>
      </c>
    </row>
    <row r="1809" spans="1:9" ht="15.75" thickBot="1" x14ac:dyDescent="0.3">
      <c r="A1809" s="1">
        <v>43800</v>
      </c>
      <c r="B1809" s="8" t="s">
        <v>6</v>
      </c>
      <c r="C1809" t="s">
        <v>7</v>
      </c>
      <c r="D1809" t="s">
        <v>460</v>
      </c>
      <c r="E1809" t="s">
        <v>10</v>
      </c>
      <c r="F1809" s="9">
        <v>466425.61</v>
      </c>
      <c r="G1809" s="6">
        <v>16519257.546</v>
      </c>
      <c r="H1809" s="8">
        <f t="shared" si="28"/>
        <v>16519.257546000001</v>
      </c>
      <c r="I1809" s="10">
        <v>1400</v>
      </c>
    </row>
    <row r="1810" spans="1:9" ht="15.75" thickBot="1" x14ac:dyDescent="0.3">
      <c r="A1810" s="1">
        <v>43800</v>
      </c>
      <c r="B1810" s="8" t="s">
        <v>6</v>
      </c>
      <c r="C1810" t="s">
        <v>7</v>
      </c>
      <c r="D1810" t="s">
        <v>460</v>
      </c>
      <c r="E1810" t="s">
        <v>11</v>
      </c>
      <c r="F1810" s="9">
        <v>11486.79</v>
      </c>
      <c r="G1810" s="7">
        <v>13340.42</v>
      </c>
      <c r="H1810" s="8">
        <f t="shared" si="28"/>
        <v>13340.42</v>
      </c>
      <c r="I1810" s="10">
        <v>15</v>
      </c>
    </row>
    <row r="1811" spans="1:9" ht="15.75" thickBot="1" x14ac:dyDescent="0.3">
      <c r="A1811" s="1">
        <v>43466</v>
      </c>
      <c r="B1811" s="8" t="s">
        <v>6</v>
      </c>
      <c r="C1811" t="s">
        <v>7</v>
      </c>
      <c r="D1811" t="s">
        <v>460</v>
      </c>
      <c r="E1811" t="s">
        <v>13</v>
      </c>
      <c r="F1811" s="9">
        <v>1229.3499999999999</v>
      </c>
      <c r="G1811" s="6">
        <v>44000</v>
      </c>
      <c r="H1811" s="8">
        <f t="shared" si="28"/>
        <v>44000</v>
      </c>
      <c r="I1811" s="10">
        <v>5</v>
      </c>
    </row>
    <row r="1812" spans="1:9" ht="15.75" thickBot="1" x14ac:dyDescent="0.3">
      <c r="A1812" s="1">
        <v>43466</v>
      </c>
      <c r="B1812" s="8" t="s">
        <v>6</v>
      </c>
      <c r="C1812" t="s">
        <v>7</v>
      </c>
      <c r="D1812" t="s">
        <v>461</v>
      </c>
      <c r="E1812" t="s">
        <v>15</v>
      </c>
      <c r="F1812" s="9">
        <v>1751.14</v>
      </c>
      <c r="G1812" s="4">
        <v>2</v>
      </c>
      <c r="H1812" s="8">
        <f t="shared" si="28"/>
        <v>2</v>
      </c>
      <c r="I1812" s="10">
        <v>2</v>
      </c>
    </row>
    <row r="1813" spans="1:9" ht="15.75" thickBot="1" x14ac:dyDescent="0.3">
      <c r="A1813" s="1">
        <v>43466</v>
      </c>
      <c r="B1813" s="8" t="s">
        <v>6</v>
      </c>
      <c r="C1813" t="s">
        <v>7</v>
      </c>
      <c r="D1813" t="s">
        <v>461</v>
      </c>
      <c r="E1813" t="s">
        <v>10</v>
      </c>
      <c r="F1813" s="9">
        <v>36644.01</v>
      </c>
      <c r="G1813" s="6">
        <v>1430001.4410000001</v>
      </c>
      <c r="H1813" s="8">
        <f t="shared" si="28"/>
        <v>1430.0014410000001</v>
      </c>
      <c r="I1813" s="10">
        <v>136</v>
      </c>
    </row>
    <row r="1814" spans="1:9" ht="15.75" thickBot="1" x14ac:dyDescent="0.3">
      <c r="A1814" s="1">
        <v>43800</v>
      </c>
      <c r="B1814" s="8" t="s">
        <v>6</v>
      </c>
      <c r="C1814" t="s">
        <v>7</v>
      </c>
      <c r="D1814" t="s">
        <v>461</v>
      </c>
      <c r="E1814" t="s">
        <v>11</v>
      </c>
      <c r="F1814" s="9">
        <v>27810.66</v>
      </c>
      <c r="G1814" s="4">
        <v>937</v>
      </c>
      <c r="H1814" s="8">
        <f t="shared" si="28"/>
        <v>937</v>
      </c>
      <c r="I1814" s="10">
        <v>2</v>
      </c>
    </row>
    <row r="1815" spans="1:9" ht="15.75" thickBot="1" x14ac:dyDescent="0.3">
      <c r="A1815" s="1">
        <v>43800</v>
      </c>
      <c r="B1815" s="8" t="s">
        <v>6</v>
      </c>
      <c r="C1815" t="s">
        <v>7</v>
      </c>
      <c r="D1815" t="s">
        <v>461</v>
      </c>
      <c r="E1815" t="s">
        <v>13</v>
      </c>
      <c r="F1815" s="9">
        <v>85.82</v>
      </c>
      <c r="G1815" s="6">
        <v>2000</v>
      </c>
      <c r="H1815" s="8">
        <f t="shared" si="28"/>
        <v>2000</v>
      </c>
      <c r="I1815" s="10">
        <v>1</v>
      </c>
    </row>
    <row r="1816" spans="1:9" ht="15.75" thickBot="1" x14ac:dyDescent="0.3">
      <c r="A1816" s="1">
        <v>43800</v>
      </c>
      <c r="B1816" s="8" t="s">
        <v>6</v>
      </c>
      <c r="C1816" t="s">
        <v>7</v>
      </c>
      <c r="D1816" t="s">
        <v>462</v>
      </c>
      <c r="E1816" t="s">
        <v>15</v>
      </c>
      <c r="F1816" s="9">
        <v>303.24</v>
      </c>
      <c r="G1816" s="4">
        <v>7</v>
      </c>
      <c r="H1816" s="8">
        <f t="shared" si="28"/>
        <v>7</v>
      </c>
      <c r="I1816" s="10">
        <v>2</v>
      </c>
    </row>
    <row r="1817" spans="1:9" ht="15.75" thickBot="1" x14ac:dyDescent="0.3">
      <c r="A1817" s="1">
        <v>43800</v>
      </c>
      <c r="B1817" s="8" t="s">
        <v>6</v>
      </c>
      <c r="C1817" t="s">
        <v>7</v>
      </c>
      <c r="D1817" t="s">
        <v>463</v>
      </c>
      <c r="E1817" t="s">
        <v>9</v>
      </c>
      <c r="F1817" s="9">
        <v>191267.52</v>
      </c>
      <c r="G1817" s="4">
        <v>5988</v>
      </c>
      <c r="H1817" s="8">
        <f t="shared" si="28"/>
        <v>5988</v>
      </c>
      <c r="I1817" s="10">
        <v>12</v>
      </c>
    </row>
    <row r="1818" spans="1:9" ht="15.75" thickBot="1" x14ac:dyDescent="0.3">
      <c r="A1818" s="1">
        <v>43466</v>
      </c>
      <c r="B1818" s="8" t="s">
        <v>6</v>
      </c>
      <c r="C1818" t="s">
        <v>7</v>
      </c>
      <c r="D1818" t="s">
        <v>463</v>
      </c>
      <c r="E1818" t="s">
        <v>10</v>
      </c>
      <c r="F1818" s="9">
        <v>9520.1200000000008</v>
      </c>
      <c r="G1818" s="7">
        <v>52328.917000000001</v>
      </c>
      <c r="H1818" s="8">
        <f t="shared" si="28"/>
        <v>52.328917000000004</v>
      </c>
      <c r="I1818" s="10">
        <v>12</v>
      </c>
    </row>
    <row r="1819" spans="1:9" ht="15.75" thickBot="1" x14ac:dyDescent="0.3">
      <c r="A1819" s="1">
        <v>43466</v>
      </c>
      <c r="B1819" s="8" t="s">
        <v>6</v>
      </c>
      <c r="C1819" t="s">
        <v>7</v>
      </c>
      <c r="D1819" t="s">
        <v>463</v>
      </c>
      <c r="E1819" t="s">
        <v>17</v>
      </c>
      <c r="F1819" s="9">
        <v>44641.71</v>
      </c>
      <c r="G1819" s="7">
        <v>4161.8580000000002</v>
      </c>
      <c r="H1819" s="8">
        <f t="shared" si="28"/>
        <v>4161.8580000000002</v>
      </c>
      <c r="I1819" s="10">
        <v>10</v>
      </c>
    </row>
    <row r="1820" spans="1:9" ht="15.75" thickBot="1" x14ac:dyDescent="0.3">
      <c r="A1820" s="1">
        <v>43466</v>
      </c>
      <c r="B1820" s="8" t="s">
        <v>6</v>
      </c>
      <c r="C1820" t="s">
        <v>7</v>
      </c>
      <c r="D1820" t="s">
        <v>463</v>
      </c>
      <c r="E1820" t="s">
        <v>11</v>
      </c>
      <c r="F1820" s="9">
        <v>24335.86</v>
      </c>
      <c r="G1820" s="4">
        <v>588</v>
      </c>
      <c r="H1820" s="8">
        <f t="shared" si="28"/>
        <v>588</v>
      </c>
      <c r="I1820" s="10">
        <v>15</v>
      </c>
    </row>
    <row r="1821" spans="1:9" ht="15.75" thickBot="1" x14ac:dyDescent="0.3">
      <c r="A1821" s="1">
        <v>43800</v>
      </c>
      <c r="B1821" s="8" t="s">
        <v>6</v>
      </c>
      <c r="C1821" t="s">
        <v>7</v>
      </c>
      <c r="D1821" t="s">
        <v>463</v>
      </c>
      <c r="E1821" t="s">
        <v>13</v>
      </c>
      <c r="F1821" s="9">
        <v>1356.2</v>
      </c>
      <c r="G1821" s="4">
        <v>35</v>
      </c>
      <c r="H1821" s="8">
        <f t="shared" si="28"/>
        <v>35</v>
      </c>
      <c r="I1821" s="10">
        <v>1</v>
      </c>
    </row>
    <row r="1822" spans="1:9" ht="15.75" thickBot="1" x14ac:dyDescent="0.3">
      <c r="A1822" s="1">
        <v>43800</v>
      </c>
      <c r="B1822" s="8" t="s">
        <v>6</v>
      </c>
      <c r="C1822" t="s">
        <v>7</v>
      </c>
      <c r="D1822" t="s">
        <v>464</v>
      </c>
      <c r="E1822" t="s">
        <v>15</v>
      </c>
      <c r="F1822" s="9">
        <v>1233.43</v>
      </c>
      <c r="G1822" s="4">
        <v>24</v>
      </c>
      <c r="H1822" s="8">
        <f t="shared" si="28"/>
        <v>24</v>
      </c>
      <c r="I1822" s="10">
        <v>4</v>
      </c>
    </row>
    <row r="1823" spans="1:9" ht="15.75" thickBot="1" x14ac:dyDescent="0.3">
      <c r="A1823" s="1">
        <v>43800</v>
      </c>
      <c r="B1823" s="8" t="s">
        <v>6</v>
      </c>
      <c r="C1823" t="s">
        <v>7</v>
      </c>
      <c r="D1823" t="s">
        <v>464</v>
      </c>
      <c r="E1823" t="s">
        <v>10</v>
      </c>
      <c r="F1823" s="9">
        <v>170064.57</v>
      </c>
      <c r="G1823" s="6">
        <v>6210456.9119999995</v>
      </c>
      <c r="H1823" s="8">
        <f t="shared" si="28"/>
        <v>6210.4569119999996</v>
      </c>
      <c r="I1823" s="10">
        <v>876</v>
      </c>
    </row>
    <row r="1824" spans="1:9" ht="15.75" thickBot="1" x14ac:dyDescent="0.3">
      <c r="A1824" s="1">
        <v>43800</v>
      </c>
      <c r="B1824" s="8" t="s">
        <v>6</v>
      </c>
      <c r="C1824" t="s">
        <v>7</v>
      </c>
      <c r="D1824" t="s">
        <v>464</v>
      </c>
      <c r="E1824" t="s">
        <v>11</v>
      </c>
      <c r="F1824" s="9">
        <v>1566.37</v>
      </c>
      <c r="G1824" s="4">
        <v>40</v>
      </c>
      <c r="H1824" s="8">
        <f t="shared" si="28"/>
        <v>40</v>
      </c>
      <c r="I1824" s="10">
        <v>8</v>
      </c>
    </row>
    <row r="1825" spans="1:9" ht="15.75" thickBot="1" x14ac:dyDescent="0.3">
      <c r="A1825" s="1">
        <v>43466</v>
      </c>
      <c r="B1825" s="8" t="s">
        <v>6</v>
      </c>
      <c r="C1825" t="s">
        <v>7</v>
      </c>
      <c r="D1825" t="s">
        <v>464</v>
      </c>
      <c r="E1825" t="s">
        <v>13</v>
      </c>
      <c r="F1825" s="9">
        <v>2191.83</v>
      </c>
      <c r="G1825" s="6">
        <v>140887.505</v>
      </c>
      <c r="H1825" s="8">
        <f t="shared" si="28"/>
        <v>140887.505</v>
      </c>
      <c r="I1825" s="10">
        <v>8</v>
      </c>
    </row>
    <row r="1826" spans="1:9" ht="15.75" thickBot="1" x14ac:dyDescent="0.3">
      <c r="A1826" s="1">
        <v>43466</v>
      </c>
      <c r="B1826" s="8" t="s">
        <v>6</v>
      </c>
      <c r="C1826" t="s">
        <v>7</v>
      </c>
      <c r="D1826" t="s">
        <v>465</v>
      </c>
      <c r="E1826" t="s">
        <v>15</v>
      </c>
      <c r="F1826" s="9">
        <v>554.55999999999995</v>
      </c>
      <c r="G1826" s="4">
        <v>8</v>
      </c>
      <c r="H1826" s="8">
        <f t="shared" si="28"/>
        <v>8</v>
      </c>
      <c r="I1826" s="10">
        <v>6</v>
      </c>
    </row>
    <row r="1827" spans="1:9" ht="15.75" thickBot="1" x14ac:dyDescent="0.3">
      <c r="A1827" s="1">
        <v>43466</v>
      </c>
      <c r="B1827" s="8" t="s">
        <v>6</v>
      </c>
      <c r="C1827" t="s">
        <v>7</v>
      </c>
      <c r="D1827" t="s">
        <v>465</v>
      </c>
      <c r="E1827" t="s">
        <v>10</v>
      </c>
      <c r="F1827" s="9">
        <v>183444.02</v>
      </c>
      <c r="G1827" s="6">
        <v>6866208.2889999999</v>
      </c>
      <c r="H1827" s="8">
        <f t="shared" si="28"/>
        <v>6866.2082890000001</v>
      </c>
      <c r="I1827" s="10">
        <v>530</v>
      </c>
    </row>
    <row r="1828" spans="1:9" ht="15.75" thickBot="1" x14ac:dyDescent="0.3">
      <c r="A1828" s="1">
        <v>43800</v>
      </c>
      <c r="B1828" s="8" t="s">
        <v>6</v>
      </c>
      <c r="C1828" t="s">
        <v>7</v>
      </c>
      <c r="D1828" t="s">
        <v>465</v>
      </c>
      <c r="E1828" t="s">
        <v>11</v>
      </c>
      <c r="F1828" s="9">
        <v>127.32</v>
      </c>
      <c r="G1828" s="4">
        <v>1</v>
      </c>
      <c r="H1828" s="8">
        <f t="shared" si="28"/>
        <v>1</v>
      </c>
      <c r="I1828" s="10">
        <v>1</v>
      </c>
    </row>
    <row r="1829" spans="1:9" ht="15.75" thickBot="1" x14ac:dyDescent="0.3">
      <c r="A1829" s="1">
        <v>43800</v>
      </c>
      <c r="B1829" s="8" t="s">
        <v>6</v>
      </c>
      <c r="C1829" t="s">
        <v>7</v>
      </c>
      <c r="D1829" t="s">
        <v>465</v>
      </c>
      <c r="E1829" t="s">
        <v>13</v>
      </c>
      <c r="F1829" s="9">
        <v>661.72</v>
      </c>
      <c r="G1829" s="6">
        <v>26000</v>
      </c>
      <c r="H1829" s="8">
        <f t="shared" si="28"/>
        <v>26000</v>
      </c>
      <c r="I1829" s="10">
        <v>2</v>
      </c>
    </row>
    <row r="1830" spans="1:9" ht="15.75" thickBot="1" x14ac:dyDescent="0.3">
      <c r="A1830" s="1">
        <v>43800</v>
      </c>
      <c r="B1830" s="8" t="s">
        <v>6</v>
      </c>
      <c r="C1830" t="s">
        <v>7</v>
      </c>
      <c r="D1830" t="s">
        <v>466</v>
      </c>
      <c r="E1830" t="s">
        <v>9</v>
      </c>
      <c r="F1830" s="9">
        <v>1368.72</v>
      </c>
      <c r="G1830" s="4">
        <v>46</v>
      </c>
      <c r="H1830" s="8">
        <f t="shared" si="28"/>
        <v>46</v>
      </c>
      <c r="I1830" s="10">
        <v>2</v>
      </c>
    </row>
    <row r="1831" spans="1:9" ht="15.75" thickBot="1" x14ac:dyDescent="0.3">
      <c r="A1831" s="1">
        <v>43800</v>
      </c>
      <c r="B1831" s="8" t="s">
        <v>6</v>
      </c>
      <c r="C1831" t="s">
        <v>7</v>
      </c>
      <c r="D1831" t="s">
        <v>466</v>
      </c>
      <c r="E1831" t="s">
        <v>15</v>
      </c>
      <c r="F1831" s="9">
        <v>1906.04</v>
      </c>
      <c r="G1831" s="4">
        <v>22</v>
      </c>
      <c r="H1831" s="8">
        <f t="shared" si="28"/>
        <v>22</v>
      </c>
      <c r="I1831" s="10">
        <v>7</v>
      </c>
    </row>
    <row r="1832" spans="1:9" ht="15.75" thickBot="1" x14ac:dyDescent="0.3">
      <c r="A1832" s="1">
        <v>43466</v>
      </c>
      <c r="B1832" s="8" t="s">
        <v>6</v>
      </c>
      <c r="C1832" t="s">
        <v>7</v>
      </c>
      <c r="D1832" t="s">
        <v>466</v>
      </c>
      <c r="E1832" t="s">
        <v>10</v>
      </c>
      <c r="F1832" s="9">
        <v>233575.43</v>
      </c>
      <c r="G1832" s="6">
        <v>8464796.7119999994</v>
      </c>
      <c r="H1832" s="8">
        <f t="shared" si="28"/>
        <v>8464.7967119999994</v>
      </c>
      <c r="I1832" s="10">
        <v>723</v>
      </c>
    </row>
    <row r="1833" spans="1:9" ht="15.75" thickBot="1" x14ac:dyDescent="0.3">
      <c r="A1833" s="1">
        <v>43466</v>
      </c>
      <c r="B1833" s="8" t="s">
        <v>6</v>
      </c>
      <c r="C1833" t="s">
        <v>7</v>
      </c>
      <c r="D1833" t="s">
        <v>466</v>
      </c>
      <c r="E1833" t="s">
        <v>11</v>
      </c>
      <c r="F1833" s="9">
        <v>17654.27</v>
      </c>
      <c r="G1833" s="4">
        <v>537</v>
      </c>
      <c r="H1833" s="8">
        <f t="shared" si="28"/>
        <v>537</v>
      </c>
      <c r="I1833" s="10">
        <v>12</v>
      </c>
    </row>
    <row r="1834" spans="1:9" ht="15.75" thickBot="1" x14ac:dyDescent="0.3">
      <c r="A1834" s="1">
        <v>43466</v>
      </c>
      <c r="B1834" s="8" t="s">
        <v>6</v>
      </c>
      <c r="C1834" t="s">
        <v>7</v>
      </c>
      <c r="D1834" t="s">
        <v>466</v>
      </c>
      <c r="E1834" t="s">
        <v>13</v>
      </c>
      <c r="F1834" s="9">
        <v>1166.6500000000001</v>
      </c>
      <c r="G1834" s="6">
        <v>18000</v>
      </c>
      <c r="H1834" s="8">
        <f t="shared" si="28"/>
        <v>18000</v>
      </c>
      <c r="I1834" s="10">
        <v>4</v>
      </c>
    </row>
    <row r="1835" spans="1:9" ht="15.75" thickBot="1" x14ac:dyDescent="0.3">
      <c r="A1835" s="1">
        <v>43800</v>
      </c>
      <c r="B1835" s="8" t="s">
        <v>6</v>
      </c>
      <c r="C1835" t="s">
        <v>7</v>
      </c>
      <c r="D1835" t="s">
        <v>467</v>
      </c>
      <c r="E1835" t="s">
        <v>10</v>
      </c>
      <c r="F1835" s="9">
        <v>26769</v>
      </c>
      <c r="G1835" s="6">
        <v>877519.05</v>
      </c>
      <c r="H1835" s="8">
        <f t="shared" si="28"/>
        <v>877.51904999999999</v>
      </c>
      <c r="I1835" s="10">
        <v>66</v>
      </c>
    </row>
    <row r="1836" spans="1:9" ht="15.75" thickBot="1" x14ac:dyDescent="0.3">
      <c r="A1836" s="1">
        <v>43800</v>
      </c>
      <c r="B1836" s="8" t="s">
        <v>6</v>
      </c>
      <c r="C1836" t="s">
        <v>7</v>
      </c>
      <c r="D1836" t="s">
        <v>468</v>
      </c>
      <c r="E1836" t="s">
        <v>15</v>
      </c>
      <c r="F1836" s="9">
        <v>16422.45</v>
      </c>
      <c r="G1836" s="7">
        <v>14201.367</v>
      </c>
      <c r="H1836" s="8">
        <f t="shared" si="28"/>
        <v>14201.367</v>
      </c>
      <c r="I1836" s="10">
        <v>168</v>
      </c>
    </row>
    <row r="1837" spans="1:9" ht="15.75" thickBot="1" x14ac:dyDescent="0.3">
      <c r="A1837" s="1">
        <v>43800</v>
      </c>
      <c r="B1837" s="8" t="s">
        <v>6</v>
      </c>
      <c r="C1837" t="s">
        <v>7</v>
      </c>
      <c r="D1837" t="s">
        <v>468</v>
      </c>
      <c r="E1837" t="s">
        <v>10</v>
      </c>
      <c r="F1837" s="9">
        <v>38109.22</v>
      </c>
      <c r="G1837" s="6">
        <v>2843437.5780000002</v>
      </c>
      <c r="H1837" s="8">
        <f t="shared" si="28"/>
        <v>2843.437578</v>
      </c>
      <c r="I1837" s="10">
        <v>277</v>
      </c>
    </row>
    <row r="1838" spans="1:9" ht="15.75" thickBot="1" x14ac:dyDescent="0.3">
      <c r="A1838" s="1">
        <v>43800</v>
      </c>
      <c r="B1838" s="8" t="s">
        <v>6</v>
      </c>
      <c r="C1838" t="s">
        <v>7</v>
      </c>
      <c r="D1838" t="s">
        <v>468</v>
      </c>
      <c r="E1838" t="s">
        <v>11</v>
      </c>
      <c r="F1838" s="9">
        <v>2158.23</v>
      </c>
      <c r="G1838" s="7">
        <v>17030</v>
      </c>
      <c r="H1838" s="8">
        <f t="shared" si="28"/>
        <v>17030</v>
      </c>
      <c r="I1838" s="10">
        <v>9</v>
      </c>
    </row>
    <row r="1839" spans="1:9" ht="15.75" thickBot="1" x14ac:dyDescent="0.3">
      <c r="A1839" s="1">
        <v>43466</v>
      </c>
      <c r="B1839" s="8" t="s">
        <v>6</v>
      </c>
      <c r="C1839" t="s">
        <v>7</v>
      </c>
      <c r="D1839" t="s">
        <v>468</v>
      </c>
      <c r="E1839" t="s">
        <v>13</v>
      </c>
      <c r="F1839" s="9">
        <v>56</v>
      </c>
      <c r="G1839" s="4">
        <v>0</v>
      </c>
      <c r="H1839" s="8">
        <f t="shared" si="28"/>
        <v>0</v>
      </c>
      <c r="I1839" s="10">
        <v>1</v>
      </c>
    </row>
    <row r="1840" spans="1:9" ht="15.75" thickBot="1" x14ac:dyDescent="0.3">
      <c r="A1840" s="1">
        <v>43466</v>
      </c>
      <c r="B1840" s="8" t="s">
        <v>6</v>
      </c>
      <c r="C1840" t="s">
        <v>7</v>
      </c>
      <c r="D1840" t="s">
        <v>469</v>
      </c>
      <c r="E1840" t="s">
        <v>9</v>
      </c>
      <c r="F1840" s="9">
        <v>69344.41</v>
      </c>
      <c r="G1840" s="7">
        <v>442115.21299999999</v>
      </c>
      <c r="H1840" s="8">
        <f t="shared" si="28"/>
        <v>442115.21299999999</v>
      </c>
      <c r="I1840" s="10">
        <v>9</v>
      </c>
    </row>
    <row r="1841" spans="1:9" ht="15.75" thickBot="1" x14ac:dyDescent="0.3">
      <c r="A1841" s="1">
        <v>43466</v>
      </c>
      <c r="B1841" s="8" t="s">
        <v>6</v>
      </c>
      <c r="C1841" t="s">
        <v>7</v>
      </c>
      <c r="D1841" t="s">
        <v>469</v>
      </c>
      <c r="E1841" t="s">
        <v>15</v>
      </c>
      <c r="F1841" s="9">
        <v>4642.84</v>
      </c>
      <c r="G1841" s="4">
        <v>137</v>
      </c>
      <c r="H1841" s="8">
        <f t="shared" si="28"/>
        <v>137</v>
      </c>
      <c r="I1841" s="10">
        <v>3</v>
      </c>
    </row>
    <row r="1842" spans="1:9" ht="15.75" thickBot="1" x14ac:dyDescent="0.3">
      <c r="A1842" s="1">
        <v>43800</v>
      </c>
      <c r="B1842" s="8" t="s">
        <v>6</v>
      </c>
      <c r="C1842" t="s">
        <v>7</v>
      </c>
      <c r="D1842" t="s">
        <v>469</v>
      </c>
      <c r="E1842" t="s">
        <v>10</v>
      </c>
      <c r="F1842" s="9">
        <v>177620.07</v>
      </c>
      <c r="G1842" s="7">
        <v>8300804.8090000004</v>
      </c>
      <c r="H1842" s="8">
        <f t="shared" si="28"/>
        <v>8300.8048090000011</v>
      </c>
      <c r="I1842" s="10">
        <v>46</v>
      </c>
    </row>
    <row r="1843" spans="1:9" ht="15.75" thickBot="1" x14ac:dyDescent="0.3">
      <c r="A1843" s="1">
        <v>43800</v>
      </c>
      <c r="B1843" s="8" t="s">
        <v>6</v>
      </c>
      <c r="C1843" t="s">
        <v>7</v>
      </c>
      <c r="D1843" t="s">
        <v>469</v>
      </c>
      <c r="E1843" t="s">
        <v>17</v>
      </c>
      <c r="F1843" s="9">
        <v>14417.13</v>
      </c>
      <c r="G1843" s="7">
        <v>485093</v>
      </c>
      <c r="H1843" s="8">
        <f t="shared" si="28"/>
        <v>485093</v>
      </c>
      <c r="I1843" s="10">
        <v>2</v>
      </c>
    </row>
    <row r="1844" spans="1:9" ht="15.75" thickBot="1" x14ac:dyDescent="0.3">
      <c r="A1844" s="1">
        <v>43800</v>
      </c>
      <c r="B1844" s="8" t="s">
        <v>6</v>
      </c>
      <c r="C1844" t="s">
        <v>7</v>
      </c>
      <c r="D1844" t="s">
        <v>469</v>
      </c>
      <c r="E1844" t="s">
        <v>11</v>
      </c>
      <c r="F1844" s="9">
        <v>19701.55</v>
      </c>
      <c r="G1844" s="7">
        <v>121359</v>
      </c>
      <c r="H1844" s="8">
        <f t="shared" si="28"/>
        <v>121359</v>
      </c>
      <c r="I1844" s="10">
        <v>13</v>
      </c>
    </row>
    <row r="1845" spans="1:9" ht="15.75" thickBot="1" x14ac:dyDescent="0.3">
      <c r="A1845" s="1">
        <v>43800</v>
      </c>
      <c r="B1845" s="8" t="s">
        <v>6</v>
      </c>
      <c r="C1845" t="s">
        <v>7</v>
      </c>
      <c r="D1845" t="s">
        <v>470</v>
      </c>
      <c r="E1845" t="s">
        <v>9</v>
      </c>
      <c r="F1845" s="9">
        <v>564.44000000000005</v>
      </c>
      <c r="G1845" s="4">
        <v>17</v>
      </c>
      <c r="H1845" s="8">
        <f t="shared" si="28"/>
        <v>17</v>
      </c>
      <c r="I1845" s="10">
        <v>1</v>
      </c>
    </row>
    <row r="1846" spans="1:9" ht="15.75" thickBot="1" x14ac:dyDescent="0.3">
      <c r="A1846" s="1">
        <v>43466</v>
      </c>
      <c r="B1846" s="8" t="s">
        <v>6</v>
      </c>
      <c r="C1846" t="s">
        <v>7</v>
      </c>
      <c r="D1846" t="s">
        <v>470</v>
      </c>
      <c r="E1846" t="s">
        <v>10</v>
      </c>
      <c r="F1846" s="9">
        <v>40738.559999999998</v>
      </c>
      <c r="G1846" s="6">
        <v>1348569.148</v>
      </c>
      <c r="H1846" s="8">
        <f t="shared" si="28"/>
        <v>1348.569148</v>
      </c>
      <c r="I1846" s="10">
        <v>120</v>
      </c>
    </row>
    <row r="1847" spans="1:9" ht="15.75" thickBot="1" x14ac:dyDescent="0.3">
      <c r="A1847" s="1">
        <v>43466</v>
      </c>
      <c r="B1847" s="8" t="s">
        <v>6</v>
      </c>
      <c r="C1847" t="s">
        <v>7</v>
      </c>
      <c r="D1847" t="s">
        <v>470</v>
      </c>
      <c r="E1847" t="s">
        <v>11</v>
      </c>
      <c r="F1847" s="9">
        <v>3802.53</v>
      </c>
      <c r="G1847" s="7">
        <v>7103</v>
      </c>
      <c r="H1847" s="8">
        <f t="shared" si="28"/>
        <v>7103</v>
      </c>
      <c r="I1847" s="10">
        <v>2</v>
      </c>
    </row>
    <row r="1848" spans="1:9" ht="15.75" thickBot="1" x14ac:dyDescent="0.3">
      <c r="A1848" s="1">
        <v>43466</v>
      </c>
      <c r="B1848" s="8" t="s">
        <v>6</v>
      </c>
      <c r="C1848" t="s">
        <v>7</v>
      </c>
      <c r="D1848" t="s">
        <v>470</v>
      </c>
      <c r="E1848" t="s">
        <v>13</v>
      </c>
      <c r="F1848" s="9">
        <v>650.64</v>
      </c>
      <c r="G1848" s="6">
        <v>23000</v>
      </c>
      <c r="H1848" s="8">
        <f t="shared" si="28"/>
        <v>23000</v>
      </c>
      <c r="I1848" s="10">
        <v>1</v>
      </c>
    </row>
    <row r="1849" spans="1:9" ht="15.75" thickBot="1" x14ac:dyDescent="0.3">
      <c r="A1849" s="1">
        <v>43800</v>
      </c>
      <c r="B1849" s="8" t="s">
        <v>6</v>
      </c>
      <c r="C1849" t="s">
        <v>7</v>
      </c>
      <c r="D1849" t="s">
        <v>471</v>
      </c>
      <c r="E1849" t="s">
        <v>15</v>
      </c>
      <c r="F1849" s="9">
        <v>1573.28</v>
      </c>
      <c r="G1849" s="4">
        <v>53</v>
      </c>
      <c r="H1849" s="8">
        <f t="shared" si="28"/>
        <v>53</v>
      </c>
      <c r="I1849" s="10">
        <v>3</v>
      </c>
    </row>
    <row r="1850" spans="1:9" ht="15.75" thickBot="1" x14ac:dyDescent="0.3">
      <c r="A1850" s="1">
        <v>43800</v>
      </c>
      <c r="B1850" s="8" t="s">
        <v>6</v>
      </c>
      <c r="C1850" t="s">
        <v>7</v>
      </c>
      <c r="D1850" t="s">
        <v>471</v>
      </c>
      <c r="E1850" t="s">
        <v>10</v>
      </c>
      <c r="F1850" s="9">
        <v>117628.71</v>
      </c>
      <c r="G1850" s="6">
        <v>3761634.0580000002</v>
      </c>
      <c r="H1850" s="8">
        <f t="shared" si="28"/>
        <v>3761.6340580000001</v>
      </c>
      <c r="I1850" s="10">
        <v>400</v>
      </c>
    </row>
    <row r="1851" spans="1:9" ht="15.75" thickBot="1" x14ac:dyDescent="0.3">
      <c r="A1851" s="1">
        <v>43800</v>
      </c>
      <c r="B1851" s="8" t="s">
        <v>6</v>
      </c>
      <c r="C1851" t="s">
        <v>7</v>
      </c>
      <c r="D1851" t="s">
        <v>471</v>
      </c>
      <c r="E1851" t="s">
        <v>11</v>
      </c>
      <c r="F1851" s="9">
        <v>81.569999999999993</v>
      </c>
      <c r="G1851" s="5">
        <v>0</v>
      </c>
      <c r="H1851" s="8">
        <f t="shared" si="28"/>
        <v>0</v>
      </c>
      <c r="I1851" s="10">
        <v>1</v>
      </c>
    </row>
    <row r="1852" spans="1:9" ht="15.75" thickBot="1" x14ac:dyDescent="0.3">
      <c r="A1852" s="1">
        <v>43800</v>
      </c>
      <c r="B1852" s="8" t="s">
        <v>6</v>
      </c>
      <c r="C1852" t="s">
        <v>7</v>
      </c>
      <c r="D1852" t="s">
        <v>472</v>
      </c>
      <c r="E1852" t="s">
        <v>10</v>
      </c>
      <c r="F1852" s="9">
        <v>23245.54</v>
      </c>
      <c r="G1852" s="6">
        <v>791484</v>
      </c>
      <c r="H1852" s="8">
        <f t="shared" si="28"/>
        <v>791.48400000000004</v>
      </c>
      <c r="I1852" s="10">
        <v>76</v>
      </c>
    </row>
    <row r="1853" spans="1:9" ht="15.75" thickBot="1" x14ac:dyDescent="0.3">
      <c r="A1853" s="1">
        <v>43466</v>
      </c>
      <c r="B1853" s="8" t="s">
        <v>6</v>
      </c>
      <c r="C1853" t="s">
        <v>7</v>
      </c>
      <c r="D1853" t="s">
        <v>473</v>
      </c>
      <c r="E1853" t="s">
        <v>10</v>
      </c>
      <c r="F1853" s="9">
        <v>133255.28</v>
      </c>
      <c r="G1853" s="7">
        <v>4796398.9869999997</v>
      </c>
      <c r="H1853" s="8">
        <f t="shared" si="28"/>
        <v>4796.3989869999996</v>
      </c>
      <c r="I1853" s="10">
        <v>425</v>
      </c>
    </row>
    <row r="1854" spans="1:9" ht="15.75" thickBot="1" x14ac:dyDescent="0.3">
      <c r="A1854" s="1">
        <v>43466</v>
      </c>
      <c r="B1854" s="8" t="s">
        <v>6</v>
      </c>
      <c r="C1854" t="s">
        <v>7</v>
      </c>
      <c r="D1854" t="s">
        <v>473</v>
      </c>
      <c r="E1854" t="s">
        <v>11</v>
      </c>
      <c r="F1854" s="9">
        <v>18203.259999999998</v>
      </c>
      <c r="G1854" s="4">
        <v>515</v>
      </c>
      <c r="H1854" s="8">
        <f t="shared" si="28"/>
        <v>515</v>
      </c>
      <c r="I1854" s="10">
        <v>5</v>
      </c>
    </row>
    <row r="1855" spans="1:9" ht="15.75" thickBot="1" x14ac:dyDescent="0.3">
      <c r="A1855" s="1">
        <v>43466</v>
      </c>
      <c r="B1855" s="8" t="s">
        <v>6</v>
      </c>
      <c r="C1855" t="s">
        <v>7</v>
      </c>
      <c r="D1855" t="s">
        <v>473</v>
      </c>
      <c r="E1855" t="s">
        <v>13</v>
      </c>
      <c r="F1855" s="9">
        <v>1571.34</v>
      </c>
      <c r="G1855" s="6">
        <v>59000</v>
      </c>
      <c r="H1855" s="8">
        <f t="shared" si="28"/>
        <v>59000</v>
      </c>
      <c r="I1855" s="10">
        <v>4</v>
      </c>
    </row>
    <row r="1856" spans="1:9" ht="15.75" thickBot="1" x14ac:dyDescent="0.3">
      <c r="A1856" s="1">
        <v>43800</v>
      </c>
      <c r="B1856" s="8" t="s">
        <v>6</v>
      </c>
      <c r="C1856" t="s">
        <v>7</v>
      </c>
      <c r="D1856" t="s">
        <v>474</v>
      </c>
      <c r="E1856" t="s">
        <v>9</v>
      </c>
      <c r="F1856" s="9">
        <v>212453.1</v>
      </c>
      <c r="G1856" s="4">
        <v>5899</v>
      </c>
      <c r="H1856" s="8">
        <f t="shared" si="28"/>
        <v>5899</v>
      </c>
      <c r="I1856" s="10">
        <v>70</v>
      </c>
    </row>
    <row r="1857" spans="1:9" ht="15.75" thickBot="1" x14ac:dyDescent="0.3">
      <c r="A1857" s="1">
        <v>43800</v>
      </c>
      <c r="B1857" s="8" t="s">
        <v>6</v>
      </c>
      <c r="C1857" t="s">
        <v>7</v>
      </c>
      <c r="D1857" t="s">
        <v>474</v>
      </c>
      <c r="E1857" t="s">
        <v>15</v>
      </c>
      <c r="F1857" s="9">
        <v>5681.57</v>
      </c>
      <c r="G1857" s="4">
        <v>161</v>
      </c>
      <c r="H1857" s="8">
        <f t="shared" si="28"/>
        <v>161</v>
      </c>
      <c r="I1857" s="10">
        <v>10</v>
      </c>
    </row>
    <row r="1858" spans="1:9" ht="15.75" thickBot="1" x14ac:dyDescent="0.3">
      <c r="A1858" s="1">
        <v>43800</v>
      </c>
      <c r="B1858" s="8" t="s">
        <v>6</v>
      </c>
      <c r="C1858" t="s">
        <v>7</v>
      </c>
      <c r="D1858" t="s">
        <v>474</v>
      </c>
      <c r="E1858" t="s">
        <v>10</v>
      </c>
      <c r="F1858" s="9">
        <v>515007.16</v>
      </c>
      <c r="G1858" s="7">
        <v>19099431.921</v>
      </c>
      <c r="H1858" s="8">
        <f t="shared" ref="H1858:H1921" si="29">IF(ISNUMBER(SEARCH("Domestic customer", E1858)),G1858/1000,G1858)</f>
        <v>19099.431920999999</v>
      </c>
      <c r="I1858" s="10">
        <v>871</v>
      </c>
    </row>
    <row r="1859" spans="1:9" ht="15.75" thickBot="1" x14ac:dyDescent="0.3">
      <c r="A1859" s="1">
        <v>43800</v>
      </c>
      <c r="B1859" s="8" t="s">
        <v>6</v>
      </c>
      <c r="C1859" t="s">
        <v>7</v>
      </c>
      <c r="D1859" t="s">
        <v>474</v>
      </c>
      <c r="E1859" t="s">
        <v>11</v>
      </c>
      <c r="F1859" s="9">
        <v>319159.92</v>
      </c>
      <c r="G1859" s="7">
        <v>94257.21</v>
      </c>
      <c r="H1859" s="8">
        <f t="shared" si="29"/>
        <v>94257.21</v>
      </c>
      <c r="I1859" s="10">
        <v>73</v>
      </c>
    </row>
    <row r="1860" spans="1:9" ht="15.75" thickBot="1" x14ac:dyDescent="0.3">
      <c r="A1860" s="1">
        <v>43466</v>
      </c>
      <c r="B1860" s="8" t="s">
        <v>6</v>
      </c>
      <c r="C1860" t="s">
        <v>7</v>
      </c>
      <c r="D1860" t="s">
        <v>474</v>
      </c>
      <c r="E1860" t="s">
        <v>13</v>
      </c>
      <c r="F1860" s="9">
        <v>1530.29</v>
      </c>
      <c r="G1860" s="6">
        <v>51947.35</v>
      </c>
      <c r="H1860" s="8">
        <f t="shared" si="29"/>
        <v>51947.35</v>
      </c>
      <c r="I1860" s="10">
        <v>7</v>
      </c>
    </row>
    <row r="1861" spans="1:9" ht="15.75" thickBot="1" x14ac:dyDescent="0.3">
      <c r="A1861" s="1">
        <v>43466</v>
      </c>
      <c r="B1861" s="8" t="s">
        <v>6</v>
      </c>
      <c r="C1861" t="s">
        <v>7</v>
      </c>
      <c r="D1861" t="s">
        <v>475</v>
      </c>
      <c r="E1861" t="s">
        <v>9</v>
      </c>
      <c r="F1861" s="9">
        <v>96351.11</v>
      </c>
      <c r="G1861" s="7">
        <v>707121.16099999996</v>
      </c>
      <c r="H1861" s="8">
        <f t="shared" si="29"/>
        <v>707121.16099999996</v>
      </c>
      <c r="I1861" s="10">
        <v>45</v>
      </c>
    </row>
    <row r="1862" spans="1:9" ht="15.75" thickBot="1" x14ac:dyDescent="0.3">
      <c r="A1862" s="1">
        <v>43466</v>
      </c>
      <c r="B1862" s="8" t="s">
        <v>6</v>
      </c>
      <c r="C1862" t="s">
        <v>7</v>
      </c>
      <c r="D1862" t="s">
        <v>475</v>
      </c>
      <c r="E1862" t="s">
        <v>15</v>
      </c>
      <c r="F1862" s="9">
        <v>58350.17</v>
      </c>
      <c r="G1862" s="4">
        <v>1891</v>
      </c>
      <c r="H1862" s="8">
        <f t="shared" si="29"/>
        <v>1891</v>
      </c>
      <c r="I1862" s="10">
        <v>27</v>
      </c>
    </row>
    <row r="1863" spans="1:9" ht="15.75" thickBot="1" x14ac:dyDescent="0.3">
      <c r="A1863" s="1">
        <v>43800</v>
      </c>
      <c r="B1863" s="8" t="s">
        <v>6</v>
      </c>
      <c r="C1863" t="s">
        <v>7</v>
      </c>
      <c r="D1863" t="s">
        <v>475</v>
      </c>
      <c r="E1863" t="s">
        <v>10</v>
      </c>
      <c r="F1863" s="9">
        <v>1015153.92</v>
      </c>
      <c r="G1863" s="7">
        <v>36523996.736000001</v>
      </c>
      <c r="H1863" s="8">
        <f t="shared" si="29"/>
        <v>36523.996736000001</v>
      </c>
      <c r="I1863" s="10">
        <v>2622</v>
      </c>
    </row>
    <row r="1864" spans="1:9" ht="15.75" thickBot="1" x14ac:dyDescent="0.3">
      <c r="A1864" s="1">
        <v>43800</v>
      </c>
      <c r="B1864" s="8" t="s">
        <v>6</v>
      </c>
      <c r="C1864" t="s">
        <v>7</v>
      </c>
      <c r="D1864" t="s">
        <v>475</v>
      </c>
      <c r="E1864" t="s">
        <v>17</v>
      </c>
      <c r="F1864" s="9">
        <v>194723.5</v>
      </c>
      <c r="G1864" s="7">
        <v>3353585.9989999998</v>
      </c>
      <c r="H1864" s="8">
        <f t="shared" si="29"/>
        <v>3353585.9989999998</v>
      </c>
      <c r="I1864" s="10">
        <v>3</v>
      </c>
    </row>
    <row r="1865" spans="1:9" ht="15.75" thickBot="1" x14ac:dyDescent="0.3">
      <c r="A1865" s="1">
        <v>43800</v>
      </c>
      <c r="B1865" s="8" t="s">
        <v>6</v>
      </c>
      <c r="C1865" t="s">
        <v>7</v>
      </c>
      <c r="D1865" t="s">
        <v>475</v>
      </c>
      <c r="E1865" t="s">
        <v>11</v>
      </c>
      <c r="F1865" s="9">
        <v>79593.34</v>
      </c>
      <c r="G1865" s="7">
        <v>239814.11600000001</v>
      </c>
      <c r="H1865" s="8">
        <f t="shared" si="29"/>
        <v>239814.11600000001</v>
      </c>
      <c r="I1865" s="10">
        <v>96</v>
      </c>
    </row>
    <row r="1866" spans="1:9" ht="15.75" thickBot="1" x14ac:dyDescent="0.3">
      <c r="A1866" s="1">
        <v>43800</v>
      </c>
      <c r="B1866" s="8" t="s">
        <v>6</v>
      </c>
      <c r="C1866" t="s">
        <v>7</v>
      </c>
      <c r="D1866" t="s">
        <v>475</v>
      </c>
      <c r="E1866" t="s">
        <v>13</v>
      </c>
      <c r="F1866" s="9">
        <v>6430.76</v>
      </c>
      <c r="G1866" s="6">
        <v>199000</v>
      </c>
      <c r="H1866" s="8">
        <f t="shared" si="29"/>
        <v>199000</v>
      </c>
      <c r="I1866" s="10">
        <v>24</v>
      </c>
    </row>
    <row r="1867" spans="1:9" ht="15.75" thickBot="1" x14ac:dyDescent="0.3">
      <c r="A1867" s="1">
        <v>43466</v>
      </c>
      <c r="B1867" s="8" t="s">
        <v>6</v>
      </c>
      <c r="C1867" t="s">
        <v>7</v>
      </c>
      <c r="D1867" t="s">
        <v>476</v>
      </c>
      <c r="E1867" t="s">
        <v>9</v>
      </c>
      <c r="F1867" s="9">
        <v>13509.96</v>
      </c>
      <c r="G1867" s="4">
        <v>403</v>
      </c>
      <c r="H1867" s="8">
        <f t="shared" si="29"/>
        <v>403</v>
      </c>
      <c r="I1867" s="10">
        <v>1</v>
      </c>
    </row>
    <row r="1868" spans="1:9" ht="15.75" thickBot="1" x14ac:dyDescent="0.3">
      <c r="A1868" s="1">
        <v>43466</v>
      </c>
      <c r="B1868" s="8" t="s">
        <v>6</v>
      </c>
      <c r="C1868" t="s">
        <v>7</v>
      </c>
      <c r="D1868" t="s">
        <v>476</v>
      </c>
      <c r="E1868" t="s">
        <v>15</v>
      </c>
      <c r="F1868" s="9">
        <v>56561.919999999998</v>
      </c>
      <c r="G1868" s="4">
        <v>1757</v>
      </c>
      <c r="H1868" s="8">
        <f t="shared" si="29"/>
        <v>1757</v>
      </c>
      <c r="I1868" s="10">
        <v>70</v>
      </c>
    </row>
    <row r="1869" spans="1:9" ht="15.75" thickBot="1" x14ac:dyDescent="0.3">
      <c r="A1869" s="1">
        <v>43466</v>
      </c>
      <c r="B1869" s="8" t="s">
        <v>6</v>
      </c>
      <c r="C1869" t="s">
        <v>7</v>
      </c>
      <c r="D1869" t="s">
        <v>476</v>
      </c>
      <c r="E1869" t="s">
        <v>10</v>
      </c>
      <c r="F1869" s="9">
        <v>13412.44</v>
      </c>
      <c r="G1869" s="6">
        <v>2683257.162</v>
      </c>
      <c r="H1869" s="8">
        <f t="shared" si="29"/>
        <v>2683.2571619999999</v>
      </c>
      <c r="I1869" s="10">
        <v>230</v>
      </c>
    </row>
    <row r="1870" spans="1:9" ht="15.75" thickBot="1" x14ac:dyDescent="0.3">
      <c r="A1870" s="1">
        <v>43800</v>
      </c>
      <c r="B1870" s="8" t="s">
        <v>6</v>
      </c>
      <c r="C1870" t="s">
        <v>7</v>
      </c>
      <c r="D1870" t="s">
        <v>476</v>
      </c>
      <c r="E1870" t="s">
        <v>11</v>
      </c>
      <c r="F1870" s="9">
        <v>91775.79</v>
      </c>
      <c r="G1870" s="4">
        <v>3105</v>
      </c>
      <c r="H1870" s="8">
        <f t="shared" si="29"/>
        <v>3105</v>
      </c>
      <c r="I1870" s="10">
        <v>21</v>
      </c>
    </row>
    <row r="1871" spans="1:9" ht="15.75" thickBot="1" x14ac:dyDescent="0.3">
      <c r="A1871" s="1">
        <v>43800</v>
      </c>
      <c r="B1871" s="8" t="s">
        <v>6</v>
      </c>
      <c r="C1871" t="s">
        <v>7</v>
      </c>
      <c r="D1871" t="s">
        <v>476</v>
      </c>
      <c r="E1871" t="s">
        <v>13</v>
      </c>
      <c r="F1871" s="9">
        <v>4553.8599999999997</v>
      </c>
      <c r="G1871" s="7">
        <v>39673.669000000002</v>
      </c>
      <c r="H1871" s="8">
        <f t="shared" si="29"/>
        <v>39673.669000000002</v>
      </c>
      <c r="I1871" s="10">
        <v>14</v>
      </c>
    </row>
    <row r="1872" spans="1:9" ht="15.75" thickBot="1" x14ac:dyDescent="0.3">
      <c r="A1872" s="1">
        <v>43800</v>
      </c>
      <c r="B1872" s="8" t="s">
        <v>6</v>
      </c>
      <c r="C1872" t="s">
        <v>7</v>
      </c>
      <c r="D1872" t="s">
        <v>477</v>
      </c>
      <c r="E1872" t="s">
        <v>9</v>
      </c>
      <c r="F1872" s="9">
        <v>396258.83</v>
      </c>
      <c r="G1872" s="4">
        <v>12489</v>
      </c>
      <c r="H1872" s="8">
        <f t="shared" si="29"/>
        <v>12489</v>
      </c>
      <c r="I1872" s="10">
        <v>32</v>
      </c>
    </row>
    <row r="1873" spans="1:9" ht="15.75" thickBot="1" x14ac:dyDescent="0.3">
      <c r="A1873" s="1">
        <v>43800</v>
      </c>
      <c r="B1873" s="8" t="s">
        <v>6</v>
      </c>
      <c r="C1873" t="s">
        <v>7</v>
      </c>
      <c r="D1873" t="s">
        <v>477</v>
      </c>
      <c r="E1873" t="s">
        <v>10</v>
      </c>
      <c r="F1873" s="9">
        <v>12557.4</v>
      </c>
      <c r="G1873" s="4">
        <v>445</v>
      </c>
      <c r="H1873" s="8">
        <f t="shared" si="29"/>
        <v>0.44500000000000001</v>
      </c>
      <c r="I1873" s="10">
        <v>1</v>
      </c>
    </row>
    <row r="1874" spans="1:9" ht="15.75" thickBot="1" x14ac:dyDescent="0.3">
      <c r="A1874" s="1">
        <v>43466</v>
      </c>
      <c r="B1874" s="8" t="s">
        <v>6</v>
      </c>
      <c r="C1874" t="s">
        <v>7</v>
      </c>
      <c r="D1874" t="s">
        <v>477</v>
      </c>
      <c r="E1874" t="s">
        <v>11</v>
      </c>
      <c r="F1874" s="9">
        <v>11208.8</v>
      </c>
      <c r="G1874" s="4">
        <v>90</v>
      </c>
      <c r="H1874" s="8">
        <f t="shared" si="29"/>
        <v>90</v>
      </c>
      <c r="I1874" s="10">
        <v>1</v>
      </c>
    </row>
    <row r="1875" spans="1:9" ht="15.75" thickBot="1" x14ac:dyDescent="0.3">
      <c r="A1875" s="1">
        <v>43466</v>
      </c>
      <c r="B1875" s="8" t="s">
        <v>6</v>
      </c>
      <c r="C1875" t="s">
        <v>7</v>
      </c>
      <c r="D1875" t="s">
        <v>477</v>
      </c>
      <c r="E1875" t="s">
        <v>13</v>
      </c>
      <c r="F1875" s="9">
        <v>2500</v>
      </c>
      <c r="G1875" s="4">
        <v>0</v>
      </c>
      <c r="H1875" s="8">
        <f t="shared" si="29"/>
        <v>0</v>
      </c>
      <c r="I1875" s="10">
        <v>1</v>
      </c>
    </row>
    <row r="1876" spans="1:9" ht="15.75" thickBot="1" x14ac:dyDescent="0.3">
      <c r="A1876" s="1">
        <v>43466</v>
      </c>
      <c r="B1876" s="8" t="s">
        <v>6</v>
      </c>
      <c r="C1876" t="s">
        <v>7</v>
      </c>
      <c r="D1876" t="s">
        <v>478</v>
      </c>
      <c r="E1876" t="s">
        <v>10</v>
      </c>
      <c r="F1876" s="9">
        <v>9880.69</v>
      </c>
      <c r="G1876" s="6">
        <v>327854</v>
      </c>
      <c r="H1876" s="8">
        <f t="shared" si="29"/>
        <v>327.85399999999998</v>
      </c>
      <c r="I1876" s="10">
        <v>35</v>
      </c>
    </row>
    <row r="1877" spans="1:9" ht="15.75" thickBot="1" x14ac:dyDescent="0.3">
      <c r="A1877" s="1">
        <v>43800</v>
      </c>
      <c r="B1877" s="8" t="s">
        <v>6</v>
      </c>
      <c r="C1877" t="s">
        <v>7</v>
      </c>
      <c r="D1877" t="s">
        <v>479</v>
      </c>
      <c r="E1877" t="s">
        <v>10</v>
      </c>
      <c r="F1877" s="9">
        <v>9575</v>
      </c>
      <c r="G1877" s="6">
        <v>376184</v>
      </c>
      <c r="H1877" s="8">
        <f t="shared" si="29"/>
        <v>376.18400000000003</v>
      </c>
      <c r="I1877" s="10">
        <v>29</v>
      </c>
    </row>
    <row r="1878" spans="1:9" ht="15.75" thickBot="1" x14ac:dyDescent="0.3">
      <c r="A1878" s="1">
        <v>43800</v>
      </c>
      <c r="B1878" s="8" t="s">
        <v>6</v>
      </c>
      <c r="C1878" t="s">
        <v>7</v>
      </c>
      <c r="D1878" t="s">
        <v>479</v>
      </c>
      <c r="E1878" t="s">
        <v>13</v>
      </c>
      <c r="F1878" s="9">
        <v>148.56</v>
      </c>
      <c r="G1878" s="6">
        <v>6000</v>
      </c>
      <c r="H1878" s="8">
        <f t="shared" si="29"/>
        <v>6000</v>
      </c>
      <c r="I1878" s="10">
        <v>1</v>
      </c>
    </row>
    <row r="1879" spans="1:9" ht="15.75" thickBot="1" x14ac:dyDescent="0.3">
      <c r="A1879" s="1">
        <v>43800</v>
      </c>
      <c r="B1879" s="8" t="s">
        <v>6</v>
      </c>
      <c r="C1879" t="s">
        <v>7</v>
      </c>
      <c r="D1879" t="s">
        <v>480</v>
      </c>
      <c r="E1879" t="s">
        <v>9</v>
      </c>
      <c r="F1879" s="9">
        <v>3554.32</v>
      </c>
      <c r="G1879" s="4">
        <v>126</v>
      </c>
      <c r="H1879" s="8">
        <f t="shared" si="29"/>
        <v>126</v>
      </c>
      <c r="I1879" s="10">
        <v>2</v>
      </c>
    </row>
    <row r="1880" spans="1:9" ht="15.75" thickBot="1" x14ac:dyDescent="0.3">
      <c r="A1880" s="1">
        <v>43800</v>
      </c>
      <c r="B1880" s="8" t="s">
        <v>6</v>
      </c>
      <c r="C1880" t="s">
        <v>7</v>
      </c>
      <c r="D1880" t="s">
        <v>480</v>
      </c>
      <c r="E1880" t="s">
        <v>10</v>
      </c>
      <c r="F1880" s="9">
        <v>53450.9</v>
      </c>
      <c r="G1880" s="6">
        <v>2015560.047</v>
      </c>
      <c r="H1880" s="8">
        <f t="shared" si="29"/>
        <v>2015.5600469999999</v>
      </c>
      <c r="I1880" s="10">
        <v>155</v>
      </c>
    </row>
    <row r="1881" spans="1:9" ht="15.75" thickBot="1" x14ac:dyDescent="0.3">
      <c r="A1881" s="1">
        <v>43466</v>
      </c>
      <c r="B1881" s="8" t="s">
        <v>6</v>
      </c>
      <c r="C1881" t="s">
        <v>7</v>
      </c>
      <c r="D1881" t="s">
        <v>481</v>
      </c>
      <c r="E1881" t="s">
        <v>15</v>
      </c>
      <c r="F1881" s="9">
        <v>590.91</v>
      </c>
      <c r="G1881" s="4">
        <v>9</v>
      </c>
      <c r="H1881" s="8">
        <f t="shared" si="29"/>
        <v>9</v>
      </c>
      <c r="I1881" s="10">
        <v>3</v>
      </c>
    </row>
    <row r="1882" spans="1:9" ht="15.75" thickBot="1" x14ac:dyDescent="0.3">
      <c r="A1882" s="1">
        <v>43466</v>
      </c>
      <c r="B1882" s="8" t="s">
        <v>6</v>
      </c>
      <c r="C1882" t="s">
        <v>7</v>
      </c>
      <c r="D1882" t="s">
        <v>481</v>
      </c>
      <c r="E1882" t="s">
        <v>10</v>
      </c>
      <c r="F1882" s="9">
        <v>84701.22</v>
      </c>
      <c r="G1882" s="6">
        <v>3250000</v>
      </c>
      <c r="H1882" s="8">
        <f t="shared" si="29"/>
        <v>3250</v>
      </c>
      <c r="I1882" s="10">
        <v>395</v>
      </c>
    </row>
    <row r="1883" spans="1:9" ht="15.75" thickBot="1" x14ac:dyDescent="0.3">
      <c r="A1883" s="1">
        <v>43466</v>
      </c>
      <c r="B1883" s="8" t="s">
        <v>6</v>
      </c>
      <c r="C1883" t="s">
        <v>7</v>
      </c>
      <c r="D1883" t="s">
        <v>481</v>
      </c>
      <c r="E1883" t="s">
        <v>11</v>
      </c>
      <c r="F1883" s="9">
        <v>345.88</v>
      </c>
      <c r="G1883" s="4">
        <v>9</v>
      </c>
      <c r="H1883" s="8">
        <f t="shared" si="29"/>
        <v>9</v>
      </c>
      <c r="I1883" s="10">
        <v>1</v>
      </c>
    </row>
    <row r="1884" spans="1:9" ht="15.75" thickBot="1" x14ac:dyDescent="0.3">
      <c r="A1884" s="1">
        <v>43800</v>
      </c>
      <c r="B1884" s="8" t="s">
        <v>6</v>
      </c>
      <c r="C1884" t="s">
        <v>7</v>
      </c>
      <c r="D1884" t="s">
        <v>481</v>
      </c>
      <c r="E1884" t="s">
        <v>13</v>
      </c>
      <c r="F1884" s="9">
        <v>553.05999999999995</v>
      </c>
      <c r="G1884" s="6">
        <v>118735.592</v>
      </c>
      <c r="H1884" s="8">
        <f t="shared" si="29"/>
        <v>118735.592</v>
      </c>
      <c r="I1884" s="10">
        <v>5</v>
      </c>
    </row>
    <row r="1885" spans="1:9" ht="15.75" thickBot="1" x14ac:dyDescent="0.3">
      <c r="A1885" s="1">
        <v>43800</v>
      </c>
      <c r="B1885" s="8" t="s">
        <v>6</v>
      </c>
      <c r="C1885" t="s">
        <v>7</v>
      </c>
      <c r="D1885" t="s">
        <v>482</v>
      </c>
      <c r="E1885" t="s">
        <v>9</v>
      </c>
      <c r="F1885" s="9">
        <v>493.12</v>
      </c>
      <c r="G1885" s="4">
        <v>16</v>
      </c>
      <c r="H1885" s="8">
        <f t="shared" si="29"/>
        <v>16</v>
      </c>
      <c r="I1885" s="10">
        <v>1</v>
      </c>
    </row>
    <row r="1886" spans="1:9" ht="15.75" thickBot="1" x14ac:dyDescent="0.3">
      <c r="A1886" s="1">
        <v>43800</v>
      </c>
      <c r="B1886" s="8" t="s">
        <v>6</v>
      </c>
      <c r="C1886" t="s">
        <v>7</v>
      </c>
      <c r="D1886" t="s">
        <v>482</v>
      </c>
      <c r="E1886" t="s">
        <v>15</v>
      </c>
      <c r="F1886" s="9">
        <v>68386.259999999995</v>
      </c>
      <c r="G1886" s="6">
        <v>915000</v>
      </c>
      <c r="H1886" s="8">
        <f t="shared" si="29"/>
        <v>915000</v>
      </c>
      <c r="I1886" s="10">
        <v>3</v>
      </c>
    </row>
    <row r="1887" spans="1:9" ht="15.75" thickBot="1" x14ac:dyDescent="0.3">
      <c r="A1887" s="1">
        <v>43800</v>
      </c>
      <c r="B1887" s="8" t="s">
        <v>6</v>
      </c>
      <c r="C1887" t="s">
        <v>7</v>
      </c>
      <c r="D1887" t="s">
        <v>482</v>
      </c>
      <c r="E1887" t="s">
        <v>10</v>
      </c>
      <c r="F1887" s="9">
        <v>27490.73</v>
      </c>
      <c r="G1887" s="6">
        <v>2454556.0669999998</v>
      </c>
      <c r="H1887" s="8">
        <f t="shared" si="29"/>
        <v>2454.556067</v>
      </c>
      <c r="I1887" s="10">
        <v>267</v>
      </c>
    </row>
    <row r="1888" spans="1:9" ht="15.75" thickBot="1" x14ac:dyDescent="0.3">
      <c r="A1888" s="1">
        <v>43466</v>
      </c>
      <c r="B1888" s="8" t="s">
        <v>6</v>
      </c>
      <c r="C1888" t="s">
        <v>7</v>
      </c>
      <c r="D1888" t="s">
        <v>482</v>
      </c>
      <c r="E1888" t="s">
        <v>11</v>
      </c>
      <c r="F1888" s="9">
        <v>556.13</v>
      </c>
      <c r="G1888" s="4">
        <v>8</v>
      </c>
      <c r="H1888" s="8">
        <f t="shared" si="29"/>
        <v>8</v>
      </c>
      <c r="I1888" s="10">
        <v>4</v>
      </c>
    </row>
    <row r="1889" spans="1:9" ht="15.75" thickBot="1" x14ac:dyDescent="0.3">
      <c r="A1889" s="1">
        <v>43466</v>
      </c>
      <c r="B1889" s="8" t="s">
        <v>6</v>
      </c>
      <c r="C1889" t="s">
        <v>7</v>
      </c>
      <c r="D1889" t="s">
        <v>483</v>
      </c>
      <c r="E1889" t="s">
        <v>9</v>
      </c>
      <c r="F1889" s="9">
        <v>913.36</v>
      </c>
      <c r="G1889" s="4">
        <v>24</v>
      </c>
      <c r="H1889" s="8">
        <f t="shared" si="29"/>
        <v>24</v>
      </c>
      <c r="I1889" s="10">
        <v>2</v>
      </c>
    </row>
    <row r="1890" spans="1:9" ht="15.75" thickBot="1" x14ac:dyDescent="0.3">
      <c r="A1890" s="1">
        <v>43466</v>
      </c>
      <c r="B1890" s="8" t="s">
        <v>6</v>
      </c>
      <c r="C1890" t="s">
        <v>7</v>
      </c>
      <c r="D1890" t="s">
        <v>483</v>
      </c>
      <c r="E1890" t="s">
        <v>15</v>
      </c>
      <c r="F1890" s="9">
        <v>2502.08</v>
      </c>
      <c r="G1890" s="4">
        <v>44</v>
      </c>
      <c r="H1890" s="8">
        <f t="shared" si="29"/>
        <v>44</v>
      </c>
      <c r="I1890" s="10">
        <v>3</v>
      </c>
    </row>
    <row r="1891" spans="1:9" ht="15.75" thickBot="1" x14ac:dyDescent="0.3">
      <c r="A1891" s="1">
        <v>43800</v>
      </c>
      <c r="B1891" s="8" t="s">
        <v>6</v>
      </c>
      <c r="C1891" t="s">
        <v>7</v>
      </c>
      <c r="D1891" t="s">
        <v>483</v>
      </c>
      <c r="E1891" t="s">
        <v>10</v>
      </c>
      <c r="F1891" s="9">
        <v>613991.18000000005</v>
      </c>
      <c r="G1891" s="6">
        <v>20159870.197000001</v>
      </c>
      <c r="H1891" s="8">
        <f t="shared" si="29"/>
        <v>20159.870197</v>
      </c>
      <c r="I1891" s="10">
        <v>1766</v>
      </c>
    </row>
    <row r="1892" spans="1:9" ht="15.75" thickBot="1" x14ac:dyDescent="0.3">
      <c r="A1892" s="1">
        <v>43800</v>
      </c>
      <c r="B1892" s="8" t="s">
        <v>6</v>
      </c>
      <c r="C1892" t="s">
        <v>7</v>
      </c>
      <c r="D1892" t="s">
        <v>483</v>
      </c>
      <c r="E1892" t="s">
        <v>11</v>
      </c>
      <c r="F1892" s="9">
        <v>1385.47</v>
      </c>
      <c r="G1892" s="4">
        <v>24</v>
      </c>
      <c r="H1892" s="8">
        <f t="shared" si="29"/>
        <v>24</v>
      </c>
      <c r="I1892" s="10">
        <v>5</v>
      </c>
    </row>
    <row r="1893" spans="1:9" ht="15.75" thickBot="1" x14ac:dyDescent="0.3">
      <c r="A1893" s="1">
        <v>43800</v>
      </c>
      <c r="B1893" s="8" t="s">
        <v>6</v>
      </c>
      <c r="C1893" t="s">
        <v>7</v>
      </c>
      <c r="D1893" t="s">
        <v>483</v>
      </c>
      <c r="E1893" t="s">
        <v>13</v>
      </c>
      <c r="F1893" s="9">
        <v>1148.73</v>
      </c>
      <c r="G1893" s="6">
        <v>46464</v>
      </c>
      <c r="H1893" s="8">
        <f t="shared" si="29"/>
        <v>46464</v>
      </c>
      <c r="I1893" s="10">
        <v>6</v>
      </c>
    </row>
    <row r="1894" spans="1:9" ht="15.75" thickBot="1" x14ac:dyDescent="0.3">
      <c r="A1894" s="1">
        <v>43800</v>
      </c>
      <c r="B1894" s="8" t="s">
        <v>6</v>
      </c>
      <c r="C1894" t="s">
        <v>7</v>
      </c>
      <c r="D1894" t="s">
        <v>484</v>
      </c>
      <c r="E1894" t="s">
        <v>9</v>
      </c>
      <c r="F1894" s="9">
        <v>86558.56</v>
      </c>
      <c r="G1894" s="4">
        <v>2653</v>
      </c>
      <c r="H1894" s="8">
        <f t="shared" si="29"/>
        <v>2653</v>
      </c>
      <c r="I1894" s="10">
        <v>17</v>
      </c>
    </row>
    <row r="1895" spans="1:9" ht="15.75" thickBot="1" x14ac:dyDescent="0.3">
      <c r="A1895" s="1">
        <v>43466</v>
      </c>
      <c r="B1895" s="8" t="s">
        <v>6</v>
      </c>
      <c r="C1895" t="s">
        <v>7</v>
      </c>
      <c r="D1895" t="s">
        <v>484</v>
      </c>
      <c r="E1895" t="s">
        <v>15</v>
      </c>
      <c r="F1895" s="9">
        <v>1649.99</v>
      </c>
      <c r="G1895" s="7">
        <v>17899.281999999999</v>
      </c>
      <c r="H1895" s="8">
        <f t="shared" si="29"/>
        <v>17899.281999999999</v>
      </c>
      <c r="I1895" s="10">
        <v>8</v>
      </c>
    </row>
    <row r="1896" spans="1:9" ht="15.75" thickBot="1" x14ac:dyDescent="0.3">
      <c r="A1896" s="1">
        <v>43466</v>
      </c>
      <c r="B1896" s="8" t="s">
        <v>6</v>
      </c>
      <c r="C1896" t="s">
        <v>7</v>
      </c>
      <c r="D1896" t="s">
        <v>484</v>
      </c>
      <c r="E1896" t="s">
        <v>10</v>
      </c>
      <c r="F1896" s="9">
        <v>358415.32</v>
      </c>
      <c r="G1896" s="7">
        <v>11677340.332</v>
      </c>
      <c r="H1896" s="8">
        <f t="shared" si="29"/>
        <v>11677.340332</v>
      </c>
      <c r="I1896" s="10">
        <v>936</v>
      </c>
    </row>
    <row r="1897" spans="1:9" ht="15.75" thickBot="1" x14ac:dyDescent="0.3">
      <c r="A1897" s="1">
        <v>43466</v>
      </c>
      <c r="B1897" s="8" t="s">
        <v>6</v>
      </c>
      <c r="C1897" t="s">
        <v>7</v>
      </c>
      <c r="D1897" t="s">
        <v>484</v>
      </c>
      <c r="E1897" t="s">
        <v>17</v>
      </c>
      <c r="F1897" s="9">
        <v>88942.32</v>
      </c>
      <c r="G1897" s="4">
        <v>2873</v>
      </c>
      <c r="H1897" s="8">
        <f t="shared" si="29"/>
        <v>2873</v>
      </c>
      <c r="I1897" s="10">
        <v>26</v>
      </c>
    </row>
    <row r="1898" spans="1:9" ht="15.75" thickBot="1" x14ac:dyDescent="0.3">
      <c r="A1898" s="1">
        <v>43800</v>
      </c>
      <c r="B1898" s="8" t="s">
        <v>6</v>
      </c>
      <c r="C1898" t="s">
        <v>7</v>
      </c>
      <c r="D1898" t="s">
        <v>484</v>
      </c>
      <c r="E1898" t="s">
        <v>11</v>
      </c>
      <c r="F1898" s="9">
        <v>37088.94</v>
      </c>
      <c r="G1898" s="4">
        <v>1010</v>
      </c>
      <c r="H1898" s="8">
        <f t="shared" si="29"/>
        <v>1010</v>
      </c>
      <c r="I1898" s="10">
        <v>15</v>
      </c>
    </row>
    <row r="1899" spans="1:9" ht="15.75" thickBot="1" x14ac:dyDescent="0.3">
      <c r="A1899" s="1">
        <v>43800</v>
      </c>
      <c r="B1899" s="8" t="s">
        <v>6</v>
      </c>
      <c r="C1899" t="s">
        <v>7</v>
      </c>
      <c r="D1899" t="s">
        <v>484</v>
      </c>
      <c r="E1899" t="s">
        <v>13</v>
      </c>
      <c r="F1899" s="9">
        <v>3236.57</v>
      </c>
      <c r="G1899" s="7">
        <v>84278.087</v>
      </c>
      <c r="H1899" s="8">
        <f t="shared" si="29"/>
        <v>84278.087</v>
      </c>
      <c r="I1899" s="10">
        <v>8</v>
      </c>
    </row>
    <row r="1900" spans="1:9" ht="15.75" thickBot="1" x14ac:dyDescent="0.3">
      <c r="A1900" s="1">
        <v>43800</v>
      </c>
      <c r="B1900" s="8" t="s">
        <v>6</v>
      </c>
      <c r="C1900" t="s">
        <v>7</v>
      </c>
      <c r="D1900" t="s">
        <v>485</v>
      </c>
      <c r="E1900" t="s">
        <v>9</v>
      </c>
      <c r="F1900" s="9">
        <v>248784.13</v>
      </c>
      <c r="G1900" s="7">
        <v>186790.45199999999</v>
      </c>
      <c r="H1900" s="8">
        <f t="shared" si="29"/>
        <v>186790.45199999999</v>
      </c>
      <c r="I1900" s="10">
        <v>46</v>
      </c>
    </row>
    <row r="1901" spans="1:9" ht="15.75" thickBot="1" x14ac:dyDescent="0.3">
      <c r="A1901" s="1">
        <v>43800</v>
      </c>
      <c r="B1901" s="8" t="s">
        <v>6</v>
      </c>
      <c r="C1901" t="s">
        <v>7</v>
      </c>
      <c r="D1901" t="s">
        <v>485</v>
      </c>
      <c r="E1901" t="s">
        <v>15</v>
      </c>
      <c r="F1901" s="9">
        <v>9936.5300000000007</v>
      </c>
      <c r="G1901" s="4">
        <v>192</v>
      </c>
      <c r="H1901" s="8">
        <f t="shared" si="29"/>
        <v>192</v>
      </c>
      <c r="I1901" s="10">
        <v>13</v>
      </c>
    </row>
    <row r="1902" spans="1:9" ht="15.75" thickBot="1" x14ac:dyDescent="0.3">
      <c r="A1902" s="1">
        <v>43466</v>
      </c>
      <c r="B1902" s="8" t="s">
        <v>6</v>
      </c>
      <c r="C1902" t="s">
        <v>7</v>
      </c>
      <c r="D1902" t="s">
        <v>485</v>
      </c>
      <c r="E1902" t="s">
        <v>10</v>
      </c>
      <c r="F1902" s="9">
        <v>835427.1</v>
      </c>
      <c r="G1902" s="7">
        <v>27054687.557</v>
      </c>
      <c r="H1902" s="8">
        <f t="shared" si="29"/>
        <v>27054.687557000001</v>
      </c>
      <c r="I1902" s="10">
        <v>1867</v>
      </c>
    </row>
    <row r="1903" spans="1:9" ht="15.75" thickBot="1" x14ac:dyDescent="0.3">
      <c r="A1903" s="1">
        <v>43466</v>
      </c>
      <c r="B1903" s="8" t="s">
        <v>6</v>
      </c>
      <c r="C1903" t="s">
        <v>7</v>
      </c>
      <c r="D1903" t="s">
        <v>485</v>
      </c>
      <c r="E1903" t="s">
        <v>11</v>
      </c>
      <c r="F1903" s="9">
        <v>206201.27</v>
      </c>
      <c r="G1903" s="7">
        <v>445757.25400000002</v>
      </c>
      <c r="H1903" s="8">
        <f t="shared" si="29"/>
        <v>445757.25400000002</v>
      </c>
      <c r="I1903" s="10">
        <v>96</v>
      </c>
    </row>
    <row r="1904" spans="1:9" ht="15.75" thickBot="1" x14ac:dyDescent="0.3">
      <c r="A1904" s="1">
        <v>43466</v>
      </c>
      <c r="B1904" s="8" t="s">
        <v>6</v>
      </c>
      <c r="C1904" t="s">
        <v>7</v>
      </c>
      <c r="D1904" t="s">
        <v>485</v>
      </c>
      <c r="E1904" t="s">
        <v>13</v>
      </c>
      <c r="F1904" s="9">
        <v>48823.519999999997</v>
      </c>
      <c r="G1904" s="7">
        <v>259497.76699999999</v>
      </c>
      <c r="H1904" s="8">
        <f t="shared" si="29"/>
        <v>259497.76699999999</v>
      </c>
      <c r="I1904" s="10">
        <v>16</v>
      </c>
    </row>
    <row r="1905" spans="1:9" ht="15.75" thickBot="1" x14ac:dyDescent="0.3">
      <c r="A1905" s="1">
        <v>43800</v>
      </c>
      <c r="B1905" s="8" t="s">
        <v>6</v>
      </c>
      <c r="C1905" t="s">
        <v>7</v>
      </c>
      <c r="D1905" t="s">
        <v>486</v>
      </c>
      <c r="E1905" t="s">
        <v>9</v>
      </c>
      <c r="F1905" s="9">
        <v>919.08</v>
      </c>
      <c r="G1905" s="4">
        <v>19</v>
      </c>
      <c r="H1905" s="8">
        <f t="shared" si="29"/>
        <v>19</v>
      </c>
      <c r="I1905" s="10">
        <v>1</v>
      </c>
    </row>
    <row r="1906" spans="1:9" ht="15.75" thickBot="1" x14ac:dyDescent="0.3">
      <c r="A1906" s="1">
        <v>43800</v>
      </c>
      <c r="B1906" s="8" t="s">
        <v>6</v>
      </c>
      <c r="C1906" t="s">
        <v>7</v>
      </c>
      <c r="D1906" t="s">
        <v>486</v>
      </c>
      <c r="E1906" t="s">
        <v>11</v>
      </c>
      <c r="F1906" s="9">
        <v>81.569999999999993</v>
      </c>
      <c r="G1906" s="5">
        <v>0</v>
      </c>
      <c r="H1906" s="8">
        <f t="shared" si="29"/>
        <v>0</v>
      </c>
      <c r="I1906" s="10">
        <v>1</v>
      </c>
    </row>
    <row r="1907" spans="1:9" ht="15.75" thickBot="1" x14ac:dyDescent="0.3">
      <c r="A1907" s="1">
        <v>43800</v>
      </c>
      <c r="B1907" s="8" t="s">
        <v>6</v>
      </c>
      <c r="C1907" t="s">
        <v>7</v>
      </c>
      <c r="D1907" t="s">
        <v>487</v>
      </c>
      <c r="E1907" t="s">
        <v>9</v>
      </c>
      <c r="F1907" s="9">
        <v>1648.8</v>
      </c>
      <c r="G1907" s="4">
        <v>40</v>
      </c>
      <c r="H1907" s="8">
        <f t="shared" si="29"/>
        <v>40</v>
      </c>
      <c r="I1907" s="10">
        <v>1</v>
      </c>
    </row>
    <row r="1908" spans="1:9" ht="15.75" thickBot="1" x14ac:dyDescent="0.3">
      <c r="A1908" s="1">
        <v>43800</v>
      </c>
      <c r="B1908" s="8" t="s">
        <v>6</v>
      </c>
      <c r="C1908" t="s">
        <v>7</v>
      </c>
      <c r="D1908" t="s">
        <v>487</v>
      </c>
      <c r="E1908" t="s">
        <v>15</v>
      </c>
      <c r="F1908" s="9">
        <v>15514.08</v>
      </c>
      <c r="G1908" s="4">
        <v>2457</v>
      </c>
      <c r="H1908" s="8">
        <f t="shared" si="29"/>
        <v>2457</v>
      </c>
      <c r="I1908" s="10">
        <v>10</v>
      </c>
    </row>
    <row r="1909" spans="1:9" ht="15.75" thickBot="1" x14ac:dyDescent="0.3">
      <c r="A1909" s="1">
        <v>43466</v>
      </c>
      <c r="B1909" s="8" t="s">
        <v>6</v>
      </c>
      <c r="C1909" t="s">
        <v>7</v>
      </c>
      <c r="D1909" t="s">
        <v>487</v>
      </c>
      <c r="E1909" t="s">
        <v>10</v>
      </c>
      <c r="F1909" s="9">
        <v>158326.99</v>
      </c>
      <c r="G1909" s="6">
        <v>26220589.936999999</v>
      </c>
      <c r="H1909" s="8">
        <f t="shared" si="29"/>
        <v>26220.589937000001</v>
      </c>
      <c r="I1909" s="10">
        <v>2779</v>
      </c>
    </row>
    <row r="1910" spans="1:9" ht="15.75" thickBot="1" x14ac:dyDescent="0.3">
      <c r="A1910" s="1">
        <v>43466</v>
      </c>
      <c r="B1910" s="8" t="s">
        <v>6</v>
      </c>
      <c r="C1910" t="s">
        <v>7</v>
      </c>
      <c r="D1910" t="s">
        <v>487</v>
      </c>
      <c r="E1910" t="s">
        <v>11</v>
      </c>
      <c r="F1910" s="9">
        <v>25935.23</v>
      </c>
      <c r="G1910" s="4">
        <v>682</v>
      </c>
      <c r="H1910" s="8">
        <f t="shared" si="29"/>
        <v>682</v>
      </c>
      <c r="I1910" s="10">
        <v>23</v>
      </c>
    </row>
    <row r="1911" spans="1:9" ht="15.75" thickBot="1" x14ac:dyDescent="0.3">
      <c r="A1911" s="1">
        <v>43466</v>
      </c>
      <c r="B1911" s="8" t="s">
        <v>6</v>
      </c>
      <c r="C1911" t="s">
        <v>7</v>
      </c>
      <c r="D1911" t="s">
        <v>487</v>
      </c>
      <c r="E1911" t="s">
        <v>13</v>
      </c>
      <c r="F1911" s="9">
        <v>900.34</v>
      </c>
      <c r="G1911" s="6">
        <v>87000</v>
      </c>
      <c r="H1911" s="8">
        <f t="shared" si="29"/>
        <v>87000</v>
      </c>
      <c r="I1911" s="10">
        <v>14</v>
      </c>
    </row>
    <row r="1912" spans="1:9" ht="15.75" thickBot="1" x14ac:dyDescent="0.3">
      <c r="A1912" s="1">
        <v>43800</v>
      </c>
      <c r="B1912" s="8" t="s">
        <v>6</v>
      </c>
      <c r="C1912" t="s">
        <v>7</v>
      </c>
      <c r="D1912" t="s">
        <v>488</v>
      </c>
      <c r="E1912" t="s">
        <v>9</v>
      </c>
      <c r="F1912" s="9">
        <v>24439.71</v>
      </c>
      <c r="G1912" s="4">
        <v>786</v>
      </c>
      <c r="H1912" s="8">
        <f t="shared" si="29"/>
        <v>786</v>
      </c>
      <c r="I1912" s="10">
        <v>3</v>
      </c>
    </row>
    <row r="1913" spans="1:9" ht="15.75" thickBot="1" x14ac:dyDescent="0.3">
      <c r="A1913" s="1">
        <v>43800</v>
      </c>
      <c r="B1913" s="8" t="s">
        <v>6</v>
      </c>
      <c r="C1913" t="s">
        <v>7</v>
      </c>
      <c r="D1913" t="s">
        <v>488</v>
      </c>
      <c r="E1913" t="s">
        <v>15</v>
      </c>
      <c r="F1913" s="9">
        <v>114470.8</v>
      </c>
      <c r="G1913" s="7">
        <v>66112.687000000005</v>
      </c>
      <c r="H1913" s="8">
        <f t="shared" si="29"/>
        <v>66112.687000000005</v>
      </c>
      <c r="I1913" s="10">
        <v>332</v>
      </c>
    </row>
    <row r="1914" spans="1:9" ht="15.75" thickBot="1" x14ac:dyDescent="0.3">
      <c r="A1914" s="1">
        <v>43800</v>
      </c>
      <c r="B1914" s="8" t="s">
        <v>6</v>
      </c>
      <c r="C1914" t="s">
        <v>7</v>
      </c>
      <c r="D1914" t="s">
        <v>488</v>
      </c>
      <c r="E1914" t="s">
        <v>10</v>
      </c>
      <c r="F1914" s="9">
        <v>26686.78</v>
      </c>
      <c r="G1914" s="7">
        <v>33825808.765000001</v>
      </c>
      <c r="H1914" s="8">
        <f t="shared" si="29"/>
        <v>33825.808765000002</v>
      </c>
      <c r="I1914" s="10">
        <v>3706</v>
      </c>
    </row>
    <row r="1915" spans="1:9" ht="15.75" thickBot="1" x14ac:dyDescent="0.3">
      <c r="A1915" s="1">
        <v>43800</v>
      </c>
      <c r="B1915" s="8" t="s">
        <v>6</v>
      </c>
      <c r="C1915" t="s">
        <v>7</v>
      </c>
      <c r="D1915" t="s">
        <v>488</v>
      </c>
      <c r="E1915" t="s">
        <v>11</v>
      </c>
      <c r="F1915" s="9">
        <v>123477.08</v>
      </c>
      <c r="G1915" s="4">
        <v>4258</v>
      </c>
      <c r="H1915" s="8">
        <f t="shared" si="29"/>
        <v>4258</v>
      </c>
      <c r="I1915" s="10">
        <v>9</v>
      </c>
    </row>
    <row r="1916" spans="1:9" ht="15.75" thickBot="1" x14ac:dyDescent="0.3">
      <c r="A1916" s="1">
        <v>43466</v>
      </c>
      <c r="B1916" s="8" t="s">
        <v>6</v>
      </c>
      <c r="C1916" t="s">
        <v>7</v>
      </c>
      <c r="D1916" t="s">
        <v>488</v>
      </c>
      <c r="E1916" t="s">
        <v>13</v>
      </c>
      <c r="F1916" s="9">
        <v>1564.66</v>
      </c>
      <c r="G1916" s="7">
        <v>18380.092000000001</v>
      </c>
      <c r="H1916" s="8">
        <f t="shared" si="29"/>
        <v>18380.092000000001</v>
      </c>
      <c r="I1916" s="10">
        <v>8</v>
      </c>
    </row>
    <row r="1917" spans="1:9" ht="15.75" thickBot="1" x14ac:dyDescent="0.3">
      <c r="A1917" s="1">
        <v>43466</v>
      </c>
      <c r="B1917" s="8" t="s">
        <v>6</v>
      </c>
      <c r="C1917" t="s">
        <v>7</v>
      </c>
      <c r="D1917" t="s">
        <v>489</v>
      </c>
      <c r="E1917" t="s">
        <v>9</v>
      </c>
      <c r="F1917" s="9">
        <v>438.48</v>
      </c>
      <c r="G1917" s="4">
        <v>14</v>
      </c>
      <c r="H1917" s="8">
        <f t="shared" si="29"/>
        <v>14</v>
      </c>
      <c r="I1917" s="10">
        <v>1</v>
      </c>
    </row>
    <row r="1918" spans="1:9" ht="15.75" thickBot="1" x14ac:dyDescent="0.3">
      <c r="A1918" s="1">
        <v>43466</v>
      </c>
      <c r="B1918" s="8" t="s">
        <v>6</v>
      </c>
      <c r="C1918" t="s">
        <v>7</v>
      </c>
      <c r="D1918" t="s">
        <v>489</v>
      </c>
      <c r="E1918" t="s">
        <v>15</v>
      </c>
      <c r="F1918" s="9">
        <v>176763.07</v>
      </c>
      <c r="G1918" s="7">
        <v>3701203.9759999998</v>
      </c>
      <c r="H1918" s="8">
        <f t="shared" si="29"/>
        <v>3701203.9759999998</v>
      </c>
      <c r="I1918" s="10">
        <v>53</v>
      </c>
    </row>
    <row r="1919" spans="1:9" ht="15.75" thickBot="1" x14ac:dyDescent="0.3">
      <c r="A1919" s="1">
        <v>43800</v>
      </c>
      <c r="B1919" s="8" t="s">
        <v>6</v>
      </c>
      <c r="C1919" t="s">
        <v>7</v>
      </c>
      <c r="D1919" t="s">
        <v>489</v>
      </c>
      <c r="E1919" t="s">
        <v>10</v>
      </c>
      <c r="F1919" s="9">
        <v>53439.1</v>
      </c>
      <c r="G1919" s="6">
        <v>3859593.173</v>
      </c>
      <c r="H1919" s="8">
        <f t="shared" si="29"/>
        <v>3859.5931729999998</v>
      </c>
      <c r="I1919" s="10">
        <v>399</v>
      </c>
    </row>
    <row r="1920" spans="1:9" ht="15.75" thickBot="1" x14ac:dyDescent="0.3">
      <c r="A1920" s="1">
        <v>43800</v>
      </c>
      <c r="B1920" s="8" t="s">
        <v>6</v>
      </c>
      <c r="C1920" t="s">
        <v>7</v>
      </c>
      <c r="D1920" t="s">
        <v>489</v>
      </c>
      <c r="E1920" t="s">
        <v>11</v>
      </c>
      <c r="F1920" s="9">
        <v>6824.55</v>
      </c>
      <c r="G1920" s="7">
        <v>22204.133000000002</v>
      </c>
      <c r="H1920" s="8">
        <f t="shared" si="29"/>
        <v>22204.133000000002</v>
      </c>
      <c r="I1920" s="10">
        <v>7</v>
      </c>
    </row>
    <row r="1921" spans="1:9" ht="15.75" thickBot="1" x14ac:dyDescent="0.3">
      <c r="A1921" s="1">
        <v>43800</v>
      </c>
      <c r="B1921" s="8" t="s">
        <v>6</v>
      </c>
      <c r="C1921" t="s">
        <v>7</v>
      </c>
      <c r="D1921" t="s">
        <v>489</v>
      </c>
      <c r="E1921" t="s">
        <v>13</v>
      </c>
      <c r="F1921" s="9">
        <v>236.61</v>
      </c>
      <c r="G1921" s="6">
        <v>10000</v>
      </c>
      <c r="H1921" s="8">
        <f t="shared" si="29"/>
        <v>10000</v>
      </c>
      <c r="I1921" s="10">
        <v>1</v>
      </c>
    </row>
    <row r="1922" spans="1:9" ht="15.75" thickBot="1" x14ac:dyDescent="0.3">
      <c r="A1922" s="1">
        <v>43800</v>
      </c>
      <c r="B1922" s="8" t="s">
        <v>6</v>
      </c>
      <c r="C1922" t="s">
        <v>7</v>
      </c>
      <c r="D1922" t="s">
        <v>490</v>
      </c>
      <c r="E1922" t="s">
        <v>9</v>
      </c>
      <c r="F1922" s="9">
        <v>12835.07</v>
      </c>
      <c r="G1922" s="4">
        <v>429</v>
      </c>
      <c r="H1922" s="8">
        <f t="shared" ref="H1922:H1985" si="30">IF(ISNUMBER(SEARCH("Domestic customer", E1922)),G1922/1000,G1922)</f>
        <v>429</v>
      </c>
      <c r="I1922" s="10">
        <v>7</v>
      </c>
    </row>
    <row r="1923" spans="1:9" ht="15.75" thickBot="1" x14ac:dyDescent="0.3">
      <c r="A1923" s="1">
        <v>43466</v>
      </c>
      <c r="B1923" s="8" t="s">
        <v>6</v>
      </c>
      <c r="C1923" t="s">
        <v>7</v>
      </c>
      <c r="D1923" t="s">
        <v>490</v>
      </c>
      <c r="E1923" t="s">
        <v>15</v>
      </c>
      <c r="F1923" s="9">
        <v>1713.39</v>
      </c>
      <c r="G1923" s="7">
        <v>1031.902</v>
      </c>
      <c r="H1923" s="8">
        <f t="shared" si="30"/>
        <v>1031.902</v>
      </c>
      <c r="I1923" s="10">
        <v>6</v>
      </c>
    </row>
    <row r="1924" spans="1:9" ht="15.75" thickBot="1" x14ac:dyDescent="0.3">
      <c r="A1924" s="1">
        <v>43466</v>
      </c>
      <c r="B1924" s="8" t="s">
        <v>6</v>
      </c>
      <c r="C1924" t="s">
        <v>7</v>
      </c>
      <c r="D1924" t="s">
        <v>490</v>
      </c>
      <c r="E1924" t="s">
        <v>10</v>
      </c>
      <c r="F1924" s="9">
        <v>609149.23</v>
      </c>
      <c r="G1924" s="7">
        <v>20478227.993000001</v>
      </c>
      <c r="H1924" s="8">
        <f t="shared" si="30"/>
        <v>20478.227993</v>
      </c>
      <c r="I1924" s="10">
        <v>1189</v>
      </c>
    </row>
    <row r="1925" spans="1:9" ht="15.75" thickBot="1" x14ac:dyDescent="0.3">
      <c r="A1925" s="1">
        <v>43466</v>
      </c>
      <c r="B1925" s="8" t="s">
        <v>6</v>
      </c>
      <c r="C1925" t="s">
        <v>7</v>
      </c>
      <c r="D1925" t="s">
        <v>490</v>
      </c>
      <c r="E1925" t="s">
        <v>17</v>
      </c>
      <c r="F1925" s="9">
        <v>12023.47</v>
      </c>
      <c r="G1925" s="4">
        <v>376</v>
      </c>
      <c r="H1925" s="8">
        <f t="shared" si="30"/>
        <v>376</v>
      </c>
      <c r="I1925" s="10">
        <v>1</v>
      </c>
    </row>
    <row r="1926" spans="1:9" ht="15.75" thickBot="1" x14ac:dyDescent="0.3">
      <c r="A1926" s="1">
        <v>43800</v>
      </c>
      <c r="B1926" s="8" t="s">
        <v>6</v>
      </c>
      <c r="C1926" t="s">
        <v>7</v>
      </c>
      <c r="D1926" t="s">
        <v>490</v>
      </c>
      <c r="E1926" t="s">
        <v>11</v>
      </c>
      <c r="F1926" s="9">
        <v>16976.53</v>
      </c>
      <c r="G1926" s="7">
        <v>151448.671</v>
      </c>
      <c r="H1926" s="8">
        <f t="shared" si="30"/>
        <v>151448.671</v>
      </c>
      <c r="I1926" s="10">
        <v>63</v>
      </c>
    </row>
    <row r="1927" spans="1:9" ht="15.75" thickBot="1" x14ac:dyDescent="0.3">
      <c r="A1927" s="1">
        <v>43800</v>
      </c>
      <c r="B1927" s="8" t="s">
        <v>6</v>
      </c>
      <c r="C1927" t="s">
        <v>7</v>
      </c>
      <c r="D1927" t="s">
        <v>490</v>
      </c>
      <c r="E1927" t="s">
        <v>13</v>
      </c>
      <c r="F1927" s="9">
        <v>9150.9</v>
      </c>
      <c r="G1927" s="7">
        <v>98427.876999999993</v>
      </c>
      <c r="H1927" s="8">
        <f t="shared" si="30"/>
        <v>98427.876999999993</v>
      </c>
      <c r="I1927" s="10">
        <v>11</v>
      </c>
    </row>
    <row r="1928" spans="1:9" ht="15.75" thickBot="1" x14ac:dyDescent="0.3">
      <c r="A1928" s="1">
        <v>43800</v>
      </c>
      <c r="B1928" s="8" t="s">
        <v>6</v>
      </c>
      <c r="C1928" t="s">
        <v>7</v>
      </c>
      <c r="D1928" t="s">
        <v>491</v>
      </c>
      <c r="E1928" t="s">
        <v>9</v>
      </c>
      <c r="F1928" s="9">
        <v>236.6</v>
      </c>
      <c r="G1928" s="4">
        <v>5</v>
      </c>
      <c r="H1928" s="8">
        <f t="shared" si="30"/>
        <v>5</v>
      </c>
      <c r="I1928" s="10">
        <v>1</v>
      </c>
    </row>
    <row r="1929" spans="1:9" ht="15.75" thickBot="1" x14ac:dyDescent="0.3">
      <c r="A1929" s="1">
        <v>43800</v>
      </c>
      <c r="B1929" s="8" t="s">
        <v>6</v>
      </c>
      <c r="C1929" t="s">
        <v>7</v>
      </c>
      <c r="D1929" t="s">
        <v>491</v>
      </c>
      <c r="E1929" t="s">
        <v>10</v>
      </c>
      <c r="F1929" s="9">
        <v>77594.38</v>
      </c>
      <c r="G1929" s="6">
        <v>2850335.6540000001</v>
      </c>
      <c r="H1929" s="8">
        <f t="shared" si="30"/>
        <v>2850.335654</v>
      </c>
      <c r="I1929" s="10">
        <v>290</v>
      </c>
    </row>
    <row r="1930" spans="1:9" ht="15.75" thickBot="1" x14ac:dyDescent="0.3">
      <c r="A1930" s="1">
        <v>43466</v>
      </c>
      <c r="B1930" s="8" t="s">
        <v>6</v>
      </c>
      <c r="C1930" t="s">
        <v>7</v>
      </c>
      <c r="D1930" t="s">
        <v>491</v>
      </c>
      <c r="E1930" t="s">
        <v>11</v>
      </c>
      <c r="F1930" s="9">
        <v>1900.03</v>
      </c>
      <c r="G1930" s="6">
        <v>23000</v>
      </c>
      <c r="H1930" s="8">
        <f t="shared" si="30"/>
        <v>23000</v>
      </c>
      <c r="I1930" s="10">
        <v>16</v>
      </c>
    </row>
    <row r="1931" spans="1:9" ht="15.75" thickBot="1" x14ac:dyDescent="0.3">
      <c r="A1931" s="1">
        <v>43466</v>
      </c>
      <c r="B1931" s="8" t="s">
        <v>6</v>
      </c>
      <c r="C1931" t="s">
        <v>7</v>
      </c>
      <c r="D1931" t="s">
        <v>491</v>
      </c>
      <c r="E1931" t="s">
        <v>13</v>
      </c>
      <c r="F1931" s="9">
        <v>81.569999999999993</v>
      </c>
      <c r="G1931" s="5">
        <v>0</v>
      </c>
      <c r="H1931" s="8">
        <f t="shared" si="30"/>
        <v>0</v>
      </c>
      <c r="I1931" s="10">
        <v>1</v>
      </c>
    </row>
    <row r="1932" spans="1:9" ht="15.75" thickBot="1" x14ac:dyDescent="0.3">
      <c r="A1932" s="1">
        <v>43466</v>
      </c>
      <c r="B1932" s="8" t="s">
        <v>6</v>
      </c>
      <c r="C1932" t="s">
        <v>7</v>
      </c>
      <c r="D1932" t="s">
        <v>492</v>
      </c>
      <c r="E1932" t="s">
        <v>15</v>
      </c>
      <c r="F1932" s="9">
        <v>308.62</v>
      </c>
      <c r="G1932" s="4">
        <v>6</v>
      </c>
      <c r="H1932" s="8">
        <f t="shared" si="30"/>
        <v>6</v>
      </c>
      <c r="I1932" s="10">
        <v>2</v>
      </c>
    </row>
    <row r="1933" spans="1:9" ht="15.75" thickBot="1" x14ac:dyDescent="0.3">
      <c r="A1933" s="1">
        <v>43800</v>
      </c>
      <c r="B1933" s="8" t="s">
        <v>6</v>
      </c>
      <c r="C1933" t="s">
        <v>7</v>
      </c>
      <c r="D1933" t="s">
        <v>492</v>
      </c>
      <c r="E1933" t="s">
        <v>10</v>
      </c>
      <c r="F1933" s="9">
        <v>22912.77</v>
      </c>
      <c r="G1933" s="6">
        <v>750647.33100000001</v>
      </c>
      <c r="H1933" s="8">
        <f t="shared" si="30"/>
        <v>750.64733100000001</v>
      </c>
      <c r="I1933" s="10">
        <v>60</v>
      </c>
    </row>
    <row r="1934" spans="1:9" ht="15.75" thickBot="1" x14ac:dyDescent="0.3">
      <c r="A1934" s="1">
        <v>43800</v>
      </c>
      <c r="B1934" s="8" t="s">
        <v>6</v>
      </c>
      <c r="C1934" t="s">
        <v>7</v>
      </c>
      <c r="D1934" t="s">
        <v>492</v>
      </c>
      <c r="E1934" t="s">
        <v>11</v>
      </c>
      <c r="F1934" s="9">
        <v>97226.04</v>
      </c>
      <c r="G1934" s="7">
        <v>2036009</v>
      </c>
      <c r="H1934" s="8">
        <f t="shared" si="30"/>
        <v>2036009</v>
      </c>
      <c r="I1934" s="10">
        <v>2</v>
      </c>
    </row>
    <row r="1935" spans="1:9" ht="15.75" thickBot="1" x14ac:dyDescent="0.3">
      <c r="A1935" s="1">
        <v>43800</v>
      </c>
      <c r="B1935" s="8" t="s">
        <v>6</v>
      </c>
      <c r="C1935" t="s">
        <v>7</v>
      </c>
      <c r="D1935" t="s">
        <v>493</v>
      </c>
      <c r="E1935" t="s">
        <v>9</v>
      </c>
      <c r="F1935" s="9">
        <v>7610.36</v>
      </c>
      <c r="G1935" s="4">
        <v>223</v>
      </c>
      <c r="H1935" s="8">
        <f t="shared" si="30"/>
        <v>223</v>
      </c>
      <c r="I1935" s="10">
        <v>4</v>
      </c>
    </row>
    <row r="1936" spans="1:9" ht="15.75" thickBot="1" x14ac:dyDescent="0.3">
      <c r="A1936" s="1">
        <v>43800</v>
      </c>
      <c r="B1936" s="8" t="s">
        <v>6</v>
      </c>
      <c r="C1936" t="s">
        <v>7</v>
      </c>
      <c r="D1936" t="s">
        <v>493</v>
      </c>
      <c r="E1936" t="s">
        <v>15</v>
      </c>
      <c r="F1936" s="9">
        <v>10166.39</v>
      </c>
      <c r="G1936" s="4">
        <v>216</v>
      </c>
      <c r="H1936" s="8">
        <f t="shared" si="30"/>
        <v>216</v>
      </c>
      <c r="I1936" s="10">
        <v>35</v>
      </c>
    </row>
    <row r="1937" spans="1:9" ht="15.75" thickBot="1" x14ac:dyDescent="0.3">
      <c r="A1937" s="1">
        <v>43466</v>
      </c>
      <c r="B1937" s="8" t="s">
        <v>6</v>
      </c>
      <c r="C1937" t="s">
        <v>7</v>
      </c>
      <c r="D1937" t="s">
        <v>493</v>
      </c>
      <c r="E1937" t="s">
        <v>10</v>
      </c>
      <c r="F1937" s="9">
        <v>557632.25</v>
      </c>
      <c r="G1937" s="6">
        <v>20889454.616</v>
      </c>
      <c r="H1937" s="8">
        <f t="shared" si="30"/>
        <v>20889.454615999999</v>
      </c>
      <c r="I1937" s="10">
        <v>2345</v>
      </c>
    </row>
    <row r="1938" spans="1:9" ht="15.75" thickBot="1" x14ac:dyDescent="0.3">
      <c r="A1938" s="1">
        <v>43466</v>
      </c>
      <c r="B1938" s="8" t="s">
        <v>6</v>
      </c>
      <c r="C1938" t="s">
        <v>7</v>
      </c>
      <c r="D1938" t="s">
        <v>493</v>
      </c>
      <c r="E1938" t="s">
        <v>17</v>
      </c>
      <c r="F1938" s="9">
        <v>2455.44</v>
      </c>
      <c r="G1938" s="4">
        <v>67</v>
      </c>
      <c r="H1938" s="8">
        <f t="shared" si="30"/>
        <v>67</v>
      </c>
      <c r="I1938" s="10">
        <v>1</v>
      </c>
    </row>
    <row r="1939" spans="1:9" ht="15.75" thickBot="1" x14ac:dyDescent="0.3">
      <c r="A1939" s="1">
        <v>43466</v>
      </c>
      <c r="B1939" s="8" t="s">
        <v>6</v>
      </c>
      <c r="C1939" t="s">
        <v>7</v>
      </c>
      <c r="D1939" t="s">
        <v>493</v>
      </c>
      <c r="E1939" t="s">
        <v>11</v>
      </c>
      <c r="F1939" s="9">
        <v>21505.84</v>
      </c>
      <c r="G1939" s="7">
        <v>11504.375</v>
      </c>
      <c r="H1939" s="8">
        <f t="shared" si="30"/>
        <v>11504.375</v>
      </c>
      <c r="I1939" s="10">
        <v>20</v>
      </c>
    </row>
    <row r="1940" spans="1:9" ht="15.75" thickBot="1" x14ac:dyDescent="0.3">
      <c r="A1940" s="1">
        <v>43800</v>
      </c>
      <c r="B1940" s="8" t="s">
        <v>6</v>
      </c>
      <c r="C1940" t="s">
        <v>7</v>
      </c>
      <c r="D1940" t="s">
        <v>493</v>
      </c>
      <c r="E1940" t="s">
        <v>13</v>
      </c>
      <c r="F1940" s="9">
        <v>234.98</v>
      </c>
      <c r="G1940" s="6">
        <v>8000</v>
      </c>
      <c r="H1940" s="8">
        <f t="shared" si="30"/>
        <v>8000</v>
      </c>
      <c r="I1940" s="10">
        <v>1</v>
      </c>
    </row>
    <row r="1941" spans="1:9" ht="15.75" thickBot="1" x14ac:dyDescent="0.3">
      <c r="A1941" s="1">
        <v>43800</v>
      </c>
      <c r="B1941" s="8" t="s">
        <v>6</v>
      </c>
      <c r="C1941" t="s">
        <v>7</v>
      </c>
      <c r="D1941" t="s">
        <v>494</v>
      </c>
      <c r="E1941" t="s">
        <v>9</v>
      </c>
      <c r="F1941" s="9">
        <v>181.96</v>
      </c>
      <c r="G1941" s="4">
        <v>3</v>
      </c>
      <c r="H1941" s="8">
        <f t="shared" si="30"/>
        <v>3</v>
      </c>
      <c r="I1941" s="10">
        <v>1</v>
      </c>
    </row>
    <row r="1942" spans="1:9" ht="15.75" thickBot="1" x14ac:dyDescent="0.3">
      <c r="A1942" s="1">
        <v>43800</v>
      </c>
      <c r="B1942" s="8" t="s">
        <v>6</v>
      </c>
      <c r="C1942" t="s">
        <v>7</v>
      </c>
      <c r="D1942" t="s">
        <v>494</v>
      </c>
      <c r="E1942" t="s">
        <v>10</v>
      </c>
      <c r="F1942" s="9">
        <v>17941.28</v>
      </c>
      <c r="G1942" s="6">
        <v>502082.44799999997</v>
      </c>
      <c r="H1942" s="8">
        <f t="shared" si="30"/>
        <v>502.082448</v>
      </c>
      <c r="I1942" s="10">
        <v>41</v>
      </c>
    </row>
    <row r="1943" spans="1:9" ht="15.75" thickBot="1" x14ac:dyDescent="0.3">
      <c r="A1943" s="1">
        <v>43800</v>
      </c>
      <c r="B1943" s="8" t="s">
        <v>6</v>
      </c>
      <c r="C1943" t="s">
        <v>7</v>
      </c>
      <c r="D1943" t="s">
        <v>494</v>
      </c>
      <c r="E1943" t="s">
        <v>11</v>
      </c>
      <c r="F1943" s="9">
        <v>357.53</v>
      </c>
      <c r="G1943" s="6">
        <v>7000</v>
      </c>
      <c r="H1943" s="8">
        <f t="shared" si="30"/>
        <v>7000</v>
      </c>
      <c r="I1943" s="10">
        <v>2</v>
      </c>
    </row>
    <row r="1944" spans="1:9" ht="15.75" thickBot="1" x14ac:dyDescent="0.3">
      <c r="A1944" s="1">
        <v>43466</v>
      </c>
      <c r="B1944" s="8" t="s">
        <v>6</v>
      </c>
      <c r="C1944" t="s">
        <v>7</v>
      </c>
      <c r="D1944" t="s">
        <v>494</v>
      </c>
      <c r="E1944" t="s">
        <v>13</v>
      </c>
      <c r="F1944" s="9">
        <v>629.23</v>
      </c>
      <c r="G1944" s="6">
        <v>19000</v>
      </c>
      <c r="H1944" s="8">
        <f t="shared" si="30"/>
        <v>19000</v>
      </c>
      <c r="I1944" s="10">
        <v>1</v>
      </c>
    </row>
    <row r="1945" spans="1:9" ht="15.75" thickBot="1" x14ac:dyDescent="0.3">
      <c r="A1945" s="1">
        <v>43466</v>
      </c>
      <c r="B1945" s="8" t="s">
        <v>6</v>
      </c>
      <c r="C1945" t="s">
        <v>7</v>
      </c>
      <c r="D1945" t="s">
        <v>495</v>
      </c>
      <c r="E1945" t="s">
        <v>9</v>
      </c>
      <c r="F1945" s="9">
        <v>12554.4</v>
      </c>
      <c r="G1945" s="4">
        <v>384</v>
      </c>
      <c r="H1945" s="8">
        <f t="shared" si="30"/>
        <v>384</v>
      </c>
      <c r="I1945" s="10">
        <v>12</v>
      </c>
    </row>
    <row r="1946" spans="1:9" ht="15.75" thickBot="1" x14ac:dyDescent="0.3">
      <c r="A1946" s="1">
        <v>43466</v>
      </c>
      <c r="B1946" s="8" t="s">
        <v>6</v>
      </c>
      <c r="C1946" t="s">
        <v>7</v>
      </c>
      <c r="D1946" t="s">
        <v>495</v>
      </c>
      <c r="E1946" t="s">
        <v>15</v>
      </c>
      <c r="F1946" s="9">
        <v>1902021.24</v>
      </c>
      <c r="G1946" s="7">
        <v>28182390.363000002</v>
      </c>
      <c r="H1946" s="8">
        <f t="shared" si="30"/>
        <v>28182390.363000002</v>
      </c>
      <c r="I1946" s="10">
        <v>909</v>
      </c>
    </row>
    <row r="1947" spans="1:9" ht="15.75" thickBot="1" x14ac:dyDescent="0.3">
      <c r="A1947" s="1">
        <v>43800</v>
      </c>
      <c r="B1947" s="8" t="s">
        <v>6</v>
      </c>
      <c r="C1947" t="s">
        <v>7</v>
      </c>
      <c r="D1947" t="s">
        <v>495</v>
      </c>
      <c r="E1947" t="s">
        <v>10</v>
      </c>
      <c r="F1947" s="9">
        <v>232805.85</v>
      </c>
      <c r="G1947" s="6">
        <v>73631050.897</v>
      </c>
      <c r="H1947" s="8">
        <f t="shared" si="30"/>
        <v>73631.050896999994</v>
      </c>
      <c r="I1947" s="10">
        <v>5455</v>
      </c>
    </row>
    <row r="1948" spans="1:9" ht="15.75" thickBot="1" x14ac:dyDescent="0.3">
      <c r="A1948" s="1">
        <v>43800</v>
      </c>
      <c r="B1948" s="8" t="s">
        <v>6</v>
      </c>
      <c r="C1948" t="s">
        <v>7</v>
      </c>
      <c r="D1948" t="s">
        <v>495</v>
      </c>
      <c r="E1948" t="s">
        <v>11</v>
      </c>
      <c r="F1948" s="9">
        <v>45050.28</v>
      </c>
      <c r="G1948" s="7">
        <v>26893.83</v>
      </c>
      <c r="H1948" s="8">
        <f t="shared" si="30"/>
        <v>26893.83</v>
      </c>
      <c r="I1948" s="10">
        <v>52</v>
      </c>
    </row>
    <row r="1949" spans="1:9" ht="15.75" thickBot="1" x14ac:dyDescent="0.3">
      <c r="A1949" s="1">
        <v>43800</v>
      </c>
      <c r="B1949" s="8" t="s">
        <v>6</v>
      </c>
      <c r="C1949" t="s">
        <v>7</v>
      </c>
      <c r="D1949" t="s">
        <v>495</v>
      </c>
      <c r="E1949" t="s">
        <v>13</v>
      </c>
      <c r="F1949" s="9">
        <v>599.11</v>
      </c>
      <c r="G1949" s="6">
        <v>157331.95699999999</v>
      </c>
      <c r="H1949" s="8">
        <f t="shared" si="30"/>
        <v>157331.95699999999</v>
      </c>
      <c r="I1949" s="10">
        <v>16</v>
      </c>
    </row>
    <row r="1950" spans="1:9" ht="15.75" thickBot="1" x14ac:dyDescent="0.3">
      <c r="A1950" s="1">
        <v>43800</v>
      </c>
      <c r="B1950" s="8" t="s">
        <v>6</v>
      </c>
      <c r="C1950" t="s">
        <v>7</v>
      </c>
      <c r="D1950" t="s">
        <v>496</v>
      </c>
      <c r="E1950" t="s">
        <v>9</v>
      </c>
      <c r="F1950" s="9">
        <v>-26030.45</v>
      </c>
      <c r="G1950" s="4">
        <v>-227</v>
      </c>
      <c r="H1950" s="8">
        <f t="shared" si="30"/>
        <v>-227</v>
      </c>
      <c r="I1950" s="10">
        <v>9</v>
      </c>
    </row>
    <row r="1951" spans="1:9" ht="15.75" thickBot="1" x14ac:dyDescent="0.3">
      <c r="A1951" s="1">
        <v>43466</v>
      </c>
      <c r="B1951" s="8" t="s">
        <v>6</v>
      </c>
      <c r="C1951" t="s">
        <v>7</v>
      </c>
      <c r="D1951" t="s">
        <v>496</v>
      </c>
      <c r="E1951" t="s">
        <v>15</v>
      </c>
      <c r="F1951" s="9">
        <v>625</v>
      </c>
      <c r="G1951" s="4">
        <v>0</v>
      </c>
      <c r="H1951" s="8">
        <f t="shared" si="30"/>
        <v>0</v>
      </c>
      <c r="I1951" s="10">
        <v>1</v>
      </c>
    </row>
    <row r="1952" spans="1:9" ht="15.75" thickBot="1" x14ac:dyDescent="0.3">
      <c r="A1952" s="1">
        <v>43466</v>
      </c>
      <c r="B1952" s="8" t="s">
        <v>6</v>
      </c>
      <c r="C1952" t="s">
        <v>7</v>
      </c>
      <c r="D1952" t="s">
        <v>496</v>
      </c>
      <c r="E1952" t="s">
        <v>10</v>
      </c>
      <c r="F1952" s="9">
        <v>42081.49</v>
      </c>
      <c r="G1952" s="6">
        <v>1506000</v>
      </c>
      <c r="H1952" s="8">
        <f t="shared" si="30"/>
        <v>1506</v>
      </c>
      <c r="I1952" s="10">
        <v>14</v>
      </c>
    </row>
    <row r="1953" spans="1:9" ht="15.75" thickBot="1" x14ac:dyDescent="0.3">
      <c r="A1953" s="1">
        <v>43466</v>
      </c>
      <c r="B1953" s="8" t="s">
        <v>6</v>
      </c>
      <c r="C1953" t="s">
        <v>7</v>
      </c>
      <c r="D1953" t="s">
        <v>496</v>
      </c>
      <c r="E1953" t="s">
        <v>11</v>
      </c>
      <c r="F1953" s="9">
        <v>81.569999999999993</v>
      </c>
      <c r="G1953" s="5">
        <v>0</v>
      </c>
      <c r="H1953" s="8">
        <f t="shared" si="30"/>
        <v>0</v>
      </c>
      <c r="I1953" s="10">
        <v>1</v>
      </c>
    </row>
    <row r="1954" spans="1:9" ht="15.75" thickBot="1" x14ac:dyDescent="0.3">
      <c r="A1954" s="1">
        <v>43800</v>
      </c>
      <c r="B1954" s="8" t="s">
        <v>6</v>
      </c>
      <c r="C1954" t="s">
        <v>7</v>
      </c>
      <c r="D1954" t="s">
        <v>497</v>
      </c>
      <c r="E1954" t="s">
        <v>9</v>
      </c>
      <c r="F1954" s="9">
        <v>72872.210000000006</v>
      </c>
      <c r="G1954" s="4">
        <v>2364</v>
      </c>
      <c r="H1954" s="8">
        <f t="shared" si="30"/>
        <v>2364</v>
      </c>
      <c r="I1954" s="10">
        <v>93</v>
      </c>
    </row>
    <row r="1955" spans="1:9" ht="15.75" thickBot="1" x14ac:dyDescent="0.3">
      <c r="A1955" s="1">
        <v>43800</v>
      </c>
      <c r="B1955" s="8" t="s">
        <v>6</v>
      </c>
      <c r="C1955" t="s">
        <v>7</v>
      </c>
      <c r="D1955" t="s">
        <v>497</v>
      </c>
      <c r="E1955" t="s">
        <v>15</v>
      </c>
      <c r="F1955" s="9">
        <v>11725.04</v>
      </c>
      <c r="G1955" s="4">
        <v>156</v>
      </c>
      <c r="H1955" s="8">
        <f t="shared" si="30"/>
        <v>156</v>
      </c>
      <c r="I1955" s="10">
        <v>24</v>
      </c>
    </row>
    <row r="1956" spans="1:9" ht="15.75" thickBot="1" x14ac:dyDescent="0.3">
      <c r="A1956" s="1">
        <v>43800</v>
      </c>
      <c r="B1956" s="8" t="s">
        <v>6</v>
      </c>
      <c r="C1956" t="s">
        <v>7</v>
      </c>
      <c r="D1956" t="s">
        <v>497</v>
      </c>
      <c r="E1956" t="s">
        <v>10</v>
      </c>
      <c r="F1956" s="9">
        <v>394071.05</v>
      </c>
      <c r="G1956" s="6">
        <v>14931650.089</v>
      </c>
      <c r="H1956" s="8">
        <f t="shared" si="30"/>
        <v>14931.650088999999</v>
      </c>
      <c r="I1956" s="10">
        <v>1239</v>
      </c>
    </row>
    <row r="1957" spans="1:9" ht="15.75" thickBot="1" x14ac:dyDescent="0.3">
      <c r="A1957" s="1">
        <v>43800</v>
      </c>
      <c r="B1957" s="8" t="s">
        <v>6</v>
      </c>
      <c r="C1957" t="s">
        <v>7</v>
      </c>
      <c r="D1957" t="s">
        <v>497</v>
      </c>
      <c r="E1957" t="s">
        <v>17</v>
      </c>
      <c r="F1957" s="9">
        <v>291.24</v>
      </c>
      <c r="G1957" s="4">
        <v>7</v>
      </c>
      <c r="H1957" s="8">
        <f t="shared" si="30"/>
        <v>7</v>
      </c>
      <c r="I1957" s="10">
        <v>1</v>
      </c>
    </row>
    <row r="1958" spans="1:9" ht="15.75" thickBot="1" x14ac:dyDescent="0.3">
      <c r="A1958" s="1">
        <v>43466</v>
      </c>
      <c r="B1958" s="8" t="s">
        <v>6</v>
      </c>
      <c r="C1958" t="s">
        <v>7</v>
      </c>
      <c r="D1958" t="s">
        <v>497</v>
      </c>
      <c r="E1958" t="s">
        <v>11</v>
      </c>
      <c r="F1958" s="9">
        <v>17063.96</v>
      </c>
      <c r="G1958" s="4">
        <v>434</v>
      </c>
      <c r="H1958" s="8">
        <f t="shared" si="30"/>
        <v>434</v>
      </c>
      <c r="I1958" s="10">
        <v>25</v>
      </c>
    </row>
    <row r="1959" spans="1:9" ht="15.75" thickBot="1" x14ac:dyDescent="0.3">
      <c r="A1959" s="1">
        <v>43466</v>
      </c>
      <c r="B1959" s="8" t="s">
        <v>6</v>
      </c>
      <c r="C1959" t="s">
        <v>7</v>
      </c>
      <c r="D1959" t="s">
        <v>497</v>
      </c>
      <c r="E1959" t="s">
        <v>13</v>
      </c>
      <c r="F1959" s="9">
        <v>2899.43</v>
      </c>
      <c r="G1959" s="7">
        <v>35710.85</v>
      </c>
      <c r="H1959" s="8">
        <f t="shared" si="30"/>
        <v>35710.85</v>
      </c>
      <c r="I1959" s="10">
        <v>11</v>
      </c>
    </row>
    <row r="1960" spans="1:9" ht="15.75" thickBot="1" x14ac:dyDescent="0.3">
      <c r="A1960" s="1">
        <v>43466</v>
      </c>
      <c r="B1960" s="8" t="s">
        <v>6</v>
      </c>
      <c r="C1960" t="s">
        <v>7</v>
      </c>
      <c r="D1960" t="s">
        <v>498</v>
      </c>
      <c r="E1960" t="s">
        <v>9</v>
      </c>
      <c r="F1960" s="9">
        <v>2265.56</v>
      </c>
      <c r="G1960" s="4">
        <v>58</v>
      </c>
      <c r="H1960" s="8">
        <f t="shared" si="30"/>
        <v>58</v>
      </c>
      <c r="I1960" s="10">
        <v>2</v>
      </c>
    </row>
    <row r="1961" spans="1:9" ht="15.75" thickBot="1" x14ac:dyDescent="0.3">
      <c r="A1961" s="1">
        <v>43800</v>
      </c>
      <c r="B1961" s="8" t="s">
        <v>6</v>
      </c>
      <c r="C1961" t="s">
        <v>7</v>
      </c>
      <c r="D1961" t="s">
        <v>498</v>
      </c>
      <c r="E1961" t="s">
        <v>15</v>
      </c>
      <c r="F1961" s="9">
        <v>1501.08</v>
      </c>
      <c r="G1961" s="4">
        <v>38</v>
      </c>
      <c r="H1961" s="8">
        <f t="shared" si="30"/>
        <v>38</v>
      </c>
      <c r="I1961" s="10">
        <v>2</v>
      </c>
    </row>
    <row r="1962" spans="1:9" ht="15.75" thickBot="1" x14ac:dyDescent="0.3">
      <c r="A1962" s="1">
        <v>43800</v>
      </c>
      <c r="B1962" s="8" t="s">
        <v>6</v>
      </c>
      <c r="C1962" t="s">
        <v>7</v>
      </c>
      <c r="D1962" t="s">
        <v>498</v>
      </c>
      <c r="E1962" t="s">
        <v>10</v>
      </c>
      <c r="F1962" s="9">
        <v>77879.72</v>
      </c>
      <c r="G1962" s="6">
        <v>2862022.41</v>
      </c>
      <c r="H1962" s="8">
        <f t="shared" si="30"/>
        <v>2862.02241</v>
      </c>
      <c r="I1962" s="10">
        <v>207</v>
      </c>
    </row>
    <row r="1963" spans="1:9" ht="15.75" thickBot="1" x14ac:dyDescent="0.3">
      <c r="A1963" s="1">
        <v>43800</v>
      </c>
      <c r="B1963" s="8" t="s">
        <v>6</v>
      </c>
      <c r="C1963" t="s">
        <v>7</v>
      </c>
      <c r="D1963" t="s">
        <v>498</v>
      </c>
      <c r="E1963" t="s">
        <v>11</v>
      </c>
      <c r="F1963" s="9">
        <v>1519.92</v>
      </c>
      <c r="G1963" s="4">
        <v>27</v>
      </c>
      <c r="H1963" s="8">
        <f t="shared" si="30"/>
        <v>27</v>
      </c>
      <c r="I1963" s="10">
        <v>6</v>
      </c>
    </row>
    <row r="1964" spans="1:9" ht="15.75" thickBot="1" x14ac:dyDescent="0.3">
      <c r="A1964" s="1">
        <v>43800</v>
      </c>
      <c r="B1964" s="8" t="s">
        <v>6</v>
      </c>
      <c r="C1964" t="s">
        <v>7</v>
      </c>
      <c r="D1964" t="s">
        <v>498</v>
      </c>
      <c r="E1964" t="s">
        <v>13</v>
      </c>
      <c r="F1964" s="9">
        <v>1593.16</v>
      </c>
      <c r="G1964" s="4">
        <v>56</v>
      </c>
      <c r="H1964" s="8">
        <f t="shared" si="30"/>
        <v>56</v>
      </c>
      <c r="I1964" s="10">
        <v>1</v>
      </c>
    </row>
    <row r="1965" spans="1:9" ht="15.75" thickBot="1" x14ac:dyDescent="0.3">
      <c r="A1965" s="1">
        <v>43466</v>
      </c>
      <c r="B1965" s="8" t="s">
        <v>6</v>
      </c>
      <c r="C1965" t="s">
        <v>7</v>
      </c>
      <c r="D1965" t="s">
        <v>499</v>
      </c>
      <c r="E1965" t="s">
        <v>9</v>
      </c>
      <c r="F1965" s="9">
        <v>2622.72</v>
      </c>
      <c r="G1965" s="4">
        <v>96</v>
      </c>
      <c r="H1965" s="8">
        <f t="shared" si="30"/>
        <v>96</v>
      </c>
      <c r="I1965" s="10">
        <v>3</v>
      </c>
    </row>
    <row r="1966" spans="1:9" ht="15.75" thickBot="1" x14ac:dyDescent="0.3">
      <c r="A1966" s="1">
        <v>43466</v>
      </c>
      <c r="B1966" s="8" t="s">
        <v>6</v>
      </c>
      <c r="C1966" t="s">
        <v>7</v>
      </c>
      <c r="D1966" t="s">
        <v>499</v>
      </c>
      <c r="E1966" t="s">
        <v>15</v>
      </c>
      <c r="F1966" s="9">
        <v>21935.03</v>
      </c>
      <c r="G1966" s="4">
        <v>751</v>
      </c>
      <c r="H1966" s="8">
        <f t="shared" si="30"/>
        <v>751</v>
      </c>
      <c r="I1966" s="10">
        <v>11</v>
      </c>
    </row>
    <row r="1967" spans="1:9" ht="15.75" thickBot="1" x14ac:dyDescent="0.3">
      <c r="A1967" s="1">
        <v>43466</v>
      </c>
      <c r="B1967" s="8" t="s">
        <v>6</v>
      </c>
      <c r="C1967" t="s">
        <v>7</v>
      </c>
      <c r="D1967" t="s">
        <v>499</v>
      </c>
      <c r="E1967" t="s">
        <v>10</v>
      </c>
      <c r="F1967" s="9">
        <v>308041.82</v>
      </c>
      <c r="G1967" s="6">
        <v>14578436.267999999</v>
      </c>
      <c r="H1967" s="8">
        <f t="shared" si="30"/>
        <v>14578.436267999999</v>
      </c>
      <c r="I1967" s="10">
        <v>920</v>
      </c>
    </row>
    <row r="1968" spans="1:9" ht="15.75" thickBot="1" x14ac:dyDescent="0.3">
      <c r="A1968" s="1">
        <v>43800</v>
      </c>
      <c r="B1968" s="8" t="s">
        <v>6</v>
      </c>
      <c r="C1968" t="s">
        <v>7</v>
      </c>
      <c r="D1968" t="s">
        <v>499</v>
      </c>
      <c r="E1968" t="s">
        <v>11</v>
      </c>
      <c r="F1968" s="9">
        <v>15810.34</v>
      </c>
      <c r="G1968" s="7">
        <v>557181.19999999995</v>
      </c>
      <c r="H1968" s="8">
        <f t="shared" si="30"/>
        <v>557181.19999999995</v>
      </c>
      <c r="I1968" s="10">
        <v>10</v>
      </c>
    </row>
    <row r="1969" spans="1:9" ht="15.75" thickBot="1" x14ac:dyDescent="0.3">
      <c r="A1969" s="1">
        <v>43800</v>
      </c>
      <c r="B1969" s="8" t="s">
        <v>6</v>
      </c>
      <c r="C1969" t="s">
        <v>7</v>
      </c>
      <c r="D1969" t="s">
        <v>499</v>
      </c>
      <c r="E1969" t="s">
        <v>13</v>
      </c>
      <c r="F1969" s="9">
        <v>23624.44</v>
      </c>
      <c r="G1969" s="6">
        <v>1514107.4</v>
      </c>
      <c r="H1969" s="8">
        <f t="shared" si="30"/>
        <v>1514107.4</v>
      </c>
      <c r="I1969" s="10">
        <v>6</v>
      </c>
    </row>
    <row r="1970" spans="1:9" ht="15.75" thickBot="1" x14ac:dyDescent="0.3">
      <c r="A1970" s="1">
        <v>43800</v>
      </c>
      <c r="B1970" s="8" t="s">
        <v>6</v>
      </c>
      <c r="C1970" t="s">
        <v>7</v>
      </c>
      <c r="D1970" t="s">
        <v>500</v>
      </c>
      <c r="E1970" t="s">
        <v>9</v>
      </c>
      <c r="F1970" s="9">
        <v>402830.9</v>
      </c>
      <c r="G1970" s="7">
        <v>239487.53899999999</v>
      </c>
      <c r="H1970" s="8">
        <f t="shared" si="30"/>
        <v>239487.53899999999</v>
      </c>
      <c r="I1970" s="10">
        <v>139</v>
      </c>
    </row>
    <row r="1971" spans="1:9" ht="15.75" thickBot="1" x14ac:dyDescent="0.3">
      <c r="A1971" s="1">
        <v>43800</v>
      </c>
      <c r="B1971" s="8" t="s">
        <v>6</v>
      </c>
      <c r="C1971" t="s">
        <v>7</v>
      </c>
      <c r="D1971" t="s">
        <v>500</v>
      </c>
      <c r="E1971" t="s">
        <v>15</v>
      </c>
      <c r="F1971" s="9">
        <v>100300.15</v>
      </c>
      <c r="G1971" s="4">
        <v>3480</v>
      </c>
      <c r="H1971" s="8">
        <f t="shared" si="30"/>
        <v>3480</v>
      </c>
      <c r="I1971" s="10">
        <v>15</v>
      </c>
    </row>
    <row r="1972" spans="1:9" ht="15.75" thickBot="1" x14ac:dyDescent="0.3">
      <c r="A1972" s="1">
        <v>43466</v>
      </c>
      <c r="B1972" s="8" t="s">
        <v>6</v>
      </c>
      <c r="C1972" t="s">
        <v>7</v>
      </c>
      <c r="D1972" t="s">
        <v>500</v>
      </c>
      <c r="E1972" t="s">
        <v>10</v>
      </c>
      <c r="F1972" s="9">
        <v>677489.2</v>
      </c>
      <c r="G1972" s="7">
        <v>24313639.037</v>
      </c>
      <c r="H1972" s="8">
        <f t="shared" si="30"/>
        <v>24313.639037000001</v>
      </c>
      <c r="I1972" s="10">
        <v>1853</v>
      </c>
    </row>
    <row r="1973" spans="1:9" ht="15.75" thickBot="1" x14ac:dyDescent="0.3">
      <c r="A1973" s="1">
        <v>43466</v>
      </c>
      <c r="B1973" s="8" t="s">
        <v>6</v>
      </c>
      <c r="C1973" t="s">
        <v>7</v>
      </c>
      <c r="D1973" t="s">
        <v>500</v>
      </c>
      <c r="E1973" t="s">
        <v>17</v>
      </c>
      <c r="F1973" s="9">
        <v>237048.7</v>
      </c>
      <c r="G1973" s="4">
        <v>7094</v>
      </c>
      <c r="H1973" s="8">
        <f t="shared" si="30"/>
        <v>7094</v>
      </c>
      <c r="I1973" s="10">
        <v>54</v>
      </c>
    </row>
    <row r="1974" spans="1:9" ht="15.75" thickBot="1" x14ac:dyDescent="0.3">
      <c r="A1974" s="1">
        <v>43466</v>
      </c>
      <c r="B1974" s="8" t="s">
        <v>6</v>
      </c>
      <c r="C1974" t="s">
        <v>7</v>
      </c>
      <c r="D1974" t="s">
        <v>500</v>
      </c>
      <c r="E1974" t="s">
        <v>11</v>
      </c>
      <c r="F1974" s="9">
        <v>459897.16</v>
      </c>
      <c r="G1974" s="7">
        <v>2086556.52</v>
      </c>
      <c r="H1974" s="8">
        <f t="shared" si="30"/>
        <v>2086556.52</v>
      </c>
      <c r="I1974" s="10">
        <v>119</v>
      </c>
    </row>
    <row r="1975" spans="1:9" ht="15.75" thickBot="1" x14ac:dyDescent="0.3">
      <c r="A1975" s="1">
        <v>43800</v>
      </c>
      <c r="B1975" s="8" t="s">
        <v>6</v>
      </c>
      <c r="C1975" t="s">
        <v>7</v>
      </c>
      <c r="D1975" t="s">
        <v>500</v>
      </c>
      <c r="E1975" t="s">
        <v>13</v>
      </c>
      <c r="F1975" s="9">
        <v>10567.29</v>
      </c>
      <c r="G1975" s="7">
        <v>164004.394</v>
      </c>
      <c r="H1975" s="8">
        <f t="shared" si="30"/>
        <v>164004.394</v>
      </c>
      <c r="I1975" s="10">
        <v>13</v>
      </c>
    </row>
    <row r="1976" spans="1:9" ht="15.75" thickBot="1" x14ac:dyDescent="0.3">
      <c r="A1976" s="1">
        <v>43800</v>
      </c>
      <c r="B1976" s="8" t="s">
        <v>6</v>
      </c>
      <c r="C1976" t="s">
        <v>7</v>
      </c>
      <c r="D1976" t="s">
        <v>501</v>
      </c>
      <c r="E1976" t="s">
        <v>9</v>
      </c>
      <c r="F1976" s="9">
        <v>3641.91</v>
      </c>
      <c r="G1976" s="4">
        <v>115</v>
      </c>
      <c r="H1976" s="8">
        <f t="shared" si="30"/>
        <v>115</v>
      </c>
      <c r="I1976" s="10">
        <v>5</v>
      </c>
    </row>
    <row r="1977" spans="1:9" ht="15.75" thickBot="1" x14ac:dyDescent="0.3">
      <c r="A1977" s="1">
        <v>43800</v>
      </c>
      <c r="B1977" s="8" t="s">
        <v>6</v>
      </c>
      <c r="C1977" t="s">
        <v>7</v>
      </c>
      <c r="D1977" t="s">
        <v>501</v>
      </c>
      <c r="E1977" t="s">
        <v>15</v>
      </c>
      <c r="F1977" s="9">
        <v>270279.31</v>
      </c>
      <c r="G1977" s="7">
        <v>3886601.3790000002</v>
      </c>
      <c r="H1977" s="8">
        <f t="shared" si="30"/>
        <v>3886601.3790000002</v>
      </c>
      <c r="I1977" s="10">
        <v>487</v>
      </c>
    </row>
    <row r="1978" spans="1:9" ht="15.75" thickBot="1" x14ac:dyDescent="0.3">
      <c r="A1978" s="1">
        <v>43800</v>
      </c>
      <c r="B1978" s="8" t="s">
        <v>6</v>
      </c>
      <c r="C1978" t="s">
        <v>7</v>
      </c>
      <c r="D1978" t="s">
        <v>501</v>
      </c>
      <c r="E1978" t="s">
        <v>10</v>
      </c>
      <c r="F1978" s="9">
        <v>317429.05</v>
      </c>
      <c r="G1978" s="7">
        <v>19135654.655000001</v>
      </c>
      <c r="H1978" s="8">
        <f t="shared" si="30"/>
        <v>19135.654655000002</v>
      </c>
      <c r="I1978" s="10">
        <v>2331</v>
      </c>
    </row>
    <row r="1979" spans="1:9" ht="15.75" thickBot="1" x14ac:dyDescent="0.3">
      <c r="A1979" s="1">
        <v>43466</v>
      </c>
      <c r="B1979" s="8" t="s">
        <v>6</v>
      </c>
      <c r="C1979" t="s">
        <v>7</v>
      </c>
      <c r="D1979" t="s">
        <v>501</v>
      </c>
      <c r="E1979" t="s">
        <v>11</v>
      </c>
      <c r="F1979" s="9">
        <v>10842.01</v>
      </c>
      <c r="G1979" s="7">
        <v>18127.226999999999</v>
      </c>
      <c r="H1979" s="8">
        <f t="shared" si="30"/>
        <v>18127.226999999999</v>
      </c>
      <c r="I1979" s="10">
        <v>15</v>
      </c>
    </row>
    <row r="1980" spans="1:9" ht="15.75" thickBot="1" x14ac:dyDescent="0.3">
      <c r="A1980" s="1">
        <v>43466</v>
      </c>
      <c r="B1980" s="8" t="s">
        <v>6</v>
      </c>
      <c r="C1980" t="s">
        <v>7</v>
      </c>
      <c r="D1980" t="s">
        <v>501</v>
      </c>
      <c r="E1980" t="s">
        <v>13</v>
      </c>
      <c r="F1980" s="9">
        <v>-2462.88</v>
      </c>
      <c r="G1980" s="7">
        <v>89884</v>
      </c>
      <c r="H1980" s="8">
        <f t="shared" si="30"/>
        <v>89884</v>
      </c>
      <c r="I1980" s="10">
        <v>13</v>
      </c>
    </row>
    <row r="1981" spans="1:9" ht="15.75" thickBot="1" x14ac:dyDescent="0.3">
      <c r="A1981" s="1">
        <v>43466</v>
      </c>
      <c r="B1981" s="8" t="s">
        <v>6</v>
      </c>
      <c r="C1981" t="s">
        <v>7</v>
      </c>
      <c r="D1981" t="s">
        <v>502</v>
      </c>
      <c r="E1981" t="s">
        <v>9</v>
      </c>
      <c r="F1981" s="9">
        <v>3440.64</v>
      </c>
      <c r="G1981" s="4">
        <v>77</v>
      </c>
      <c r="H1981" s="8">
        <f t="shared" si="30"/>
        <v>77</v>
      </c>
      <c r="I1981" s="10">
        <v>4</v>
      </c>
    </row>
    <row r="1982" spans="1:9" ht="15.75" thickBot="1" x14ac:dyDescent="0.3">
      <c r="A1982" s="1">
        <v>43800</v>
      </c>
      <c r="B1982" s="8" t="s">
        <v>6</v>
      </c>
      <c r="C1982" t="s">
        <v>7</v>
      </c>
      <c r="D1982" t="s">
        <v>502</v>
      </c>
      <c r="E1982" t="s">
        <v>10</v>
      </c>
      <c r="F1982" s="9">
        <v>1283.7</v>
      </c>
      <c r="G1982" s="7">
        <v>9025</v>
      </c>
      <c r="H1982" s="8">
        <f t="shared" si="30"/>
        <v>9.0250000000000004</v>
      </c>
      <c r="I1982" s="10">
        <v>4</v>
      </c>
    </row>
    <row r="1983" spans="1:9" ht="15.75" thickBot="1" x14ac:dyDescent="0.3">
      <c r="A1983" s="1">
        <v>43800</v>
      </c>
      <c r="B1983" s="8" t="s">
        <v>6</v>
      </c>
      <c r="C1983" t="s">
        <v>7</v>
      </c>
      <c r="D1983" t="s">
        <v>502</v>
      </c>
      <c r="E1983" t="s">
        <v>17</v>
      </c>
      <c r="F1983" s="9">
        <v>109333.34</v>
      </c>
      <c r="G1983" s="4">
        <v>3042</v>
      </c>
      <c r="H1983" s="8">
        <f t="shared" si="30"/>
        <v>3042</v>
      </c>
      <c r="I1983" s="10">
        <v>106</v>
      </c>
    </row>
    <row r="1984" spans="1:9" ht="15.75" thickBot="1" x14ac:dyDescent="0.3">
      <c r="A1984" s="1">
        <v>43800</v>
      </c>
      <c r="B1984" s="8" t="s">
        <v>6</v>
      </c>
      <c r="C1984" t="s">
        <v>7</v>
      </c>
      <c r="D1984" t="s">
        <v>502</v>
      </c>
      <c r="E1984" t="s">
        <v>11</v>
      </c>
      <c r="F1984" s="9">
        <v>1467.5</v>
      </c>
      <c r="G1984" s="7">
        <v>9391.6</v>
      </c>
      <c r="H1984" s="8">
        <f t="shared" si="30"/>
        <v>9391.6</v>
      </c>
      <c r="I1984" s="10">
        <v>11</v>
      </c>
    </row>
    <row r="1985" spans="1:9" ht="15.75" thickBot="1" x14ac:dyDescent="0.3">
      <c r="A1985" s="1">
        <v>43800</v>
      </c>
      <c r="B1985" s="8" t="s">
        <v>6</v>
      </c>
      <c r="C1985" t="s">
        <v>7</v>
      </c>
      <c r="D1985" t="s">
        <v>502</v>
      </c>
      <c r="E1985" t="s">
        <v>13</v>
      </c>
      <c r="F1985" s="9">
        <v>274.56</v>
      </c>
      <c r="G1985" s="4">
        <v>8</v>
      </c>
      <c r="H1985" s="8">
        <f t="shared" si="30"/>
        <v>8</v>
      </c>
      <c r="I1985" s="10">
        <v>1</v>
      </c>
    </row>
    <row r="1986" spans="1:9" ht="15.75" thickBot="1" x14ac:dyDescent="0.3">
      <c r="A1986" s="1">
        <v>43466</v>
      </c>
      <c r="B1986" s="8" t="s">
        <v>6</v>
      </c>
      <c r="C1986" t="s">
        <v>7</v>
      </c>
      <c r="D1986" t="s">
        <v>503</v>
      </c>
      <c r="E1986" t="s">
        <v>10</v>
      </c>
      <c r="F1986" s="9">
        <v>47140.44</v>
      </c>
      <c r="G1986" s="6">
        <v>1419866.287</v>
      </c>
      <c r="H1986" s="8">
        <f t="shared" ref="H1986:H2049" si="31">IF(ISNUMBER(SEARCH("Domestic customer", E1986)),G1986/1000,G1986)</f>
        <v>1419.8662870000001</v>
      </c>
      <c r="I1986" s="10">
        <v>125</v>
      </c>
    </row>
    <row r="1987" spans="1:9" ht="15.75" thickBot="1" x14ac:dyDescent="0.3">
      <c r="A1987" s="1">
        <v>43466</v>
      </c>
      <c r="B1987" s="8" t="s">
        <v>6</v>
      </c>
      <c r="C1987" t="s">
        <v>7</v>
      </c>
      <c r="D1987" t="s">
        <v>503</v>
      </c>
      <c r="E1987" t="s">
        <v>11</v>
      </c>
      <c r="F1987" s="9">
        <v>1210.8399999999999</v>
      </c>
      <c r="G1987" s="4">
        <v>37</v>
      </c>
      <c r="H1987" s="8">
        <f t="shared" si="31"/>
        <v>37</v>
      </c>
      <c r="I1987" s="10">
        <v>2</v>
      </c>
    </row>
    <row r="1988" spans="1:9" ht="15.75" thickBot="1" x14ac:dyDescent="0.3">
      <c r="A1988" s="1">
        <v>43466</v>
      </c>
      <c r="B1988" s="8" t="s">
        <v>6</v>
      </c>
      <c r="C1988" t="s">
        <v>7</v>
      </c>
      <c r="D1988" t="s">
        <v>504</v>
      </c>
      <c r="E1988" t="s">
        <v>9</v>
      </c>
      <c r="F1988" s="9">
        <v>6556.8</v>
      </c>
      <c r="G1988" s="4">
        <v>240</v>
      </c>
      <c r="H1988" s="8">
        <f t="shared" si="31"/>
        <v>240</v>
      </c>
      <c r="I1988" s="10">
        <v>1</v>
      </c>
    </row>
    <row r="1989" spans="1:9" ht="15.75" thickBot="1" x14ac:dyDescent="0.3">
      <c r="A1989" s="1">
        <v>43800</v>
      </c>
      <c r="B1989" s="8" t="s">
        <v>6</v>
      </c>
      <c r="C1989" t="s">
        <v>7</v>
      </c>
      <c r="D1989" t="s">
        <v>504</v>
      </c>
      <c r="E1989" t="s">
        <v>10</v>
      </c>
      <c r="F1989" s="9">
        <v>201371.88</v>
      </c>
      <c r="G1989" s="7">
        <v>9926549.0830000006</v>
      </c>
      <c r="H1989" s="8">
        <f t="shared" si="31"/>
        <v>9926.5490829999999</v>
      </c>
      <c r="I1989" s="10">
        <v>944</v>
      </c>
    </row>
    <row r="1990" spans="1:9" ht="15.75" thickBot="1" x14ac:dyDescent="0.3">
      <c r="A1990" s="1">
        <v>43800</v>
      </c>
      <c r="B1990" s="8" t="s">
        <v>6</v>
      </c>
      <c r="C1990" t="s">
        <v>7</v>
      </c>
      <c r="D1990" t="s">
        <v>504</v>
      </c>
      <c r="E1990" t="s">
        <v>11</v>
      </c>
      <c r="F1990" s="9">
        <v>562.70000000000005</v>
      </c>
      <c r="G1990" s="7">
        <v>10011</v>
      </c>
      <c r="H1990" s="8">
        <f t="shared" si="31"/>
        <v>10011</v>
      </c>
      <c r="I1990" s="10">
        <v>6</v>
      </c>
    </row>
    <row r="1991" spans="1:9" ht="15.75" thickBot="1" x14ac:dyDescent="0.3">
      <c r="A1991" s="1">
        <v>43800</v>
      </c>
      <c r="B1991" s="8" t="s">
        <v>6</v>
      </c>
      <c r="C1991" t="s">
        <v>7</v>
      </c>
      <c r="D1991" t="s">
        <v>504</v>
      </c>
      <c r="E1991" t="s">
        <v>13</v>
      </c>
      <c r="F1991" s="9">
        <v>1243.9000000000001</v>
      </c>
      <c r="G1991" s="6">
        <v>74000</v>
      </c>
      <c r="H1991" s="8">
        <f t="shared" si="31"/>
        <v>74000</v>
      </c>
      <c r="I1991" s="10">
        <v>9</v>
      </c>
    </row>
    <row r="1992" spans="1:9" ht="15.75" thickBot="1" x14ac:dyDescent="0.3">
      <c r="A1992" s="1">
        <v>43800</v>
      </c>
      <c r="B1992" s="8" t="s">
        <v>6</v>
      </c>
      <c r="C1992" t="s">
        <v>7</v>
      </c>
      <c r="D1992" t="s">
        <v>505</v>
      </c>
      <c r="E1992" t="s">
        <v>10</v>
      </c>
      <c r="F1992" s="9">
        <v>56288.26</v>
      </c>
      <c r="G1992" s="6">
        <v>1830985.8</v>
      </c>
      <c r="H1992" s="8">
        <f t="shared" si="31"/>
        <v>1830.9858000000002</v>
      </c>
      <c r="I1992" s="10">
        <v>193</v>
      </c>
    </row>
    <row r="1993" spans="1:9" ht="15.75" thickBot="1" x14ac:dyDescent="0.3">
      <c r="A1993" s="1">
        <v>43466</v>
      </c>
      <c r="B1993" s="8" t="s">
        <v>6</v>
      </c>
      <c r="C1993" t="s">
        <v>7</v>
      </c>
      <c r="D1993" t="s">
        <v>505</v>
      </c>
      <c r="E1993" t="s">
        <v>13</v>
      </c>
      <c r="F1993" s="9">
        <v>508.78</v>
      </c>
      <c r="G1993" s="6">
        <v>18000</v>
      </c>
      <c r="H1993" s="8">
        <f t="shared" si="31"/>
        <v>18000</v>
      </c>
      <c r="I1993" s="10">
        <v>2</v>
      </c>
    </row>
    <row r="1994" spans="1:9" ht="15.75" thickBot="1" x14ac:dyDescent="0.3">
      <c r="A1994" s="1">
        <v>43466</v>
      </c>
      <c r="B1994" s="8" t="s">
        <v>6</v>
      </c>
      <c r="C1994" t="s">
        <v>7</v>
      </c>
      <c r="D1994" t="s">
        <v>506</v>
      </c>
      <c r="E1994" t="s">
        <v>9</v>
      </c>
      <c r="F1994" s="9">
        <v>68331.37</v>
      </c>
      <c r="G1994" s="4">
        <v>1366</v>
      </c>
      <c r="H1994" s="8">
        <f t="shared" si="31"/>
        <v>1366</v>
      </c>
      <c r="I1994" s="10">
        <v>3</v>
      </c>
    </row>
    <row r="1995" spans="1:9" ht="15.75" thickBot="1" x14ac:dyDescent="0.3">
      <c r="A1995" s="1">
        <v>43466</v>
      </c>
      <c r="B1995" s="8" t="s">
        <v>6</v>
      </c>
      <c r="C1995" t="s">
        <v>7</v>
      </c>
      <c r="D1995" t="s">
        <v>506</v>
      </c>
      <c r="E1995" t="s">
        <v>11</v>
      </c>
      <c r="F1995" s="9">
        <v>81.569999999999993</v>
      </c>
      <c r="G1995" s="5">
        <v>0</v>
      </c>
      <c r="H1995" s="8">
        <f t="shared" si="31"/>
        <v>0</v>
      </c>
      <c r="I1995" s="10">
        <v>1</v>
      </c>
    </row>
    <row r="1996" spans="1:9" ht="15.75" thickBot="1" x14ac:dyDescent="0.3">
      <c r="A1996" s="1">
        <v>43800</v>
      </c>
      <c r="B1996" s="8" t="s">
        <v>6</v>
      </c>
      <c r="C1996" t="s">
        <v>7</v>
      </c>
      <c r="D1996" t="s">
        <v>507</v>
      </c>
      <c r="E1996" t="s">
        <v>9</v>
      </c>
      <c r="F1996" s="9">
        <v>24112.74</v>
      </c>
      <c r="G1996" s="4">
        <v>728</v>
      </c>
      <c r="H1996" s="8">
        <f t="shared" si="31"/>
        <v>728</v>
      </c>
      <c r="I1996" s="10">
        <v>10</v>
      </c>
    </row>
    <row r="1997" spans="1:9" ht="15.75" thickBot="1" x14ac:dyDescent="0.3">
      <c r="A1997" s="1">
        <v>43800</v>
      </c>
      <c r="B1997" s="8" t="s">
        <v>6</v>
      </c>
      <c r="C1997" t="s">
        <v>7</v>
      </c>
      <c r="D1997" t="s">
        <v>507</v>
      </c>
      <c r="E1997" t="s">
        <v>15</v>
      </c>
      <c r="F1997" s="9">
        <v>1800</v>
      </c>
      <c r="G1997" s="4">
        <v>0</v>
      </c>
      <c r="H1997" s="8">
        <f t="shared" si="31"/>
        <v>0</v>
      </c>
      <c r="I1997" s="10">
        <v>3</v>
      </c>
    </row>
    <row r="1998" spans="1:9" ht="15.75" thickBot="1" x14ac:dyDescent="0.3">
      <c r="A1998" s="1">
        <v>43800</v>
      </c>
      <c r="B1998" s="8" t="s">
        <v>6</v>
      </c>
      <c r="C1998" t="s">
        <v>7</v>
      </c>
      <c r="D1998" t="s">
        <v>507</v>
      </c>
      <c r="E1998" t="s">
        <v>10</v>
      </c>
      <c r="F1998" s="9">
        <v>119621.56</v>
      </c>
      <c r="G1998" s="6">
        <v>4612111.3320000004</v>
      </c>
      <c r="H1998" s="8">
        <f t="shared" si="31"/>
        <v>4612.1113320000004</v>
      </c>
      <c r="I1998" s="10">
        <v>255</v>
      </c>
    </row>
    <row r="1999" spans="1:9" ht="15.75" thickBot="1" x14ac:dyDescent="0.3">
      <c r="A1999" s="1">
        <v>43800</v>
      </c>
      <c r="B1999" s="8" t="s">
        <v>6</v>
      </c>
      <c r="C1999" t="s">
        <v>7</v>
      </c>
      <c r="D1999" t="s">
        <v>507</v>
      </c>
      <c r="E1999" t="s">
        <v>17</v>
      </c>
      <c r="F1999" s="9">
        <v>318.56</v>
      </c>
      <c r="G1999" s="4">
        <v>8</v>
      </c>
      <c r="H1999" s="8">
        <f t="shared" si="31"/>
        <v>8</v>
      </c>
      <c r="I1999" s="10">
        <v>1</v>
      </c>
    </row>
    <row r="2000" spans="1:9" ht="15.75" thickBot="1" x14ac:dyDescent="0.3">
      <c r="A2000" s="1">
        <v>43466</v>
      </c>
      <c r="B2000" s="8" t="s">
        <v>6</v>
      </c>
      <c r="C2000" t="s">
        <v>7</v>
      </c>
      <c r="D2000" t="s">
        <v>507</v>
      </c>
      <c r="E2000" t="s">
        <v>11</v>
      </c>
      <c r="F2000" s="9">
        <v>122682.19</v>
      </c>
      <c r="G2000" s="7">
        <v>1952844.2150000001</v>
      </c>
      <c r="H2000" s="8">
        <f t="shared" si="31"/>
        <v>1952844.2150000001</v>
      </c>
      <c r="I2000" s="10">
        <v>16</v>
      </c>
    </row>
    <row r="2001" spans="1:9" ht="15.75" thickBot="1" x14ac:dyDescent="0.3">
      <c r="A2001" s="1">
        <v>43466</v>
      </c>
      <c r="B2001" s="8" t="s">
        <v>6</v>
      </c>
      <c r="C2001" t="s">
        <v>7</v>
      </c>
      <c r="D2001" t="s">
        <v>507</v>
      </c>
      <c r="E2001" t="s">
        <v>13</v>
      </c>
      <c r="F2001" s="9">
        <v>18562.03</v>
      </c>
      <c r="G2001" s="6">
        <v>559000</v>
      </c>
      <c r="H2001" s="8">
        <f t="shared" si="31"/>
        <v>559000</v>
      </c>
      <c r="I2001" s="10">
        <v>5</v>
      </c>
    </row>
    <row r="2002" spans="1:9" ht="15.75" thickBot="1" x14ac:dyDescent="0.3">
      <c r="A2002" s="1">
        <v>43466</v>
      </c>
      <c r="B2002" s="8" t="s">
        <v>6</v>
      </c>
      <c r="C2002" t="s">
        <v>7</v>
      </c>
      <c r="D2002" t="s">
        <v>508</v>
      </c>
      <c r="E2002" t="s">
        <v>9</v>
      </c>
      <c r="F2002" s="9">
        <v>177964.09</v>
      </c>
      <c r="G2002" s="7">
        <v>4021211.19</v>
      </c>
      <c r="H2002" s="8">
        <f t="shared" si="31"/>
        <v>4021211.19</v>
      </c>
      <c r="I2002" s="10">
        <v>26</v>
      </c>
    </row>
    <row r="2003" spans="1:9" ht="15.75" thickBot="1" x14ac:dyDescent="0.3">
      <c r="A2003" s="1">
        <v>43800</v>
      </c>
      <c r="B2003" s="8" t="s">
        <v>6</v>
      </c>
      <c r="C2003" t="s">
        <v>7</v>
      </c>
      <c r="D2003" t="s">
        <v>508</v>
      </c>
      <c r="E2003" t="s">
        <v>10</v>
      </c>
      <c r="F2003" s="9">
        <v>487723.92</v>
      </c>
      <c r="G2003" s="7">
        <v>15931836.516000001</v>
      </c>
      <c r="H2003" s="8">
        <f t="shared" si="31"/>
        <v>15931.836516000001</v>
      </c>
      <c r="I2003" s="10">
        <v>792</v>
      </c>
    </row>
    <row r="2004" spans="1:9" ht="15.75" thickBot="1" x14ac:dyDescent="0.3">
      <c r="A2004" s="1">
        <v>43800</v>
      </c>
      <c r="B2004" s="8" t="s">
        <v>6</v>
      </c>
      <c r="C2004" t="s">
        <v>7</v>
      </c>
      <c r="D2004" t="s">
        <v>508</v>
      </c>
      <c r="E2004" t="s">
        <v>17</v>
      </c>
      <c r="F2004" s="9">
        <v>301.88</v>
      </c>
      <c r="G2004" s="4">
        <v>9</v>
      </c>
      <c r="H2004" s="8">
        <f t="shared" si="31"/>
        <v>9</v>
      </c>
      <c r="I2004" s="10">
        <v>1</v>
      </c>
    </row>
    <row r="2005" spans="1:9" ht="15.75" thickBot="1" x14ac:dyDescent="0.3">
      <c r="A2005" s="1">
        <v>43800</v>
      </c>
      <c r="B2005" s="8" t="s">
        <v>6</v>
      </c>
      <c r="C2005" t="s">
        <v>7</v>
      </c>
      <c r="D2005" t="s">
        <v>508</v>
      </c>
      <c r="E2005" t="s">
        <v>11</v>
      </c>
      <c r="F2005" s="9">
        <v>80076.710000000006</v>
      </c>
      <c r="G2005" s="4">
        <v>2417</v>
      </c>
      <c r="H2005" s="8">
        <f t="shared" si="31"/>
        <v>2417</v>
      </c>
      <c r="I2005" s="10">
        <v>32</v>
      </c>
    </row>
    <row r="2006" spans="1:9" ht="15.75" thickBot="1" x14ac:dyDescent="0.3">
      <c r="A2006" s="1">
        <v>43800</v>
      </c>
      <c r="B2006" s="8" t="s">
        <v>6</v>
      </c>
      <c r="C2006" t="s">
        <v>7</v>
      </c>
      <c r="D2006" t="s">
        <v>508</v>
      </c>
      <c r="E2006" t="s">
        <v>13</v>
      </c>
      <c r="F2006" s="9">
        <v>20167.97</v>
      </c>
      <c r="G2006" s="7">
        <v>36655.951999999997</v>
      </c>
      <c r="H2006" s="8">
        <f t="shared" si="31"/>
        <v>36655.951999999997</v>
      </c>
      <c r="I2006" s="10">
        <v>5</v>
      </c>
    </row>
    <row r="2007" spans="1:9" ht="15.75" thickBot="1" x14ac:dyDescent="0.3">
      <c r="A2007" s="1">
        <v>43466</v>
      </c>
      <c r="B2007" s="8" t="s">
        <v>6</v>
      </c>
      <c r="C2007" t="s">
        <v>7</v>
      </c>
      <c r="D2007" t="s">
        <v>509</v>
      </c>
      <c r="E2007" t="s">
        <v>9</v>
      </c>
      <c r="F2007" s="9">
        <v>104466.53</v>
      </c>
      <c r="G2007" s="7">
        <v>20584.989000000001</v>
      </c>
      <c r="H2007" s="8">
        <f t="shared" si="31"/>
        <v>20584.989000000001</v>
      </c>
      <c r="I2007" s="10">
        <v>56</v>
      </c>
    </row>
    <row r="2008" spans="1:9" ht="15.75" thickBot="1" x14ac:dyDescent="0.3">
      <c r="A2008" s="1">
        <v>43466</v>
      </c>
      <c r="B2008" s="8" t="s">
        <v>6</v>
      </c>
      <c r="C2008" t="s">
        <v>7</v>
      </c>
      <c r="D2008" t="s">
        <v>509</v>
      </c>
      <c r="E2008" t="s">
        <v>15</v>
      </c>
      <c r="F2008" s="9">
        <v>44621.39</v>
      </c>
      <c r="G2008" s="7">
        <v>937758.48199999996</v>
      </c>
      <c r="H2008" s="8">
        <f t="shared" si="31"/>
        <v>937758.48199999996</v>
      </c>
      <c r="I2008" s="10">
        <v>25</v>
      </c>
    </row>
    <row r="2009" spans="1:9" ht="15.75" thickBot="1" x14ac:dyDescent="0.3">
      <c r="A2009" s="1">
        <v>43466</v>
      </c>
      <c r="B2009" s="8" t="s">
        <v>6</v>
      </c>
      <c r="C2009" t="s">
        <v>7</v>
      </c>
      <c r="D2009" t="s">
        <v>509</v>
      </c>
      <c r="E2009" t="s">
        <v>10</v>
      </c>
      <c r="F2009" s="9">
        <v>1072757.42</v>
      </c>
      <c r="G2009" s="7">
        <v>36439418.641999997</v>
      </c>
      <c r="H2009" s="8">
        <f t="shared" si="31"/>
        <v>36439.418641999997</v>
      </c>
      <c r="I2009" s="10">
        <v>3365</v>
      </c>
    </row>
    <row r="2010" spans="1:9" ht="15.75" thickBot="1" x14ac:dyDescent="0.3">
      <c r="A2010" s="1">
        <v>43800</v>
      </c>
      <c r="B2010" s="8" t="s">
        <v>6</v>
      </c>
      <c r="C2010" t="s">
        <v>7</v>
      </c>
      <c r="D2010" t="s">
        <v>509</v>
      </c>
      <c r="E2010" t="s">
        <v>17</v>
      </c>
      <c r="F2010" s="9">
        <v>117900.76</v>
      </c>
      <c r="G2010" s="4">
        <v>2883</v>
      </c>
      <c r="H2010" s="8">
        <f t="shared" si="31"/>
        <v>2883</v>
      </c>
      <c r="I2010" s="10">
        <v>92</v>
      </c>
    </row>
    <row r="2011" spans="1:9" ht="15.75" thickBot="1" x14ac:dyDescent="0.3">
      <c r="A2011" s="1">
        <v>43800</v>
      </c>
      <c r="B2011" s="8" t="s">
        <v>6</v>
      </c>
      <c r="C2011" t="s">
        <v>7</v>
      </c>
      <c r="D2011" t="s">
        <v>509</v>
      </c>
      <c r="E2011" t="s">
        <v>11</v>
      </c>
      <c r="F2011" s="9">
        <v>192290.19</v>
      </c>
      <c r="G2011" s="7">
        <v>879039.51</v>
      </c>
      <c r="H2011" s="8">
        <f t="shared" si="31"/>
        <v>879039.51</v>
      </c>
      <c r="I2011" s="10">
        <v>57</v>
      </c>
    </row>
    <row r="2012" spans="1:9" ht="15.75" thickBot="1" x14ac:dyDescent="0.3">
      <c r="A2012" s="1">
        <v>43800</v>
      </c>
      <c r="B2012" s="8" t="s">
        <v>6</v>
      </c>
      <c r="C2012" t="s">
        <v>7</v>
      </c>
      <c r="D2012" t="s">
        <v>509</v>
      </c>
      <c r="E2012" t="s">
        <v>13</v>
      </c>
      <c r="F2012" s="9">
        <v>4058.64</v>
      </c>
      <c r="G2012" s="7">
        <v>138089</v>
      </c>
      <c r="H2012" s="8">
        <f t="shared" si="31"/>
        <v>138089</v>
      </c>
      <c r="I2012" s="10">
        <v>18</v>
      </c>
    </row>
    <row r="2013" spans="1:9" ht="15.75" thickBot="1" x14ac:dyDescent="0.3">
      <c r="A2013" s="1">
        <v>43800</v>
      </c>
      <c r="B2013" s="8" t="s">
        <v>6</v>
      </c>
      <c r="C2013" t="s">
        <v>7</v>
      </c>
      <c r="D2013" t="s">
        <v>510</v>
      </c>
      <c r="E2013" t="s">
        <v>9</v>
      </c>
      <c r="F2013" s="9">
        <v>1768.25</v>
      </c>
      <c r="G2013" s="4">
        <v>46</v>
      </c>
      <c r="H2013" s="8">
        <f t="shared" si="31"/>
        <v>46</v>
      </c>
      <c r="I2013" s="10">
        <v>4</v>
      </c>
    </row>
    <row r="2014" spans="1:9" ht="15.75" thickBot="1" x14ac:dyDescent="0.3">
      <c r="A2014" s="1">
        <v>43466</v>
      </c>
      <c r="B2014" s="8" t="s">
        <v>6</v>
      </c>
      <c r="C2014" t="s">
        <v>7</v>
      </c>
      <c r="D2014" t="s">
        <v>510</v>
      </c>
      <c r="E2014" t="s">
        <v>15</v>
      </c>
      <c r="F2014" s="9">
        <v>1006.15</v>
      </c>
      <c r="G2014" s="4">
        <v>3</v>
      </c>
      <c r="H2014" s="8">
        <f t="shared" si="31"/>
        <v>3</v>
      </c>
      <c r="I2014" s="10">
        <v>3</v>
      </c>
    </row>
    <row r="2015" spans="1:9" ht="15.75" thickBot="1" x14ac:dyDescent="0.3">
      <c r="A2015" s="1">
        <v>43466</v>
      </c>
      <c r="B2015" s="8" t="s">
        <v>6</v>
      </c>
      <c r="C2015" t="s">
        <v>7</v>
      </c>
      <c r="D2015" t="s">
        <v>510</v>
      </c>
      <c r="E2015" t="s">
        <v>10</v>
      </c>
      <c r="F2015" s="9">
        <v>181101.37</v>
      </c>
      <c r="G2015" s="6">
        <v>5745009.1040000003</v>
      </c>
      <c r="H2015" s="8">
        <f t="shared" si="31"/>
        <v>5745.0091040000007</v>
      </c>
      <c r="I2015" s="10">
        <v>303</v>
      </c>
    </row>
    <row r="2016" spans="1:9" ht="15.75" thickBot="1" x14ac:dyDescent="0.3">
      <c r="A2016" s="1">
        <v>43466</v>
      </c>
      <c r="B2016" s="8" t="s">
        <v>6</v>
      </c>
      <c r="C2016" t="s">
        <v>7</v>
      </c>
      <c r="D2016" t="s">
        <v>510</v>
      </c>
      <c r="E2016" t="s">
        <v>11</v>
      </c>
      <c r="F2016" s="9">
        <v>11022.68</v>
      </c>
      <c r="G2016" s="6">
        <v>280591.75</v>
      </c>
      <c r="H2016" s="8">
        <f t="shared" si="31"/>
        <v>280591.75</v>
      </c>
      <c r="I2016" s="10">
        <v>42</v>
      </c>
    </row>
    <row r="2017" spans="1:9" ht="15.75" thickBot="1" x14ac:dyDescent="0.3">
      <c r="A2017" s="1">
        <v>43800</v>
      </c>
      <c r="B2017" s="8" t="s">
        <v>6</v>
      </c>
      <c r="C2017" t="s">
        <v>7</v>
      </c>
      <c r="D2017" t="s">
        <v>510</v>
      </c>
      <c r="E2017" t="s">
        <v>13</v>
      </c>
      <c r="F2017" s="9">
        <v>597.04</v>
      </c>
      <c r="G2017" s="6">
        <v>21000</v>
      </c>
      <c r="H2017" s="8">
        <f t="shared" si="31"/>
        <v>21000</v>
      </c>
      <c r="I2017" s="10">
        <v>2</v>
      </c>
    </row>
    <row r="2018" spans="1:9" ht="15.75" thickBot="1" x14ac:dyDescent="0.3">
      <c r="A2018" s="1">
        <v>43800</v>
      </c>
      <c r="B2018" s="8" t="s">
        <v>6</v>
      </c>
      <c r="C2018" t="s">
        <v>7</v>
      </c>
      <c r="D2018" t="s">
        <v>511</v>
      </c>
      <c r="E2018" t="s">
        <v>10</v>
      </c>
      <c r="F2018" s="9">
        <v>81.569999999999993</v>
      </c>
      <c r="G2018" s="5">
        <v>0</v>
      </c>
      <c r="H2018" s="8">
        <f t="shared" si="31"/>
        <v>0</v>
      </c>
      <c r="I2018" s="10">
        <v>1</v>
      </c>
    </row>
    <row r="2019" spans="1:9" ht="15.75" thickBot="1" x14ac:dyDescent="0.3">
      <c r="A2019" s="1">
        <v>43800</v>
      </c>
      <c r="B2019" s="8" t="s">
        <v>6</v>
      </c>
      <c r="C2019" t="s">
        <v>7</v>
      </c>
      <c r="D2019" t="s">
        <v>511</v>
      </c>
      <c r="E2019" t="s">
        <v>11</v>
      </c>
      <c r="F2019" s="9">
        <v>326.27999999999997</v>
      </c>
      <c r="G2019" s="5">
        <v>0</v>
      </c>
      <c r="H2019" s="8">
        <f t="shared" si="31"/>
        <v>0</v>
      </c>
      <c r="I2019" s="10">
        <v>4</v>
      </c>
    </row>
    <row r="2020" spans="1:9" ht="15.75" thickBot="1" x14ac:dyDescent="0.3">
      <c r="A2020" s="1">
        <v>43800</v>
      </c>
      <c r="B2020" s="8" t="s">
        <v>6</v>
      </c>
      <c r="C2020" t="s">
        <v>7</v>
      </c>
      <c r="D2020" t="s">
        <v>512</v>
      </c>
      <c r="E2020" t="s">
        <v>15</v>
      </c>
      <c r="F2020" s="9">
        <v>4208.2</v>
      </c>
      <c r="G2020" s="4">
        <v>143</v>
      </c>
      <c r="H2020" s="8">
        <f t="shared" si="31"/>
        <v>143</v>
      </c>
      <c r="I2020" s="10">
        <v>2</v>
      </c>
    </row>
    <row r="2021" spans="1:9" ht="15.75" thickBot="1" x14ac:dyDescent="0.3">
      <c r="A2021" s="1">
        <v>43466</v>
      </c>
      <c r="B2021" s="8" t="s">
        <v>6</v>
      </c>
      <c r="C2021" t="s">
        <v>7</v>
      </c>
      <c r="D2021" t="s">
        <v>512</v>
      </c>
      <c r="E2021" t="s">
        <v>10</v>
      </c>
      <c r="F2021" s="9">
        <v>27881.15</v>
      </c>
      <c r="G2021" s="6">
        <v>901807</v>
      </c>
      <c r="H2021" s="8">
        <f t="shared" si="31"/>
        <v>901.80700000000002</v>
      </c>
      <c r="I2021" s="10">
        <v>116</v>
      </c>
    </row>
    <row r="2022" spans="1:9" ht="15.75" thickBot="1" x14ac:dyDescent="0.3">
      <c r="A2022" s="1">
        <v>43466</v>
      </c>
      <c r="B2022" s="8" t="s">
        <v>6</v>
      </c>
      <c r="C2022" t="s">
        <v>7</v>
      </c>
      <c r="D2022" t="s">
        <v>512</v>
      </c>
      <c r="E2022" t="s">
        <v>11</v>
      </c>
      <c r="F2022" s="9">
        <v>244.71</v>
      </c>
      <c r="G2022" s="5">
        <v>0</v>
      </c>
      <c r="H2022" s="8">
        <f t="shared" si="31"/>
        <v>0</v>
      </c>
      <c r="I2022" s="10">
        <v>3</v>
      </c>
    </row>
    <row r="2023" spans="1:9" ht="15.75" thickBot="1" x14ac:dyDescent="0.3">
      <c r="A2023" s="1">
        <v>43466</v>
      </c>
      <c r="B2023" s="8" t="s">
        <v>6</v>
      </c>
      <c r="C2023" t="s">
        <v>7</v>
      </c>
      <c r="D2023" t="s">
        <v>512</v>
      </c>
      <c r="E2023" t="s">
        <v>13</v>
      </c>
      <c r="F2023" s="9">
        <v>482.82</v>
      </c>
      <c r="G2023" s="6">
        <v>18000</v>
      </c>
      <c r="H2023" s="8">
        <f t="shared" si="31"/>
        <v>18000</v>
      </c>
      <c r="I2023" s="10">
        <v>2</v>
      </c>
    </row>
    <row r="2024" spans="1:9" ht="15.75" thickBot="1" x14ac:dyDescent="0.3">
      <c r="A2024" s="1">
        <v>43800</v>
      </c>
      <c r="B2024" s="8" t="s">
        <v>6</v>
      </c>
      <c r="C2024" t="s">
        <v>7</v>
      </c>
      <c r="D2024" t="s">
        <v>513</v>
      </c>
      <c r="E2024" t="s">
        <v>9</v>
      </c>
      <c r="F2024" s="9">
        <v>206188.89</v>
      </c>
      <c r="G2024" s="4">
        <v>4273</v>
      </c>
      <c r="H2024" s="8">
        <f t="shared" si="31"/>
        <v>4273</v>
      </c>
      <c r="I2024" s="10">
        <v>87</v>
      </c>
    </row>
    <row r="2025" spans="1:9" ht="15.75" thickBot="1" x14ac:dyDescent="0.3">
      <c r="A2025" s="1">
        <v>43800</v>
      </c>
      <c r="B2025" s="8" t="s">
        <v>6</v>
      </c>
      <c r="C2025" t="s">
        <v>7</v>
      </c>
      <c r="D2025" t="s">
        <v>513</v>
      </c>
      <c r="E2025" t="s">
        <v>15</v>
      </c>
      <c r="F2025" s="9">
        <v>60764.29</v>
      </c>
      <c r="G2025" s="4">
        <v>1963</v>
      </c>
      <c r="H2025" s="8">
        <f t="shared" si="31"/>
        <v>1963</v>
      </c>
      <c r="I2025" s="10">
        <v>10</v>
      </c>
    </row>
    <row r="2026" spans="1:9" ht="15.75" thickBot="1" x14ac:dyDescent="0.3">
      <c r="A2026" s="1">
        <v>43800</v>
      </c>
      <c r="B2026" s="8" t="s">
        <v>6</v>
      </c>
      <c r="C2026" t="s">
        <v>7</v>
      </c>
      <c r="D2026" t="s">
        <v>513</v>
      </c>
      <c r="E2026" t="s">
        <v>10</v>
      </c>
      <c r="F2026" s="9">
        <v>401.26</v>
      </c>
      <c r="G2026" s="7">
        <v>1017.5</v>
      </c>
      <c r="H2026" s="8">
        <f t="shared" si="31"/>
        <v>1.0175000000000001</v>
      </c>
      <c r="I2026" s="10">
        <v>3</v>
      </c>
    </row>
    <row r="2027" spans="1:9" ht="15.75" thickBot="1" x14ac:dyDescent="0.3">
      <c r="A2027" s="1">
        <v>43800</v>
      </c>
      <c r="B2027" s="8" t="s">
        <v>6</v>
      </c>
      <c r="C2027" t="s">
        <v>7</v>
      </c>
      <c r="D2027" t="s">
        <v>513</v>
      </c>
      <c r="E2027" t="s">
        <v>17</v>
      </c>
      <c r="F2027" s="9">
        <v>519425.36</v>
      </c>
      <c r="G2027" s="4">
        <v>14842</v>
      </c>
      <c r="H2027" s="8">
        <f t="shared" si="31"/>
        <v>14842</v>
      </c>
      <c r="I2027" s="10">
        <v>205</v>
      </c>
    </row>
    <row r="2028" spans="1:9" ht="15.75" thickBot="1" x14ac:dyDescent="0.3">
      <c r="A2028" s="1">
        <v>43466</v>
      </c>
      <c r="B2028" s="8" t="s">
        <v>6</v>
      </c>
      <c r="C2028" t="s">
        <v>7</v>
      </c>
      <c r="D2028" t="s">
        <v>513</v>
      </c>
      <c r="E2028" t="s">
        <v>11</v>
      </c>
      <c r="F2028" s="9">
        <v>25624.63</v>
      </c>
      <c r="G2028" s="4">
        <v>588</v>
      </c>
      <c r="H2028" s="8">
        <f t="shared" si="31"/>
        <v>588</v>
      </c>
      <c r="I2028" s="10">
        <v>22</v>
      </c>
    </row>
    <row r="2029" spans="1:9" ht="15.75" thickBot="1" x14ac:dyDescent="0.3">
      <c r="A2029" s="1">
        <v>43466</v>
      </c>
      <c r="B2029" s="8" t="s">
        <v>6</v>
      </c>
      <c r="C2029" t="s">
        <v>7</v>
      </c>
      <c r="D2029" t="s">
        <v>513</v>
      </c>
      <c r="E2029" t="s">
        <v>13</v>
      </c>
      <c r="F2029" s="9">
        <v>37329.99</v>
      </c>
      <c r="G2029" s="4">
        <v>1293</v>
      </c>
      <c r="H2029" s="8">
        <f t="shared" si="31"/>
        <v>1293</v>
      </c>
      <c r="I2029" s="10">
        <v>4</v>
      </c>
    </row>
    <row r="2030" spans="1:9" ht="15.75" thickBot="1" x14ac:dyDescent="0.3">
      <c r="A2030" s="1">
        <v>43466</v>
      </c>
      <c r="B2030" s="8" t="s">
        <v>6</v>
      </c>
      <c r="C2030" t="s">
        <v>7</v>
      </c>
      <c r="D2030" t="s">
        <v>514</v>
      </c>
      <c r="E2030" t="s">
        <v>9</v>
      </c>
      <c r="F2030" s="9">
        <v>3541396.5</v>
      </c>
      <c r="G2030" s="4">
        <v>129355</v>
      </c>
      <c r="H2030" s="8">
        <f t="shared" si="31"/>
        <v>129355</v>
      </c>
      <c r="I2030" s="10">
        <v>4</v>
      </c>
    </row>
    <row r="2031" spans="1:9" ht="15.75" thickBot="1" x14ac:dyDescent="0.3">
      <c r="A2031" s="1">
        <v>43800</v>
      </c>
      <c r="B2031" s="8" t="s">
        <v>6</v>
      </c>
      <c r="C2031" t="s">
        <v>7</v>
      </c>
      <c r="D2031" t="s">
        <v>514</v>
      </c>
      <c r="E2031" t="s">
        <v>10</v>
      </c>
      <c r="F2031" s="9">
        <v>2734.62</v>
      </c>
      <c r="G2031" s="6">
        <v>69545.411999999997</v>
      </c>
      <c r="H2031" s="8">
        <f t="shared" si="31"/>
        <v>69.545411999999999</v>
      </c>
      <c r="I2031" s="10">
        <v>8</v>
      </c>
    </row>
    <row r="2032" spans="1:9" ht="15.75" thickBot="1" x14ac:dyDescent="0.3">
      <c r="A2032" s="1">
        <v>43800</v>
      </c>
      <c r="B2032" s="8" t="s">
        <v>6</v>
      </c>
      <c r="C2032" t="s">
        <v>7</v>
      </c>
      <c r="D2032" t="s">
        <v>514</v>
      </c>
      <c r="E2032" t="s">
        <v>11</v>
      </c>
      <c r="F2032" s="9">
        <v>25700.95</v>
      </c>
      <c r="G2032" s="7">
        <v>40252.231</v>
      </c>
      <c r="H2032" s="8">
        <f t="shared" si="31"/>
        <v>40252.231</v>
      </c>
      <c r="I2032" s="10">
        <v>19</v>
      </c>
    </row>
    <row r="2033" spans="1:9" ht="15.75" thickBot="1" x14ac:dyDescent="0.3">
      <c r="A2033" s="1">
        <v>43800</v>
      </c>
      <c r="B2033" s="8" t="s">
        <v>6</v>
      </c>
      <c r="C2033" t="s">
        <v>7</v>
      </c>
      <c r="D2033" t="s">
        <v>514</v>
      </c>
      <c r="E2033" t="s">
        <v>13</v>
      </c>
      <c r="F2033" s="9">
        <v>18491.78</v>
      </c>
      <c r="G2033" s="4">
        <v>671</v>
      </c>
      <c r="H2033" s="8">
        <f t="shared" si="31"/>
        <v>671</v>
      </c>
      <c r="I2033" s="10">
        <v>1</v>
      </c>
    </row>
    <row r="2034" spans="1:9" ht="15.75" thickBot="1" x14ac:dyDescent="0.3">
      <c r="A2034" s="1">
        <v>43800</v>
      </c>
      <c r="B2034" s="8" t="s">
        <v>6</v>
      </c>
      <c r="C2034" t="s">
        <v>7</v>
      </c>
      <c r="D2034" t="s">
        <v>515</v>
      </c>
      <c r="E2034" t="s">
        <v>9</v>
      </c>
      <c r="F2034" s="9">
        <v>96941.29</v>
      </c>
      <c r="G2034" s="4">
        <v>3300</v>
      </c>
      <c r="H2034" s="8">
        <f t="shared" si="31"/>
        <v>3300</v>
      </c>
      <c r="I2034" s="10">
        <v>21</v>
      </c>
    </row>
    <row r="2035" spans="1:9" ht="15.75" thickBot="1" x14ac:dyDescent="0.3">
      <c r="A2035" s="1">
        <v>43466</v>
      </c>
      <c r="B2035" s="8" t="s">
        <v>6</v>
      </c>
      <c r="C2035" t="s">
        <v>7</v>
      </c>
      <c r="D2035" t="s">
        <v>515</v>
      </c>
      <c r="E2035" t="s">
        <v>15</v>
      </c>
      <c r="F2035" s="9">
        <v>7094.46</v>
      </c>
      <c r="G2035" s="4">
        <v>1</v>
      </c>
      <c r="H2035" s="8">
        <f t="shared" si="31"/>
        <v>1</v>
      </c>
      <c r="I2035" s="10">
        <v>7</v>
      </c>
    </row>
    <row r="2036" spans="1:9" ht="15.75" thickBot="1" x14ac:dyDescent="0.3">
      <c r="A2036" s="1">
        <v>43466</v>
      </c>
      <c r="B2036" s="8" t="s">
        <v>6</v>
      </c>
      <c r="C2036" t="s">
        <v>7</v>
      </c>
      <c r="D2036" t="s">
        <v>515</v>
      </c>
      <c r="E2036" t="s">
        <v>10</v>
      </c>
      <c r="F2036" s="9">
        <v>229335.63</v>
      </c>
      <c r="G2036" s="6">
        <v>7333055.0360000003</v>
      </c>
      <c r="H2036" s="8">
        <f t="shared" si="31"/>
        <v>7333.0550360000007</v>
      </c>
      <c r="I2036" s="10">
        <v>650</v>
      </c>
    </row>
    <row r="2037" spans="1:9" ht="15.75" thickBot="1" x14ac:dyDescent="0.3">
      <c r="A2037" s="1">
        <v>43466</v>
      </c>
      <c r="B2037" s="8" t="s">
        <v>6</v>
      </c>
      <c r="C2037" t="s">
        <v>7</v>
      </c>
      <c r="D2037" t="s">
        <v>515</v>
      </c>
      <c r="E2037" t="s">
        <v>11</v>
      </c>
      <c r="F2037" s="9">
        <v>81.569999999999993</v>
      </c>
      <c r="G2037" s="5">
        <v>0</v>
      </c>
      <c r="H2037" s="8">
        <f t="shared" si="31"/>
        <v>0</v>
      </c>
      <c r="I2037" s="10">
        <v>1</v>
      </c>
    </row>
    <row r="2038" spans="1:9" ht="15.75" thickBot="1" x14ac:dyDescent="0.3">
      <c r="A2038" s="1">
        <v>43800</v>
      </c>
      <c r="B2038" s="8" t="s">
        <v>6</v>
      </c>
      <c r="C2038" t="s">
        <v>7</v>
      </c>
      <c r="D2038" t="s">
        <v>515</v>
      </c>
      <c r="E2038" t="s">
        <v>13</v>
      </c>
      <c r="F2038" s="9">
        <v>1243.55</v>
      </c>
      <c r="G2038" s="6">
        <v>39415.449999999997</v>
      </c>
      <c r="H2038" s="8">
        <f t="shared" si="31"/>
        <v>39415.449999999997</v>
      </c>
      <c r="I2038" s="10">
        <v>6</v>
      </c>
    </row>
    <row r="2039" spans="1:9" ht="15.75" thickBot="1" x14ac:dyDescent="0.3">
      <c r="A2039" s="1">
        <v>43800</v>
      </c>
      <c r="B2039" s="8" t="s">
        <v>6</v>
      </c>
      <c r="C2039" t="s">
        <v>7</v>
      </c>
      <c r="D2039" t="s">
        <v>516</v>
      </c>
      <c r="E2039" t="s">
        <v>9</v>
      </c>
      <c r="F2039" s="9">
        <v>720.44</v>
      </c>
      <c r="G2039" s="4">
        <v>17</v>
      </c>
      <c r="H2039" s="8">
        <f t="shared" si="31"/>
        <v>17</v>
      </c>
      <c r="I2039" s="10">
        <v>3</v>
      </c>
    </row>
    <row r="2040" spans="1:9" ht="15.75" thickBot="1" x14ac:dyDescent="0.3">
      <c r="A2040" s="1">
        <v>43800</v>
      </c>
      <c r="B2040" s="8" t="s">
        <v>6</v>
      </c>
      <c r="C2040" t="s">
        <v>7</v>
      </c>
      <c r="D2040" t="s">
        <v>516</v>
      </c>
      <c r="E2040" t="s">
        <v>15</v>
      </c>
      <c r="F2040" s="9">
        <v>7011.96</v>
      </c>
      <c r="G2040" s="4">
        <v>253</v>
      </c>
      <c r="H2040" s="8">
        <f t="shared" si="31"/>
        <v>253</v>
      </c>
      <c r="I2040" s="10">
        <v>1</v>
      </c>
    </row>
    <row r="2041" spans="1:9" ht="15.75" thickBot="1" x14ac:dyDescent="0.3">
      <c r="A2041" s="1">
        <v>43800</v>
      </c>
      <c r="B2041" s="8" t="s">
        <v>6</v>
      </c>
      <c r="C2041" t="s">
        <v>7</v>
      </c>
      <c r="D2041" t="s">
        <v>516</v>
      </c>
      <c r="E2041" t="s">
        <v>10</v>
      </c>
      <c r="F2041" s="9">
        <v>205644.26</v>
      </c>
      <c r="G2041" s="6">
        <v>5877525.0029999996</v>
      </c>
      <c r="H2041" s="8">
        <f t="shared" si="31"/>
        <v>5877.5250029999997</v>
      </c>
      <c r="I2041" s="10">
        <v>422</v>
      </c>
    </row>
    <row r="2042" spans="1:9" ht="15.75" thickBot="1" x14ac:dyDescent="0.3">
      <c r="A2042" s="1">
        <v>43466</v>
      </c>
      <c r="B2042" s="8" t="s">
        <v>6</v>
      </c>
      <c r="C2042" t="s">
        <v>7</v>
      </c>
      <c r="D2042" t="s">
        <v>516</v>
      </c>
      <c r="E2042" t="s">
        <v>11</v>
      </c>
      <c r="F2042" s="9">
        <v>72825.539999999994</v>
      </c>
      <c r="G2042" s="7">
        <v>12539</v>
      </c>
      <c r="H2042" s="8">
        <f t="shared" si="31"/>
        <v>12539</v>
      </c>
      <c r="I2042" s="10">
        <v>9</v>
      </c>
    </row>
    <row r="2043" spans="1:9" ht="15.75" thickBot="1" x14ac:dyDescent="0.3">
      <c r="A2043" s="1">
        <v>43466</v>
      </c>
      <c r="B2043" s="8" t="s">
        <v>6</v>
      </c>
      <c r="C2043" t="s">
        <v>7</v>
      </c>
      <c r="D2043" t="s">
        <v>516</v>
      </c>
      <c r="E2043" t="s">
        <v>13</v>
      </c>
      <c r="F2043" s="9">
        <v>2646.3</v>
      </c>
      <c r="G2043" s="6">
        <v>83000</v>
      </c>
      <c r="H2043" s="8">
        <f t="shared" si="31"/>
        <v>83000</v>
      </c>
      <c r="I2043" s="10">
        <v>9</v>
      </c>
    </row>
    <row r="2044" spans="1:9" ht="15.75" thickBot="1" x14ac:dyDescent="0.3">
      <c r="A2044" s="1">
        <v>43466</v>
      </c>
      <c r="B2044" s="8" t="s">
        <v>6</v>
      </c>
      <c r="C2044" t="s">
        <v>7</v>
      </c>
      <c r="D2044" t="s">
        <v>517</v>
      </c>
      <c r="E2044" t="s">
        <v>9</v>
      </c>
      <c r="F2044" s="9">
        <v>1793.84</v>
      </c>
      <c r="G2044" s="4">
        <v>62</v>
      </c>
      <c r="H2044" s="8">
        <f t="shared" si="31"/>
        <v>62</v>
      </c>
      <c r="I2044" s="10">
        <v>1</v>
      </c>
    </row>
    <row r="2045" spans="1:9" ht="15.75" thickBot="1" x14ac:dyDescent="0.3">
      <c r="A2045" s="1">
        <v>43800</v>
      </c>
      <c r="B2045" s="8" t="s">
        <v>6</v>
      </c>
      <c r="C2045" t="s">
        <v>7</v>
      </c>
      <c r="D2045" t="s">
        <v>517</v>
      </c>
      <c r="E2045" t="s">
        <v>10</v>
      </c>
      <c r="F2045" s="9">
        <v>23021.45</v>
      </c>
      <c r="G2045" s="6">
        <v>561124.75</v>
      </c>
      <c r="H2045" s="8">
        <f t="shared" si="31"/>
        <v>561.12474999999995</v>
      </c>
      <c r="I2045" s="10">
        <v>41</v>
      </c>
    </row>
    <row r="2046" spans="1:9" ht="15.75" thickBot="1" x14ac:dyDescent="0.3">
      <c r="A2046" s="1">
        <v>43800</v>
      </c>
      <c r="B2046" s="8" t="s">
        <v>6</v>
      </c>
      <c r="C2046" t="s">
        <v>7</v>
      </c>
      <c r="D2046" t="s">
        <v>517</v>
      </c>
      <c r="E2046" t="s">
        <v>11</v>
      </c>
      <c r="F2046" s="9">
        <v>100</v>
      </c>
      <c r="G2046" s="4">
        <v>0</v>
      </c>
      <c r="H2046" s="8">
        <f t="shared" si="31"/>
        <v>0</v>
      </c>
      <c r="I2046" s="10">
        <v>1</v>
      </c>
    </row>
    <row r="2047" spans="1:9" ht="15.75" thickBot="1" x14ac:dyDescent="0.3">
      <c r="A2047" s="1">
        <v>43800</v>
      </c>
      <c r="B2047" s="8" t="s">
        <v>6</v>
      </c>
      <c r="C2047" t="s">
        <v>7</v>
      </c>
      <c r="D2047" t="s">
        <v>517</v>
      </c>
      <c r="E2047" t="s">
        <v>13</v>
      </c>
      <c r="F2047" s="9">
        <v>3811.36</v>
      </c>
      <c r="G2047" s="4">
        <v>48</v>
      </c>
      <c r="H2047" s="8">
        <f t="shared" si="31"/>
        <v>48</v>
      </c>
      <c r="I2047" s="10">
        <v>1</v>
      </c>
    </row>
    <row r="2048" spans="1:9" ht="15.75" thickBot="1" x14ac:dyDescent="0.3">
      <c r="A2048" s="1">
        <v>43800</v>
      </c>
      <c r="B2048" s="8" t="s">
        <v>6</v>
      </c>
      <c r="C2048" t="s">
        <v>7</v>
      </c>
      <c r="D2048" t="s">
        <v>518</v>
      </c>
      <c r="E2048" t="s">
        <v>9</v>
      </c>
      <c r="F2048" s="9">
        <v>269432.12</v>
      </c>
      <c r="G2048" s="4">
        <v>8090</v>
      </c>
      <c r="H2048" s="8">
        <f t="shared" si="31"/>
        <v>8090</v>
      </c>
      <c r="I2048" s="10">
        <v>49</v>
      </c>
    </row>
    <row r="2049" spans="1:9" ht="15.75" thickBot="1" x14ac:dyDescent="0.3">
      <c r="A2049" s="1">
        <v>43466</v>
      </c>
      <c r="B2049" s="8" t="s">
        <v>6</v>
      </c>
      <c r="C2049" t="s">
        <v>7</v>
      </c>
      <c r="D2049" t="s">
        <v>518</v>
      </c>
      <c r="E2049" t="s">
        <v>15</v>
      </c>
      <c r="F2049" s="9">
        <v>17794.439999999999</v>
      </c>
      <c r="G2049" s="4">
        <v>79</v>
      </c>
      <c r="H2049" s="8">
        <f t="shared" si="31"/>
        <v>79</v>
      </c>
      <c r="I2049" s="10">
        <v>36</v>
      </c>
    </row>
    <row r="2050" spans="1:9" ht="15.75" thickBot="1" x14ac:dyDescent="0.3">
      <c r="A2050" s="1">
        <v>43466</v>
      </c>
      <c r="B2050" s="8" t="s">
        <v>6</v>
      </c>
      <c r="C2050" t="s">
        <v>7</v>
      </c>
      <c r="D2050" t="s">
        <v>518</v>
      </c>
      <c r="E2050" t="s">
        <v>10</v>
      </c>
      <c r="F2050" s="9">
        <v>2741233.6</v>
      </c>
      <c r="G2050" s="7">
        <v>104003615.573</v>
      </c>
      <c r="H2050" s="8">
        <f t="shared" ref="H2050:H2113" si="32">IF(ISNUMBER(SEARCH("Domestic customer", E2050)),G2050/1000,G2050)</f>
        <v>104003.615573</v>
      </c>
      <c r="I2050" s="10">
        <v>6654</v>
      </c>
    </row>
    <row r="2051" spans="1:9" ht="15.75" thickBot="1" x14ac:dyDescent="0.3">
      <c r="A2051" s="1">
        <v>43466</v>
      </c>
      <c r="B2051" s="8" t="s">
        <v>6</v>
      </c>
      <c r="C2051" t="s">
        <v>7</v>
      </c>
      <c r="D2051" t="s">
        <v>518</v>
      </c>
      <c r="E2051" t="s">
        <v>17</v>
      </c>
      <c r="F2051" s="9">
        <v>30133.84</v>
      </c>
      <c r="G2051" s="4">
        <v>812</v>
      </c>
      <c r="H2051" s="8">
        <f t="shared" si="32"/>
        <v>812</v>
      </c>
      <c r="I2051" s="10">
        <v>5</v>
      </c>
    </row>
    <row r="2052" spans="1:9" ht="15.75" thickBot="1" x14ac:dyDescent="0.3">
      <c r="A2052" s="1">
        <v>43800</v>
      </c>
      <c r="B2052" s="8" t="s">
        <v>6</v>
      </c>
      <c r="C2052" t="s">
        <v>7</v>
      </c>
      <c r="D2052" t="s">
        <v>518</v>
      </c>
      <c r="E2052" t="s">
        <v>11</v>
      </c>
      <c r="F2052" s="9">
        <v>209665.79</v>
      </c>
      <c r="G2052" s="7">
        <v>701952.90099999995</v>
      </c>
      <c r="H2052" s="8">
        <f t="shared" si="32"/>
        <v>701952.90099999995</v>
      </c>
      <c r="I2052" s="10">
        <v>131</v>
      </c>
    </row>
    <row r="2053" spans="1:9" ht="15.75" thickBot="1" x14ac:dyDescent="0.3">
      <c r="A2053" s="1">
        <v>43800</v>
      </c>
      <c r="B2053" s="8" t="s">
        <v>6</v>
      </c>
      <c r="C2053" t="s">
        <v>7</v>
      </c>
      <c r="D2053" t="s">
        <v>518</v>
      </c>
      <c r="E2053" t="s">
        <v>13</v>
      </c>
      <c r="F2053" s="9">
        <v>46588.22</v>
      </c>
      <c r="G2053" s="7">
        <v>697695.00100000005</v>
      </c>
      <c r="H2053" s="8">
        <f t="shared" si="32"/>
        <v>697695.00100000005</v>
      </c>
      <c r="I2053" s="10">
        <v>47</v>
      </c>
    </row>
    <row r="2054" spans="1:9" ht="15.75" thickBot="1" x14ac:dyDescent="0.3">
      <c r="A2054" s="1">
        <v>43800</v>
      </c>
      <c r="B2054" s="8" t="s">
        <v>6</v>
      </c>
      <c r="C2054" t="s">
        <v>7</v>
      </c>
      <c r="D2054" t="s">
        <v>519</v>
      </c>
      <c r="E2054" t="s">
        <v>9</v>
      </c>
      <c r="F2054" s="9">
        <v>7612.23</v>
      </c>
      <c r="G2054" s="4">
        <v>254</v>
      </c>
      <c r="H2054" s="8">
        <f t="shared" si="32"/>
        <v>254</v>
      </c>
      <c r="I2054" s="10">
        <v>6</v>
      </c>
    </row>
    <row r="2055" spans="1:9" ht="15.75" thickBot="1" x14ac:dyDescent="0.3">
      <c r="A2055" s="1">
        <v>43800</v>
      </c>
      <c r="B2055" s="8" t="s">
        <v>6</v>
      </c>
      <c r="C2055" t="s">
        <v>7</v>
      </c>
      <c r="D2055" t="s">
        <v>519</v>
      </c>
      <c r="E2055" t="s">
        <v>15</v>
      </c>
      <c r="F2055" s="9">
        <v>147010.04</v>
      </c>
      <c r="G2055" s="7">
        <v>2861047.5720000002</v>
      </c>
      <c r="H2055" s="8">
        <f t="shared" si="32"/>
        <v>2861047.5720000002</v>
      </c>
      <c r="I2055" s="10">
        <v>27</v>
      </c>
    </row>
    <row r="2056" spans="1:9" ht="15.75" thickBot="1" x14ac:dyDescent="0.3">
      <c r="A2056" s="1">
        <v>43466</v>
      </c>
      <c r="B2056" s="8" t="s">
        <v>6</v>
      </c>
      <c r="C2056" t="s">
        <v>7</v>
      </c>
      <c r="D2056" t="s">
        <v>519</v>
      </c>
      <c r="E2056" t="s">
        <v>10</v>
      </c>
      <c r="F2056" s="9">
        <v>483065.26</v>
      </c>
      <c r="G2056" s="6">
        <v>17663949.241999999</v>
      </c>
      <c r="H2056" s="8">
        <f t="shared" si="32"/>
        <v>17663.949241999999</v>
      </c>
      <c r="I2056" s="10">
        <v>1570</v>
      </c>
    </row>
    <row r="2057" spans="1:9" ht="15.75" thickBot="1" x14ac:dyDescent="0.3">
      <c r="A2057" s="1">
        <v>43466</v>
      </c>
      <c r="B2057" s="8" t="s">
        <v>6</v>
      </c>
      <c r="C2057" t="s">
        <v>7</v>
      </c>
      <c r="D2057" t="s">
        <v>519</v>
      </c>
      <c r="E2057" t="s">
        <v>11</v>
      </c>
      <c r="F2057" s="9">
        <v>31531.38</v>
      </c>
      <c r="G2057" s="4">
        <v>995</v>
      </c>
      <c r="H2057" s="8">
        <f t="shared" si="32"/>
        <v>995</v>
      </c>
      <c r="I2057" s="10">
        <v>20</v>
      </c>
    </row>
    <row r="2058" spans="1:9" ht="15.75" thickBot="1" x14ac:dyDescent="0.3">
      <c r="A2058" s="1">
        <v>43466</v>
      </c>
      <c r="B2058" s="8" t="s">
        <v>6</v>
      </c>
      <c r="C2058" t="s">
        <v>7</v>
      </c>
      <c r="D2058" t="s">
        <v>519</v>
      </c>
      <c r="E2058" t="s">
        <v>13</v>
      </c>
      <c r="F2058" s="9">
        <v>1195.8499999999999</v>
      </c>
      <c r="G2058" s="6">
        <v>45498</v>
      </c>
      <c r="H2058" s="8">
        <f t="shared" si="32"/>
        <v>45498</v>
      </c>
      <c r="I2058" s="10">
        <v>5</v>
      </c>
    </row>
    <row r="2059" spans="1:9" ht="15.75" thickBot="1" x14ac:dyDescent="0.3">
      <c r="A2059" s="1">
        <v>43800</v>
      </c>
      <c r="B2059" s="8" t="s">
        <v>6</v>
      </c>
      <c r="C2059" t="s">
        <v>7</v>
      </c>
      <c r="D2059" t="s">
        <v>520</v>
      </c>
      <c r="E2059" t="s">
        <v>9</v>
      </c>
      <c r="F2059" s="9">
        <v>127186.99</v>
      </c>
      <c r="G2059" s="7">
        <v>48139.103999999999</v>
      </c>
      <c r="H2059" s="8">
        <f t="shared" si="32"/>
        <v>48139.103999999999</v>
      </c>
      <c r="I2059" s="10">
        <v>77</v>
      </c>
    </row>
    <row r="2060" spans="1:9" ht="15.75" thickBot="1" x14ac:dyDescent="0.3">
      <c r="A2060" s="1">
        <v>43800</v>
      </c>
      <c r="B2060" s="8" t="s">
        <v>6</v>
      </c>
      <c r="C2060" t="s">
        <v>7</v>
      </c>
      <c r="D2060" t="s">
        <v>520</v>
      </c>
      <c r="E2060" t="s">
        <v>15</v>
      </c>
      <c r="F2060" s="9">
        <v>11923.39</v>
      </c>
      <c r="G2060" s="7">
        <v>135169.71599999999</v>
      </c>
      <c r="H2060" s="8">
        <f t="shared" si="32"/>
        <v>135169.71599999999</v>
      </c>
      <c r="I2060" s="10">
        <v>11</v>
      </c>
    </row>
    <row r="2061" spans="1:9" ht="15.75" thickBot="1" x14ac:dyDescent="0.3">
      <c r="A2061" s="1">
        <v>43800</v>
      </c>
      <c r="B2061" s="8" t="s">
        <v>6</v>
      </c>
      <c r="C2061" t="s">
        <v>7</v>
      </c>
      <c r="D2061" t="s">
        <v>520</v>
      </c>
      <c r="E2061" t="s">
        <v>10</v>
      </c>
      <c r="F2061" s="9">
        <v>246052.62</v>
      </c>
      <c r="G2061" s="6">
        <v>9501264.3900000006</v>
      </c>
      <c r="H2061" s="8">
        <f t="shared" si="32"/>
        <v>9501.2643900000003</v>
      </c>
      <c r="I2061" s="10">
        <v>361</v>
      </c>
    </row>
    <row r="2062" spans="1:9" ht="15.75" thickBot="1" x14ac:dyDescent="0.3">
      <c r="A2062" s="1">
        <v>43800</v>
      </c>
      <c r="B2062" s="8" t="s">
        <v>6</v>
      </c>
      <c r="C2062" t="s">
        <v>7</v>
      </c>
      <c r="D2062" t="s">
        <v>520</v>
      </c>
      <c r="E2062" t="s">
        <v>11</v>
      </c>
      <c r="F2062" s="9">
        <v>17799.87</v>
      </c>
      <c r="G2062" s="4">
        <v>485</v>
      </c>
      <c r="H2062" s="8">
        <f t="shared" si="32"/>
        <v>485</v>
      </c>
      <c r="I2062" s="10">
        <v>24</v>
      </c>
    </row>
    <row r="2063" spans="1:9" ht="15.75" thickBot="1" x14ac:dyDescent="0.3">
      <c r="A2063" s="1">
        <v>43466</v>
      </c>
      <c r="B2063" s="8" t="s">
        <v>6</v>
      </c>
      <c r="C2063" t="s">
        <v>7</v>
      </c>
      <c r="D2063" t="s">
        <v>520</v>
      </c>
      <c r="E2063" t="s">
        <v>13</v>
      </c>
      <c r="F2063" s="9">
        <v>22075.03</v>
      </c>
      <c r="G2063" s="6">
        <v>889000</v>
      </c>
      <c r="H2063" s="8">
        <f t="shared" si="32"/>
        <v>889000</v>
      </c>
      <c r="I2063" s="10">
        <v>6</v>
      </c>
    </row>
    <row r="2064" spans="1:9" ht="15.75" thickBot="1" x14ac:dyDescent="0.3">
      <c r="A2064" s="1">
        <v>43466</v>
      </c>
      <c r="B2064" s="8" t="s">
        <v>6</v>
      </c>
      <c r="C2064" t="s">
        <v>7</v>
      </c>
      <c r="D2064" t="s">
        <v>521</v>
      </c>
      <c r="E2064" t="s">
        <v>9</v>
      </c>
      <c r="F2064" s="9">
        <v>223226.73</v>
      </c>
      <c r="G2064" s="4">
        <v>6195</v>
      </c>
      <c r="H2064" s="8">
        <f t="shared" si="32"/>
        <v>6195</v>
      </c>
      <c r="I2064" s="10">
        <v>130</v>
      </c>
    </row>
    <row r="2065" spans="1:9" ht="15.75" thickBot="1" x14ac:dyDescent="0.3">
      <c r="A2065" s="1">
        <v>43466</v>
      </c>
      <c r="B2065" s="8" t="s">
        <v>6</v>
      </c>
      <c r="C2065" t="s">
        <v>7</v>
      </c>
      <c r="D2065" t="s">
        <v>521</v>
      </c>
      <c r="E2065" t="s">
        <v>15</v>
      </c>
      <c r="F2065" s="9">
        <v>10077.42</v>
      </c>
      <c r="G2065" s="4">
        <v>352</v>
      </c>
      <c r="H2065" s="8">
        <f t="shared" si="32"/>
        <v>352</v>
      </c>
      <c r="I2065" s="10">
        <v>4</v>
      </c>
    </row>
    <row r="2066" spans="1:9" ht="15.75" thickBot="1" x14ac:dyDescent="0.3">
      <c r="A2066" s="1">
        <v>43800</v>
      </c>
      <c r="B2066" s="8" t="s">
        <v>6</v>
      </c>
      <c r="C2066" t="s">
        <v>7</v>
      </c>
      <c r="D2066" t="s">
        <v>521</v>
      </c>
      <c r="E2066" t="s">
        <v>10</v>
      </c>
      <c r="F2066" s="9">
        <v>17155.64</v>
      </c>
      <c r="G2066" s="7">
        <v>581186.47</v>
      </c>
      <c r="H2066" s="8">
        <f t="shared" si="32"/>
        <v>581.18646999999999</v>
      </c>
      <c r="I2066" s="10">
        <v>6</v>
      </c>
    </row>
    <row r="2067" spans="1:9" ht="15.75" thickBot="1" x14ac:dyDescent="0.3">
      <c r="A2067" s="1">
        <v>43800</v>
      </c>
      <c r="B2067" s="8" t="s">
        <v>6</v>
      </c>
      <c r="C2067" t="s">
        <v>7</v>
      </c>
      <c r="D2067" t="s">
        <v>521</v>
      </c>
      <c r="E2067" t="s">
        <v>17</v>
      </c>
      <c r="F2067" s="9">
        <v>2767.44</v>
      </c>
      <c r="G2067" s="4">
        <v>67</v>
      </c>
      <c r="H2067" s="8">
        <f t="shared" si="32"/>
        <v>67</v>
      </c>
      <c r="I2067" s="10">
        <v>3</v>
      </c>
    </row>
    <row r="2068" spans="1:9" ht="15.75" thickBot="1" x14ac:dyDescent="0.3">
      <c r="A2068" s="1">
        <v>43800</v>
      </c>
      <c r="B2068" s="8" t="s">
        <v>6</v>
      </c>
      <c r="C2068" t="s">
        <v>7</v>
      </c>
      <c r="D2068" t="s">
        <v>521</v>
      </c>
      <c r="E2068" t="s">
        <v>11</v>
      </c>
      <c r="F2068" s="9">
        <v>12042.68</v>
      </c>
      <c r="G2068" s="4">
        <v>395</v>
      </c>
      <c r="H2068" s="8">
        <f t="shared" si="32"/>
        <v>395</v>
      </c>
      <c r="I2068" s="10">
        <v>7</v>
      </c>
    </row>
    <row r="2069" spans="1:9" ht="15.75" thickBot="1" x14ac:dyDescent="0.3">
      <c r="A2069" s="1">
        <v>43800</v>
      </c>
      <c r="B2069" s="8" t="s">
        <v>6</v>
      </c>
      <c r="C2069" t="s">
        <v>7</v>
      </c>
      <c r="D2069" t="s">
        <v>521</v>
      </c>
      <c r="E2069" t="s">
        <v>13</v>
      </c>
      <c r="F2069" s="9">
        <v>1759.96</v>
      </c>
      <c r="G2069" s="4">
        <v>53</v>
      </c>
      <c r="H2069" s="8">
        <f t="shared" si="32"/>
        <v>53</v>
      </c>
      <c r="I2069" s="10">
        <v>1</v>
      </c>
    </row>
    <row r="2070" spans="1:9" ht="15.75" thickBot="1" x14ac:dyDescent="0.3">
      <c r="A2070" s="1">
        <v>43466</v>
      </c>
      <c r="B2070" s="8" t="s">
        <v>6</v>
      </c>
      <c r="C2070" t="s">
        <v>7</v>
      </c>
      <c r="D2070" t="s">
        <v>522</v>
      </c>
      <c r="E2070" t="s">
        <v>9</v>
      </c>
      <c r="F2070" s="9">
        <v>69532.710000000006</v>
      </c>
      <c r="G2070" s="4">
        <v>3841</v>
      </c>
      <c r="H2070" s="8">
        <f t="shared" si="32"/>
        <v>3841</v>
      </c>
      <c r="I2070" s="10">
        <v>11</v>
      </c>
    </row>
    <row r="2071" spans="1:9" ht="15.75" thickBot="1" x14ac:dyDescent="0.3">
      <c r="A2071" s="1">
        <v>43466</v>
      </c>
      <c r="B2071" s="8" t="s">
        <v>6</v>
      </c>
      <c r="C2071" t="s">
        <v>7</v>
      </c>
      <c r="D2071" t="s">
        <v>522</v>
      </c>
      <c r="E2071" t="s">
        <v>15</v>
      </c>
      <c r="F2071" s="9">
        <v>15878.66</v>
      </c>
      <c r="G2071" s="4">
        <v>513</v>
      </c>
      <c r="H2071" s="8">
        <f t="shared" si="32"/>
        <v>513</v>
      </c>
      <c r="I2071" s="10">
        <v>3</v>
      </c>
    </row>
    <row r="2072" spans="1:9" ht="15.75" thickBot="1" x14ac:dyDescent="0.3">
      <c r="A2072" s="1">
        <v>43466</v>
      </c>
      <c r="B2072" s="8" t="s">
        <v>6</v>
      </c>
      <c r="C2072" t="s">
        <v>7</v>
      </c>
      <c r="D2072" t="s">
        <v>522</v>
      </c>
      <c r="E2072" t="s">
        <v>10</v>
      </c>
      <c r="F2072" s="9">
        <v>22887.77</v>
      </c>
      <c r="G2072" s="6">
        <v>970000</v>
      </c>
      <c r="H2072" s="8">
        <f t="shared" si="32"/>
        <v>970</v>
      </c>
      <c r="I2072" s="10">
        <v>20</v>
      </c>
    </row>
    <row r="2073" spans="1:9" ht="15.75" thickBot="1" x14ac:dyDescent="0.3">
      <c r="A2073" s="1">
        <v>43800</v>
      </c>
      <c r="B2073" s="8" t="s">
        <v>6</v>
      </c>
      <c r="C2073" t="s">
        <v>7</v>
      </c>
      <c r="D2073" t="s">
        <v>522</v>
      </c>
      <c r="E2073" t="s">
        <v>11</v>
      </c>
      <c r="F2073" s="9">
        <v>5612.92</v>
      </c>
      <c r="G2073" s="4">
        <v>123</v>
      </c>
      <c r="H2073" s="8">
        <f t="shared" si="32"/>
        <v>123</v>
      </c>
      <c r="I2073" s="10">
        <v>9</v>
      </c>
    </row>
    <row r="2074" spans="1:9" ht="15.75" thickBot="1" x14ac:dyDescent="0.3">
      <c r="A2074" s="1">
        <v>43800</v>
      </c>
      <c r="B2074" s="8" t="s">
        <v>6</v>
      </c>
      <c r="C2074" t="s">
        <v>7</v>
      </c>
      <c r="D2074" t="s">
        <v>523</v>
      </c>
      <c r="E2074" t="s">
        <v>9</v>
      </c>
      <c r="F2074" s="9">
        <v>3232026.06</v>
      </c>
      <c r="G2074" s="7">
        <v>115940.24400000001</v>
      </c>
      <c r="H2074" s="8">
        <f t="shared" si="32"/>
        <v>115940.24400000001</v>
      </c>
      <c r="I2074" s="10">
        <v>176</v>
      </c>
    </row>
    <row r="2075" spans="1:9" ht="15.75" thickBot="1" x14ac:dyDescent="0.3">
      <c r="A2075" s="1">
        <v>43800</v>
      </c>
      <c r="B2075" s="8" t="s">
        <v>6</v>
      </c>
      <c r="C2075" t="s">
        <v>7</v>
      </c>
      <c r="D2075" t="s">
        <v>523</v>
      </c>
      <c r="E2075" t="s">
        <v>15</v>
      </c>
      <c r="F2075" s="9">
        <v>4981.2</v>
      </c>
      <c r="G2075" s="4">
        <v>163</v>
      </c>
      <c r="H2075" s="8">
        <f t="shared" si="32"/>
        <v>163</v>
      </c>
      <c r="I2075" s="10">
        <v>5</v>
      </c>
    </row>
    <row r="2076" spans="1:9" ht="15.75" thickBot="1" x14ac:dyDescent="0.3">
      <c r="A2076" s="1">
        <v>43800</v>
      </c>
      <c r="B2076" s="8" t="s">
        <v>6</v>
      </c>
      <c r="C2076" t="s">
        <v>7</v>
      </c>
      <c r="D2076" t="s">
        <v>523</v>
      </c>
      <c r="E2076" t="s">
        <v>10</v>
      </c>
      <c r="F2076" s="9">
        <v>13997.28</v>
      </c>
      <c r="G2076" s="6">
        <v>258316.234</v>
      </c>
      <c r="H2076" s="8">
        <f t="shared" si="32"/>
        <v>258.31623400000001</v>
      </c>
      <c r="I2076" s="10">
        <v>5</v>
      </c>
    </row>
    <row r="2077" spans="1:9" ht="15.75" thickBot="1" x14ac:dyDescent="0.3">
      <c r="A2077" s="1">
        <v>43466</v>
      </c>
      <c r="B2077" s="8" t="s">
        <v>6</v>
      </c>
      <c r="C2077" t="s">
        <v>7</v>
      </c>
      <c r="D2077" t="s">
        <v>523</v>
      </c>
      <c r="E2077" t="s">
        <v>17</v>
      </c>
      <c r="F2077" s="9">
        <v>62999.48</v>
      </c>
      <c r="G2077" s="4">
        <v>1789</v>
      </c>
      <c r="H2077" s="8">
        <f t="shared" si="32"/>
        <v>1789</v>
      </c>
      <c r="I2077" s="10">
        <v>10</v>
      </c>
    </row>
    <row r="2078" spans="1:9" ht="15.75" thickBot="1" x14ac:dyDescent="0.3">
      <c r="A2078" s="1">
        <v>43466</v>
      </c>
      <c r="B2078" s="8" t="s">
        <v>6</v>
      </c>
      <c r="C2078" t="s">
        <v>7</v>
      </c>
      <c r="D2078" t="s">
        <v>523</v>
      </c>
      <c r="E2078" t="s">
        <v>11</v>
      </c>
      <c r="F2078" s="9">
        <v>407.85</v>
      </c>
      <c r="G2078" s="5">
        <v>0</v>
      </c>
      <c r="H2078" s="8">
        <f t="shared" si="32"/>
        <v>0</v>
      </c>
      <c r="I2078" s="10">
        <v>5</v>
      </c>
    </row>
    <row r="2079" spans="1:9" ht="15.75" thickBot="1" x14ac:dyDescent="0.3">
      <c r="A2079" s="1">
        <v>43466</v>
      </c>
      <c r="B2079" s="8" t="s">
        <v>6</v>
      </c>
      <c r="C2079" t="s">
        <v>7</v>
      </c>
      <c r="D2079" t="s">
        <v>523</v>
      </c>
      <c r="E2079" t="s">
        <v>13</v>
      </c>
      <c r="F2079" s="9">
        <v>46530.76</v>
      </c>
      <c r="G2079" s="4">
        <v>1468</v>
      </c>
      <c r="H2079" s="8">
        <f t="shared" si="32"/>
        <v>1468</v>
      </c>
      <c r="I2079" s="10">
        <v>2</v>
      </c>
    </row>
    <row r="2080" spans="1:9" ht="15.75" thickBot="1" x14ac:dyDescent="0.3">
      <c r="A2080" s="1">
        <v>43800</v>
      </c>
      <c r="B2080" s="8" t="s">
        <v>6</v>
      </c>
      <c r="C2080" t="s">
        <v>7</v>
      </c>
      <c r="D2080" t="s">
        <v>524</v>
      </c>
      <c r="E2080" t="s">
        <v>9</v>
      </c>
      <c r="F2080" s="9">
        <v>16956.150000000001</v>
      </c>
      <c r="G2080" s="4">
        <v>527</v>
      </c>
      <c r="H2080" s="8">
        <f t="shared" si="32"/>
        <v>527</v>
      </c>
      <c r="I2080" s="10">
        <v>6</v>
      </c>
    </row>
    <row r="2081" spans="1:9" ht="15.75" thickBot="1" x14ac:dyDescent="0.3">
      <c r="A2081" s="1">
        <v>43800</v>
      </c>
      <c r="B2081" s="8" t="s">
        <v>6</v>
      </c>
      <c r="C2081" t="s">
        <v>7</v>
      </c>
      <c r="D2081" t="s">
        <v>524</v>
      </c>
      <c r="E2081" t="s">
        <v>15</v>
      </c>
      <c r="F2081" s="9">
        <v>29817.59</v>
      </c>
      <c r="G2081" s="4">
        <v>498</v>
      </c>
      <c r="H2081" s="8">
        <f t="shared" si="32"/>
        <v>498</v>
      </c>
      <c r="I2081" s="10">
        <v>19</v>
      </c>
    </row>
    <row r="2082" spans="1:9" ht="15.75" thickBot="1" x14ac:dyDescent="0.3">
      <c r="A2082" s="1">
        <v>43800</v>
      </c>
      <c r="B2082" s="8" t="s">
        <v>6</v>
      </c>
      <c r="C2082" t="s">
        <v>7</v>
      </c>
      <c r="D2082" t="s">
        <v>524</v>
      </c>
      <c r="E2082" t="s">
        <v>10</v>
      </c>
      <c r="F2082" s="9">
        <v>331521.15000000002</v>
      </c>
      <c r="G2082" s="7">
        <v>12163570.111</v>
      </c>
      <c r="H2082" s="8">
        <f t="shared" si="32"/>
        <v>12163.570110999999</v>
      </c>
      <c r="I2082" s="10">
        <v>829</v>
      </c>
    </row>
    <row r="2083" spans="1:9" ht="15.75" thickBot="1" x14ac:dyDescent="0.3">
      <c r="A2083" s="1">
        <v>43800</v>
      </c>
      <c r="B2083" s="8" t="s">
        <v>6</v>
      </c>
      <c r="C2083" t="s">
        <v>7</v>
      </c>
      <c r="D2083" t="s">
        <v>524</v>
      </c>
      <c r="E2083" t="s">
        <v>11</v>
      </c>
      <c r="F2083" s="9">
        <v>50646.77</v>
      </c>
      <c r="G2083" s="7">
        <v>887361.22199999995</v>
      </c>
      <c r="H2083" s="8">
        <f t="shared" si="32"/>
        <v>887361.22199999995</v>
      </c>
      <c r="I2083" s="10">
        <v>8</v>
      </c>
    </row>
    <row r="2084" spans="1:9" ht="15.75" thickBot="1" x14ac:dyDescent="0.3">
      <c r="A2084" s="1">
        <v>43466</v>
      </c>
      <c r="B2084" s="8" t="s">
        <v>6</v>
      </c>
      <c r="C2084" t="s">
        <v>7</v>
      </c>
      <c r="D2084" t="s">
        <v>524</v>
      </c>
      <c r="E2084" t="s">
        <v>13</v>
      </c>
      <c r="F2084" s="9">
        <v>2237.11</v>
      </c>
      <c r="G2084" s="6">
        <v>78000</v>
      </c>
      <c r="H2084" s="8">
        <f t="shared" si="32"/>
        <v>78000</v>
      </c>
      <c r="I2084" s="10">
        <v>6</v>
      </c>
    </row>
    <row r="2085" spans="1:9" ht="15.75" thickBot="1" x14ac:dyDescent="0.3">
      <c r="A2085" s="1">
        <v>43466</v>
      </c>
      <c r="B2085" s="8" t="s">
        <v>6</v>
      </c>
      <c r="C2085" t="s">
        <v>7</v>
      </c>
      <c r="D2085" t="s">
        <v>525</v>
      </c>
      <c r="E2085" t="s">
        <v>9</v>
      </c>
      <c r="F2085" s="9">
        <v>30952.41</v>
      </c>
      <c r="G2085" s="4">
        <v>953</v>
      </c>
      <c r="H2085" s="8">
        <f t="shared" si="32"/>
        <v>953</v>
      </c>
      <c r="I2085" s="10">
        <v>47</v>
      </c>
    </row>
    <row r="2086" spans="1:9" ht="15.75" thickBot="1" x14ac:dyDescent="0.3">
      <c r="A2086" s="1">
        <v>43466</v>
      </c>
      <c r="B2086" s="8" t="s">
        <v>6</v>
      </c>
      <c r="C2086" t="s">
        <v>7</v>
      </c>
      <c r="D2086" t="s">
        <v>525</v>
      </c>
      <c r="E2086" t="s">
        <v>15</v>
      </c>
      <c r="F2086" s="9">
        <v>7552.86</v>
      </c>
      <c r="G2086" s="4">
        <v>143</v>
      </c>
      <c r="H2086" s="8">
        <f t="shared" si="32"/>
        <v>143</v>
      </c>
      <c r="I2086" s="10">
        <v>7</v>
      </c>
    </row>
    <row r="2087" spans="1:9" ht="15.75" thickBot="1" x14ac:dyDescent="0.3">
      <c r="A2087" s="1">
        <v>43800</v>
      </c>
      <c r="B2087" s="8" t="s">
        <v>6</v>
      </c>
      <c r="C2087" t="s">
        <v>7</v>
      </c>
      <c r="D2087" t="s">
        <v>525</v>
      </c>
      <c r="E2087" t="s">
        <v>10</v>
      </c>
      <c r="F2087" s="9">
        <v>399004.05</v>
      </c>
      <c r="G2087" s="6">
        <v>14838284.878</v>
      </c>
      <c r="H2087" s="8">
        <f t="shared" si="32"/>
        <v>14838.284878</v>
      </c>
      <c r="I2087" s="10">
        <v>1082</v>
      </c>
    </row>
    <row r="2088" spans="1:9" ht="15.75" thickBot="1" x14ac:dyDescent="0.3">
      <c r="A2088" s="1">
        <v>43800</v>
      </c>
      <c r="B2088" s="8" t="s">
        <v>6</v>
      </c>
      <c r="C2088" t="s">
        <v>7</v>
      </c>
      <c r="D2088" t="s">
        <v>525</v>
      </c>
      <c r="E2088" t="s">
        <v>11</v>
      </c>
      <c r="F2088" s="9">
        <v>34157.71</v>
      </c>
      <c r="G2088" s="7">
        <v>550304.80500000005</v>
      </c>
      <c r="H2088" s="8">
        <f t="shared" si="32"/>
        <v>550304.80500000005</v>
      </c>
      <c r="I2088" s="10">
        <v>10</v>
      </c>
    </row>
    <row r="2089" spans="1:9" ht="15.75" thickBot="1" x14ac:dyDescent="0.3">
      <c r="A2089" s="1">
        <v>43800</v>
      </c>
      <c r="B2089" s="8" t="s">
        <v>6</v>
      </c>
      <c r="C2089" t="s">
        <v>7</v>
      </c>
      <c r="D2089" t="s">
        <v>525</v>
      </c>
      <c r="E2089" t="s">
        <v>13</v>
      </c>
      <c r="F2089" s="9">
        <v>2789</v>
      </c>
      <c r="G2089" s="7">
        <v>52030.169000000002</v>
      </c>
      <c r="H2089" s="8">
        <f t="shared" si="32"/>
        <v>52030.169000000002</v>
      </c>
      <c r="I2089" s="10">
        <v>7</v>
      </c>
    </row>
    <row r="2090" spans="1:9" ht="15.75" thickBot="1" x14ac:dyDescent="0.3">
      <c r="A2090" s="1">
        <v>43800</v>
      </c>
      <c r="B2090" s="8" t="s">
        <v>6</v>
      </c>
      <c r="C2090" t="s">
        <v>7</v>
      </c>
      <c r="D2090" t="s">
        <v>526</v>
      </c>
      <c r="E2090" t="s">
        <v>15</v>
      </c>
      <c r="F2090" s="9">
        <v>127.32</v>
      </c>
      <c r="G2090" s="4">
        <v>1</v>
      </c>
      <c r="H2090" s="8">
        <f t="shared" si="32"/>
        <v>1</v>
      </c>
      <c r="I2090" s="10">
        <v>1</v>
      </c>
    </row>
    <row r="2091" spans="1:9" ht="15.75" thickBot="1" x14ac:dyDescent="0.3">
      <c r="A2091" s="1">
        <v>43466</v>
      </c>
      <c r="B2091" s="8" t="s">
        <v>6</v>
      </c>
      <c r="C2091" t="s">
        <v>7</v>
      </c>
      <c r="D2091" t="s">
        <v>526</v>
      </c>
      <c r="E2091" t="s">
        <v>10</v>
      </c>
      <c r="F2091" s="9">
        <v>70851.55</v>
      </c>
      <c r="G2091" s="6">
        <v>1936100.544</v>
      </c>
      <c r="H2091" s="8">
        <f t="shared" si="32"/>
        <v>1936.1005439999999</v>
      </c>
      <c r="I2091" s="10">
        <v>134</v>
      </c>
    </row>
    <row r="2092" spans="1:9" ht="15.75" thickBot="1" x14ac:dyDescent="0.3">
      <c r="A2092" s="1">
        <v>43466</v>
      </c>
      <c r="B2092" s="8" t="s">
        <v>6</v>
      </c>
      <c r="C2092" t="s">
        <v>7</v>
      </c>
      <c r="D2092" t="s">
        <v>526</v>
      </c>
      <c r="E2092" t="s">
        <v>11</v>
      </c>
      <c r="F2092" s="9">
        <v>56</v>
      </c>
      <c r="G2092" s="4">
        <v>0</v>
      </c>
      <c r="H2092" s="8">
        <f t="shared" si="32"/>
        <v>0</v>
      </c>
      <c r="I2092" s="10">
        <v>1</v>
      </c>
    </row>
    <row r="2093" spans="1:9" ht="15.75" thickBot="1" x14ac:dyDescent="0.3">
      <c r="A2093" s="1">
        <v>43466</v>
      </c>
      <c r="B2093" s="8" t="s">
        <v>6</v>
      </c>
      <c r="C2093" t="s">
        <v>7</v>
      </c>
      <c r="D2093" t="s">
        <v>526</v>
      </c>
      <c r="E2093" t="s">
        <v>13</v>
      </c>
      <c r="F2093" s="9">
        <v>577.45000000000005</v>
      </c>
      <c r="G2093" s="6">
        <v>22000</v>
      </c>
      <c r="H2093" s="8">
        <f t="shared" si="32"/>
        <v>22000</v>
      </c>
      <c r="I2093" s="10">
        <v>1</v>
      </c>
    </row>
    <row r="2094" spans="1:9" ht="15.75" thickBot="1" x14ac:dyDescent="0.3">
      <c r="A2094" s="1">
        <v>43800</v>
      </c>
      <c r="B2094" s="8" t="s">
        <v>6</v>
      </c>
      <c r="C2094" t="s">
        <v>7</v>
      </c>
      <c r="D2094" t="s">
        <v>527</v>
      </c>
      <c r="E2094" t="s">
        <v>15</v>
      </c>
      <c r="F2094" s="9">
        <v>100</v>
      </c>
      <c r="G2094" s="4">
        <v>0</v>
      </c>
      <c r="H2094" s="8">
        <f t="shared" si="32"/>
        <v>0</v>
      </c>
      <c r="I2094" s="10">
        <v>1</v>
      </c>
    </row>
    <row r="2095" spans="1:9" ht="15.75" thickBot="1" x14ac:dyDescent="0.3">
      <c r="A2095" s="1">
        <v>43800</v>
      </c>
      <c r="B2095" s="8" t="s">
        <v>6</v>
      </c>
      <c r="C2095" t="s">
        <v>7</v>
      </c>
      <c r="D2095" t="s">
        <v>527</v>
      </c>
      <c r="E2095" t="s">
        <v>10</v>
      </c>
      <c r="F2095" s="9">
        <v>35283.440000000002</v>
      </c>
      <c r="G2095" s="7">
        <v>1041978.4</v>
      </c>
      <c r="H2095" s="8">
        <f t="shared" si="32"/>
        <v>1041.9784</v>
      </c>
      <c r="I2095" s="10">
        <v>126</v>
      </c>
    </row>
    <row r="2096" spans="1:9" ht="15.75" thickBot="1" x14ac:dyDescent="0.3">
      <c r="A2096" s="1">
        <v>43800</v>
      </c>
      <c r="B2096" s="8" t="s">
        <v>6</v>
      </c>
      <c r="C2096" t="s">
        <v>7</v>
      </c>
      <c r="D2096" t="s">
        <v>527</v>
      </c>
      <c r="E2096" t="s">
        <v>11</v>
      </c>
      <c r="F2096" s="9">
        <v>972.02</v>
      </c>
      <c r="G2096" s="7">
        <v>5014</v>
      </c>
      <c r="H2096" s="8">
        <f t="shared" si="32"/>
        <v>5014</v>
      </c>
      <c r="I2096" s="10">
        <v>2</v>
      </c>
    </row>
    <row r="2097" spans="1:9" ht="15.75" thickBot="1" x14ac:dyDescent="0.3">
      <c r="A2097" s="1">
        <v>43800</v>
      </c>
      <c r="B2097" s="8" t="s">
        <v>6</v>
      </c>
      <c r="C2097" t="s">
        <v>7</v>
      </c>
      <c r="D2097" t="s">
        <v>528</v>
      </c>
      <c r="E2097" t="s">
        <v>9</v>
      </c>
      <c r="F2097" s="9">
        <v>318.56</v>
      </c>
      <c r="G2097" s="4">
        <v>8</v>
      </c>
      <c r="H2097" s="8">
        <f t="shared" si="32"/>
        <v>8</v>
      </c>
      <c r="I2097" s="10">
        <v>1</v>
      </c>
    </row>
    <row r="2098" spans="1:9" ht="15.75" thickBot="1" x14ac:dyDescent="0.3">
      <c r="A2098" s="1">
        <v>43466</v>
      </c>
      <c r="B2098" s="8" t="s">
        <v>6</v>
      </c>
      <c r="C2098" t="s">
        <v>7</v>
      </c>
      <c r="D2098" t="s">
        <v>528</v>
      </c>
      <c r="E2098" t="s">
        <v>10</v>
      </c>
      <c r="F2098" s="9">
        <v>30994.79</v>
      </c>
      <c r="G2098" s="6">
        <v>963816</v>
      </c>
      <c r="H2098" s="8">
        <f t="shared" si="32"/>
        <v>963.81600000000003</v>
      </c>
      <c r="I2098" s="10">
        <v>87</v>
      </c>
    </row>
    <row r="2099" spans="1:9" ht="15.75" thickBot="1" x14ac:dyDescent="0.3">
      <c r="A2099" s="1">
        <v>43466</v>
      </c>
      <c r="B2099" s="8" t="s">
        <v>6</v>
      </c>
      <c r="C2099" t="s">
        <v>7</v>
      </c>
      <c r="D2099" t="s">
        <v>528</v>
      </c>
      <c r="E2099" t="s">
        <v>11</v>
      </c>
      <c r="F2099" s="9">
        <v>81.569999999999993</v>
      </c>
      <c r="G2099" s="5">
        <v>0</v>
      </c>
      <c r="H2099" s="8">
        <f t="shared" si="32"/>
        <v>0</v>
      </c>
      <c r="I2099" s="10">
        <v>1</v>
      </c>
    </row>
    <row r="2100" spans="1:9" ht="15.75" thickBot="1" x14ac:dyDescent="0.3">
      <c r="A2100" s="1">
        <v>43466</v>
      </c>
      <c r="B2100" s="8" t="s">
        <v>6</v>
      </c>
      <c r="C2100" t="s">
        <v>7</v>
      </c>
      <c r="D2100" t="s">
        <v>528</v>
      </c>
      <c r="E2100" t="s">
        <v>13</v>
      </c>
      <c r="F2100" s="9">
        <v>478.56</v>
      </c>
      <c r="G2100" s="6">
        <v>16000</v>
      </c>
      <c r="H2100" s="8">
        <f t="shared" si="32"/>
        <v>16000</v>
      </c>
      <c r="I2100" s="10">
        <v>1</v>
      </c>
    </row>
    <row r="2101" spans="1:9" ht="15.75" thickBot="1" x14ac:dyDescent="0.3">
      <c r="A2101" s="1">
        <v>43800</v>
      </c>
      <c r="B2101" s="8" t="s">
        <v>6</v>
      </c>
      <c r="C2101" t="s">
        <v>7</v>
      </c>
      <c r="D2101" t="s">
        <v>529</v>
      </c>
      <c r="E2101" t="s">
        <v>9</v>
      </c>
      <c r="F2101" s="9">
        <v>15201.24</v>
      </c>
      <c r="G2101" s="4">
        <v>547</v>
      </c>
      <c r="H2101" s="8">
        <f t="shared" si="32"/>
        <v>547</v>
      </c>
      <c r="I2101" s="10">
        <v>6</v>
      </c>
    </row>
    <row r="2102" spans="1:9" ht="15.75" thickBot="1" x14ac:dyDescent="0.3">
      <c r="A2102" s="1">
        <v>43800</v>
      </c>
      <c r="B2102" s="8" t="s">
        <v>6</v>
      </c>
      <c r="C2102" t="s">
        <v>7</v>
      </c>
      <c r="D2102" t="s">
        <v>529</v>
      </c>
      <c r="E2102" t="s">
        <v>15</v>
      </c>
      <c r="F2102" s="9">
        <v>564524.85</v>
      </c>
      <c r="G2102" s="4">
        <v>63995</v>
      </c>
      <c r="H2102" s="8">
        <f t="shared" si="32"/>
        <v>63995</v>
      </c>
      <c r="I2102" s="10">
        <v>6</v>
      </c>
    </row>
    <row r="2103" spans="1:9" ht="15.75" thickBot="1" x14ac:dyDescent="0.3">
      <c r="A2103" s="1">
        <v>43800</v>
      </c>
      <c r="B2103" s="8" t="s">
        <v>6</v>
      </c>
      <c r="C2103" t="s">
        <v>7</v>
      </c>
      <c r="D2103" t="s">
        <v>529</v>
      </c>
      <c r="E2103" t="s">
        <v>10</v>
      </c>
      <c r="F2103" s="9">
        <v>179860.52</v>
      </c>
      <c r="G2103" s="7">
        <v>6301449.0640000002</v>
      </c>
      <c r="H2103" s="8">
        <f t="shared" si="32"/>
        <v>6301.4490640000004</v>
      </c>
      <c r="I2103" s="10">
        <v>745</v>
      </c>
    </row>
    <row r="2104" spans="1:9" ht="15.75" thickBot="1" x14ac:dyDescent="0.3">
      <c r="A2104" s="1">
        <v>43800</v>
      </c>
      <c r="B2104" s="8" t="s">
        <v>6</v>
      </c>
      <c r="C2104" t="s">
        <v>7</v>
      </c>
      <c r="D2104" t="s">
        <v>529</v>
      </c>
      <c r="E2104" t="s">
        <v>11</v>
      </c>
      <c r="F2104" s="9">
        <v>5284.41</v>
      </c>
      <c r="G2104" s="4">
        <v>55</v>
      </c>
      <c r="H2104" s="8">
        <f t="shared" si="32"/>
        <v>55</v>
      </c>
      <c r="I2104" s="10">
        <v>27</v>
      </c>
    </row>
    <row r="2105" spans="1:9" ht="15.75" thickBot="1" x14ac:dyDescent="0.3">
      <c r="A2105" s="1">
        <v>43466</v>
      </c>
      <c r="B2105" s="8" t="s">
        <v>6</v>
      </c>
      <c r="C2105" t="s">
        <v>7</v>
      </c>
      <c r="D2105" t="s">
        <v>529</v>
      </c>
      <c r="E2105" t="s">
        <v>13</v>
      </c>
      <c r="F2105" s="9">
        <v>330.71</v>
      </c>
      <c r="G2105" s="6">
        <v>13000</v>
      </c>
      <c r="H2105" s="8">
        <f t="shared" si="32"/>
        <v>13000</v>
      </c>
      <c r="I2105" s="10">
        <v>2</v>
      </c>
    </row>
    <row r="2106" spans="1:9" ht="15.75" thickBot="1" x14ac:dyDescent="0.3">
      <c r="A2106" s="1">
        <v>43466</v>
      </c>
      <c r="B2106" s="8" t="s">
        <v>6</v>
      </c>
      <c r="C2106" t="s">
        <v>7</v>
      </c>
      <c r="D2106" t="s">
        <v>530</v>
      </c>
      <c r="E2106" t="s">
        <v>9</v>
      </c>
      <c r="F2106" s="9">
        <v>1392.77</v>
      </c>
      <c r="G2106" s="4">
        <v>49</v>
      </c>
      <c r="H2106" s="8">
        <f t="shared" si="32"/>
        <v>49</v>
      </c>
      <c r="I2106" s="10">
        <v>1</v>
      </c>
    </row>
    <row r="2107" spans="1:9" ht="15.75" thickBot="1" x14ac:dyDescent="0.3">
      <c r="A2107" s="1">
        <v>43466</v>
      </c>
      <c r="B2107" s="8" t="s">
        <v>6</v>
      </c>
      <c r="C2107" t="s">
        <v>7</v>
      </c>
      <c r="D2107" t="s">
        <v>530</v>
      </c>
      <c r="E2107" t="s">
        <v>15</v>
      </c>
      <c r="F2107" s="9">
        <v>212</v>
      </c>
      <c r="G2107" s="4">
        <v>0</v>
      </c>
      <c r="H2107" s="8">
        <f t="shared" si="32"/>
        <v>0</v>
      </c>
      <c r="I2107" s="10">
        <v>3</v>
      </c>
    </row>
    <row r="2108" spans="1:9" ht="15.75" thickBot="1" x14ac:dyDescent="0.3">
      <c r="A2108" s="1">
        <v>43800</v>
      </c>
      <c r="B2108" s="8" t="s">
        <v>6</v>
      </c>
      <c r="C2108" t="s">
        <v>7</v>
      </c>
      <c r="D2108" t="s">
        <v>530</v>
      </c>
      <c r="E2108" t="s">
        <v>10</v>
      </c>
      <c r="F2108" s="9">
        <v>173587.57</v>
      </c>
      <c r="G2108" s="6">
        <v>6314538.6279999996</v>
      </c>
      <c r="H2108" s="8">
        <f t="shared" si="32"/>
        <v>6314.5386279999993</v>
      </c>
      <c r="I2108" s="10">
        <v>640</v>
      </c>
    </row>
    <row r="2109" spans="1:9" ht="15.75" thickBot="1" x14ac:dyDescent="0.3">
      <c r="A2109" s="1">
        <v>43800</v>
      </c>
      <c r="B2109" s="8" t="s">
        <v>6</v>
      </c>
      <c r="C2109" t="s">
        <v>7</v>
      </c>
      <c r="D2109" t="s">
        <v>530</v>
      </c>
      <c r="E2109" t="s">
        <v>11</v>
      </c>
      <c r="F2109" s="9">
        <v>9817.0499999999993</v>
      </c>
      <c r="G2109" s="4">
        <v>242</v>
      </c>
      <c r="H2109" s="8">
        <f t="shared" si="32"/>
        <v>242</v>
      </c>
      <c r="I2109" s="10">
        <v>5</v>
      </c>
    </row>
    <row r="2110" spans="1:9" ht="15.75" thickBot="1" x14ac:dyDescent="0.3">
      <c r="A2110" s="1">
        <v>43800</v>
      </c>
      <c r="B2110" s="8" t="s">
        <v>6</v>
      </c>
      <c r="C2110" t="s">
        <v>7</v>
      </c>
      <c r="D2110" t="s">
        <v>530</v>
      </c>
      <c r="E2110" t="s">
        <v>13</v>
      </c>
      <c r="F2110" s="9">
        <v>227.2</v>
      </c>
      <c r="G2110" s="6">
        <v>10000</v>
      </c>
      <c r="H2110" s="8">
        <f t="shared" si="32"/>
        <v>10000</v>
      </c>
      <c r="I2110" s="10">
        <v>1</v>
      </c>
    </row>
    <row r="2111" spans="1:9" ht="15.75" thickBot="1" x14ac:dyDescent="0.3">
      <c r="A2111" s="1">
        <v>43800</v>
      </c>
      <c r="B2111" s="8" t="s">
        <v>6</v>
      </c>
      <c r="C2111" t="s">
        <v>7</v>
      </c>
      <c r="D2111" t="s">
        <v>531</v>
      </c>
      <c r="E2111" t="s">
        <v>9</v>
      </c>
      <c r="F2111" s="9">
        <v>3538.33</v>
      </c>
      <c r="G2111" s="4">
        <v>123</v>
      </c>
      <c r="H2111" s="8">
        <f t="shared" si="32"/>
        <v>123</v>
      </c>
      <c r="I2111" s="10">
        <v>3</v>
      </c>
    </row>
    <row r="2112" spans="1:9" ht="15.75" thickBot="1" x14ac:dyDescent="0.3">
      <c r="A2112" s="1">
        <v>43466</v>
      </c>
      <c r="B2112" s="8" t="s">
        <v>6</v>
      </c>
      <c r="C2112" t="s">
        <v>7</v>
      </c>
      <c r="D2112" t="s">
        <v>531</v>
      </c>
      <c r="E2112" t="s">
        <v>15</v>
      </c>
      <c r="F2112" s="9">
        <v>112</v>
      </c>
      <c r="G2112" s="4">
        <v>0</v>
      </c>
      <c r="H2112" s="8">
        <f t="shared" si="32"/>
        <v>0</v>
      </c>
      <c r="I2112" s="10">
        <v>2</v>
      </c>
    </row>
    <row r="2113" spans="1:9" ht="15.75" thickBot="1" x14ac:dyDescent="0.3">
      <c r="A2113" s="1">
        <v>43466</v>
      </c>
      <c r="B2113" s="8" t="s">
        <v>6</v>
      </c>
      <c r="C2113" t="s">
        <v>7</v>
      </c>
      <c r="D2113" t="s">
        <v>531</v>
      </c>
      <c r="E2113" t="s">
        <v>10</v>
      </c>
      <c r="F2113" s="9">
        <v>97068.07</v>
      </c>
      <c r="G2113" s="6">
        <v>3367601.1009999998</v>
      </c>
      <c r="H2113" s="8">
        <f t="shared" si="32"/>
        <v>3367.6011009999997</v>
      </c>
      <c r="I2113" s="10">
        <v>423</v>
      </c>
    </row>
    <row r="2114" spans="1:9" ht="15.75" thickBot="1" x14ac:dyDescent="0.3">
      <c r="A2114" s="1">
        <v>43466</v>
      </c>
      <c r="B2114" s="8" t="s">
        <v>6</v>
      </c>
      <c r="C2114" t="s">
        <v>7</v>
      </c>
      <c r="D2114" t="s">
        <v>531</v>
      </c>
      <c r="E2114" t="s">
        <v>17</v>
      </c>
      <c r="F2114" s="9">
        <v>13732.8</v>
      </c>
      <c r="G2114" s="4">
        <v>440</v>
      </c>
      <c r="H2114" s="8">
        <f t="shared" ref="H2114:H2177" si="33">IF(ISNUMBER(SEARCH("Domestic customer", E2114)),G2114/1000,G2114)</f>
        <v>440</v>
      </c>
      <c r="I2114" s="10">
        <v>2</v>
      </c>
    </row>
    <row r="2115" spans="1:9" ht="15.75" thickBot="1" x14ac:dyDescent="0.3">
      <c r="A2115" s="1">
        <v>43800</v>
      </c>
      <c r="B2115" s="8" t="s">
        <v>6</v>
      </c>
      <c r="C2115" t="s">
        <v>7</v>
      </c>
      <c r="D2115" t="s">
        <v>531</v>
      </c>
      <c r="E2115" t="s">
        <v>11</v>
      </c>
      <c r="F2115" s="9">
        <v>889.16</v>
      </c>
      <c r="G2115" s="4">
        <v>5</v>
      </c>
      <c r="H2115" s="8">
        <f t="shared" si="33"/>
        <v>5</v>
      </c>
      <c r="I2115" s="10">
        <v>9</v>
      </c>
    </row>
    <row r="2116" spans="1:9" ht="15.75" thickBot="1" x14ac:dyDescent="0.3">
      <c r="A2116" s="1">
        <v>43800</v>
      </c>
      <c r="B2116" s="8" t="s">
        <v>6</v>
      </c>
      <c r="C2116" t="s">
        <v>7</v>
      </c>
      <c r="D2116" t="s">
        <v>531</v>
      </c>
      <c r="E2116" t="s">
        <v>13</v>
      </c>
      <c r="F2116" s="9">
        <v>783.07</v>
      </c>
      <c r="G2116" s="6">
        <v>29000</v>
      </c>
      <c r="H2116" s="8">
        <f t="shared" si="33"/>
        <v>29000</v>
      </c>
      <c r="I2116" s="10">
        <v>2</v>
      </c>
    </row>
    <row r="2117" spans="1:9" ht="15.75" thickBot="1" x14ac:dyDescent="0.3">
      <c r="A2117" s="1">
        <v>43800</v>
      </c>
      <c r="B2117" s="8" t="s">
        <v>6</v>
      </c>
      <c r="C2117" t="s">
        <v>7</v>
      </c>
      <c r="D2117" t="s">
        <v>532</v>
      </c>
      <c r="E2117" t="s">
        <v>10</v>
      </c>
      <c r="F2117" s="9">
        <v>121180.23</v>
      </c>
      <c r="G2117" s="6">
        <v>3373368.0189999999</v>
      </c>
      <c r="H2117" s="8">
        <f t="shared" si="33"/>
        <v>3373.368019</v>
      </c>
      <c r="I2117" s="10">
        <v>278</v>
      </c>
    </row>
    <row r="2118" spans="1:9" ht="15.75" thickBot="1" x14ac:dyDescent="0.3">
      <c r="A2118" s="1">
        <v>43800</v>
      </c>
      <c r="B2118" s="8" t="s">
        <v>6</v>
      </c>
      <c r="C2118" t="s">
        <v>7</v>
      </c>
      <c r="D2118" t="s">
        <v>532</v>
      </c>
      <c r="E2118" t="s">
        <v>11</v>
      </c>
      <c r="F2118" s="9">
        <v>417.06</v>
      </c>
      <c r="G2118" s="7">
        <v>8001</v>
      </c>
      <c r="H2118" s="8">
        <f t="shared" si="33"/>
        <v>8001</v>
      </c>
      <c r="I2118" s="10">
        <v>3</v>
      </c>
    </row>
    <row r="2119" spans="1:9" ht="15.75" thickBot="1" x14ac:dyDescent="0.3">
      <c r="A2119" s="1">
        <v>43466</v>
      </c>
      <c r="B2119" s="8" t="s">
        <v>6</v>
      </c>
      <c r="C2119" t="s">
        <v>7</v>
      </c>
      <c r="D2119" t="s">
        <v>532</v>
      </c>
      <c r="E2119" t="s">
        <v>13</v>
      </c>
      <c r="F2119" s="9">
        <v>1093.5</v>
      </c>
      <c r="G2119" s="6">
        <v>35000</v>
      </c>
      <c r="H2119" s="8">
        <f t="shared" si="33"/>
        <v>35000</v>
      </c>
      <c r="I2119" s="10">
        <v>3</v>
      </c>
    </row>
    <row r="2120" spans="1:9" ht="15.75" thickBot="1" x14ac:dyDescent="0.3">
      <c r="A2120" s="1">
        <v>43466</v>
      </c>
      <c r="B2120" s="8" t="s">
        <v>6</v>
      </c>
      <c r="C2120" t="s">
        <v>7</v>
      </c>
      <c r="D2120" t="s">
        <v>533</v>
      </c>
      <c r="E2120" t="s">
        <v>9</v>
      </c>
      <c r="F2120" s="9">
        <v>15953.48</v>
      </c>
      <c r="G2120" s="4">
        <v>584</v>
      </c>
      <c r="H2120" s="8">
        <f t="shared" si="33"/>
        <v>584</v>
      </c>
      <c r="I2120" s="10">
        <v>1</v>
      </c>
    </row>
    <row r="2121" spans="1:9" ht="15.75" thickBot="1" x14ac:dyDescent="0.3">
      <c r="A2121" s="1">
        <v>43466</v>
      </c>
      <c r="B2121" s="8" t="s">
        <v>6</v>
      </c>
      <c r="C2121" t="s">
        <v>7</v>
      </c>
      <c r="D2121" t="s">
        <v>533</v>
      </c>
      <c r="E2121" t="s">
        <v>15</v>
      </c>
      <c r="F2121" s="9">
        <v>60155.58</v>
      </c>
      <c r="G2121" s="4">
        <v>1651</v>
      </c>
      <c r="H2121" s="8">
        <f t="shared" si="33"/>
        <v>1651</v>
      </c>
      <c r="I2121" s="10">
        <v>208</v>
      </c>
    </row>
    <row r="2122" spans="1:9" ht="15.75" thickBot="1" x14ac:dyDescent="0.3">
      <c r="A2122" s="1">
        <v>43800</v>
      </c>
      <c r="B2122" s="8" t="s">
        <v>6</v>
      </c>
      <c r="C2122" t="s">
        <v>7</v>
      </c>
      <c r="D2122" t="s">
        <v>533</v>
      </c>
      <c r="E2122" t="s">
        <v>10</v>
      </c>
      <c r="F2122" s="9">
        <v>436214.35</v>
      </c>
      <c r="G2122" s="7">
        <v>23167275.429000001</v>
      </c>
      <c r="H2122" s="8">
        <f t="shared" si="33"/>
        <v>23167.275429000001</v>
      </c>
      <c r="I2122" s="10">
        <v>3342</v>
      </c>
    </row>
    <row r="2123" spans="1:9" ht="15.75" thickBot="1" x14ac:dyDescent="0.3">
      <c r="A2123" s="1">
        <v>43800</v>
      </c>
      <c r="B2123" s="8" t="s">
        <v>6</v>
      </c>
      <c r="C2123" t="s">
        <v>7</v>
      </c>
      <c r="D2123" t="s">
        <v>533</v>
      </c>
      <c r="E2123" t="s">
        <v>11</v>
      </c>
      <c r="F2123" s="9">
        <v>21583.46</v>
      </c>
      <c r="G2123" s="7">
        <v>12515.387000000001</v>
      </c>
      <c r="H2123" s="8">
        <f t="shared" si="33"/>
        <v>12515.387000000001</v>
      </c>
      <c r="I2123" s="10">
        <v>65</v>
      </c>
    </row>
    <row r="2124" spans="1:9" ht="15.75" thickBot="1" x14ac:dyDescent="0.3">
      <c r="A2124" s="1">
        <v>43800</v>
      </c>
      <c r="B2124" s="8" t="s">
        <v>6</v>
      </c>
      <c r="C2124" t="s">
        <v>7</v>
      </c>
      <c r="D2124" t="s">
        <v>533</v>
      </c>
      <c r="E2124" t="s">
        <v>13</v>
      </c>
      <c r="F2124" s="9">
        <v>2869.26</v>
      </c>
      <c r="G2124" s="7">
        <v>-42564.974999999999</v>
      </c>
      <c r="H2124" s="8">
        <f t="shared" si="33"/>
        <v>-42564.974999999999</v>
      </c>
      <c r="I2124" s="10">
        <v>28</v>
      </c>
    </row>
    <row r="2125" spans="1:9" ht="15.75" thickBot="1" x14ac:dyDescent="0.3">
      <c r="A2125" s="1">
        <v>43800</v>
      </c>
      <c r="B2125" s="8" t="s">
        <v>6</v>
      </c>
      <c r="C2125" t="s">
        <v>7</v>
      </c>
      <c r="D2125" t="s">
        <v>534</v>
      </c>
      <c r="E2125" t="s">
        <v>15</v>
      </c>
      <c r="F2125" s="9">
        <v>1917.36</v>
      </c>
      <c r="G2125" s="4">
        <v>25</v>
      </c>
      <c r="H2125" s="8">
        <f t="shared" si="33"/>
        <v>25</v>
      </c>
      <c r="I2125" s="10">
        <v>4</v>
      </c>
    </row>
    <row r="2126" spans="1:9" ht="15.75" thickBot="1" x14ac:dyDescent="0.3">
      <c r="A2126" s="1">
        <v>43466</v>
      </c>
      <c r="B2126" s="8" t="s">
        <v>6</v>
      </c>
      <c r="C2126" t="s">
        <v>7</v>
      </c>
      <c r="D2126" t="s">
        <v>534</v>
      </c>
      <c r="E2126" t="s">
        <v>10</v>
      </c>
      <c r="F2126" s="9">
        <v>38400.239999999998</v>
      </c>
      <c r="G2126" s="6">
        <v>3452581.5920000002</v>
      </c>
      <c r="H2126" s="8">
        <f t="shared" si="33"/>
        <v>3452.581592</v>
      </c>
      <c r="I2126" s="10">
        <v>378</v>
      </c>
    </row>
    <row r="2127" spans="1:9" ht="15.75" thickBot="1" x14ac:dyDescent="0.3">
      <c r="A2127" s="1">
        <v>43466</v>
      </c>
      <c r="B2127" s="8" t="s">
        <v>6</v>
      </c>
      <c r="C2127" t="s">
        <v>7</v>
      </c>
      <c r="D2127" t="s">
        <v>534</v>
      </c>
      <c r="E2127" t="s">
        <v>11</v>
      </c>
      <c r="F2127" s="9">
        <v>2104.36</v>
      </c>
      <c r="G2127" s="4">
        <v>48</v>
      </c>
      <c r="H2127" s="8">
        <f t="shared" si="33"/>
        <v>48</v>
      </c>
      <c r="I2127" s="10">
        <v>3</v>
      </c>
    </row>
    <row r="2128" spans="1:9" ht="15.75" thickBot="1" x14ac:dyDescent="0.3">
      <c r="A2128" s="1">
        <v>43466</v>
      </c>
      <c r="B2128" s="8" t="s">
        <v>6</v>
      </c>
      <c r="C2128" t="s">
        <v>7</v>
      </c>
      <c r="D2128" t="s">
        <v>534</v>
      </c>
      <c r="E2128" t="s">
        <v>13</v>
      </c>
      <c r="F2128" s="9">
        <v>0</v>
      </c>
      <c r="G2128" s="6">
        <v>12000</v>
      </c>
      <c r="H2128" s="8">
        <f t="shared" si="33"/>
        <v>12000</v>
      </c>
      <c r="I2128" s="10">
        <v>2</v>
      </c>
    </row>
    <row r="2129" spans="1:9" ht="15.75" thickBot="1" x14ac:dyDescent="0.3">
      <c r="A2129" s="1">
        <v>43800</v>
      </c>
      <c r="B2129" s="8" t="s">
        <v>6</v>
      </c>
      <c r="C2129" t="s">
        <v>7</v>
      </c>
      <c r="D2129" t="s">
        <v>535</v>
      </c>
      <c r="E2129" t="s">
        <v>9</v>
      </c>
      <c r="F2129" s="9">
        <v>356.52</v>
      </c>
      <c r="G2129" s="4">
        <v>11</v>
      </c>
      <c r="H2129" s="8">
        <f t="shared" si="33"/>
        <v>11</v>
      </c>
      <c r="I2129" s="10">
        <v>1</v>
      </c>
    </row>
    <row r="2130" spans="1:9" ht="15.75" thickBot="1" x14ac:dyDescent="0.3">
      <c r="A2130" s="1">
        <v>43800</v>
      </c>
      <c r="B2130" s="8" t="s">
        <v>6</v>
      </c>
      <c r="C2130" t="s">
        <v>7</v>
      </c>
      <c r="D2130" t="s">
        <v>535</v>
      </c>
      <c r="E2130" t="s">
        <v>10</v>
      </c>
      <c r="F2130" s="9">
        <v>91197.75</v>
      </c>
      <c r="G2130" s="6">
        <v>2948234.807</v>
      </c>
      <c r="H2130" s="8">
        <f t="shared" si="33"/>
        <v>2948.2348069999998</v>
      </c>
      <c r="I2130" s="10">
        <v>194</v>
      </c>
    </row>
    <row r="2131" spans="1:9" ht="15.75" thickBot="1" x14ac:dyDescent="0.3">
      <c r="A2131" s="1">
        <v>43800</v>
      </c>
      <c r="B2131" s="8" t="s">
        <v>6</v>
      </c>
      <c r="C2131" t="s">
        <v>7</v>
      </c>
      <c r="D2131" t="s">
        <v>535</v>
      </c>
      <c r="E2131" t="s">
        <v>11</v>
      </c>
      <c r="F2131" s="9">
        <v>4785.3500000000004</v>
      </c>
      <c r="G2131" s="7">
        <v>6151</v>
      </c>
      <c r="H2131" s="8">
        <f t="shared" si="33"/>
        <v>6151</v>
      </c>
      <c r="I2131" s="10">
        <v>8</v>
      </c>
    </row>
    <row r="2132" spans="1:9" ht="15.75" thickBot="1" x14ac:dyDescent="0.3">
      <c r="A2132" s="1">
        <v>43800</v>
      </c>
      <c r="B2132" s="8" t="s">
        <v>6</v>
      </c>
      <c r="C2132" t="s">
        <v>7</v>
      </c>
      <c r="D2132" t="s">
        <v>535</v>
      </c>
      <c r="E2132" t="s">
        <v>13</v>
      </c>
      <c r="F2132" s="9">
        <v>352.78</v>
      </c>
      <c r="G2132" s="6">
        <v>14000</v>
      </c>
      <c r="H2132" s="8">
        <f t="shared" si="33"/>
        <v>14000</v>
      </c>
      <c r="I2132" s="10">
        <v>1</v>
      </c>
    </row>
    <row r="2133" spans="1:9" ht="15.75" thickBot="1" x14ac:dyDescent="0.3">
      <c r="A2133" s="1">
        <v>43466</v>
      </c>
      <c r="B2133" s="8" t="s">
        <v>6</v>
      </c>
      <c r="C2133" t="s">
        <v>7</v>
      </c>
      <c r="D2133" t="s">
        <v>536</v>
      </c>
      <c r="E2133" t="s">
        <v>9</v>
      </c>
      <c r="F2133" s="9">
        <v>1204.32</v>
      </c>
      <c r="G2133" s="4">
        <v>33</v>
      </c>
      <c r="H2133" s="8">
        <f t="shared" si="33"/>
        <v>33</v>
      </c>
      <c r="I2133" s="10">
        <v>2</v>
      </c>
    </row>
    <row r="2134" spans="1:9" ht="15.75" thickBot="1" x14ac:dyDescent="0.3">
      <c r="A2134" s="1">
        <v>43466</v>
      </c>
      <c r="B2134" s="8" t="s">
        <v>6</v>
      </c>
      <c r="C2134" t="s">
        <v>7</v>
      </c>
      <c r="D2134" t="s">
        <v>536</v>
      </c>
      <c r="E2134" t="s">
        <v>10</v>
      </c>
      <c r="F2134" s="9">
        <v>212748.77</v>
      </c>
      <c r="G2134" s="6">
        <v>7376960.2649999997</v>
      </c>
      <c r="H2134" s="8">
        <f t="shared" si="33"/>
        <v>7376.9602649999997</v>
      </c>
      <c r="I2134" s="10">
        <v>609</v>
      </c>
    </row>
    <row r="2135" spans="1:9" ht="15.75" thickBot="1" x14ac:dyDescent="0.3">
      <c r="A2135" s="1">
        <v>43466</v>
      </c>
      <c r="B2135" s="8" t="s">
        <v>6</v>
      </c>
      <c r="C2135" t="s">
        <v>7</v>
      </c>
      <c r="D2135" t="s">
        <v>536</v>
      </c>
      <c r="E2135" t="s">
        <v>11</v>
      </c>
      <c r="F2135" s="9">
        <v>9439.2999999999993</v>
      </c>
      <c r="G2135" s="7">
        <v>247508.78099999999</v>
      </c>
      <c r="H2135" s="8">
        <f t="shared" si="33"/>
        <v>247508.78099999999</v>
      </c>
      <c r="I2135" s="10">
        <v>10</v>
      </c>
    </row>
    <row r="2136" spans="1:9" ht="15.75" thickBot="1" x14ac:dyDescent="0.3">
      <c r="A2136" s="1">
        <v>43800</v>
      </c>
      <c r="B2136" s="8" t="s">
        <v>6</v>
      </c>
      <c r="C2136" t="s">
        <v>7</v>
      </c>
      <c r="D2136" t="s">
        <v>537</v>
      </c>
      <c r="E2136" t="s">
        <v>9</v>
      </c>
      <c r="F2136" s="9">
        <v>6662.72</v>
      </c>
      <c r="G2136" s="4">
        <v>221</v>
      </c>
      <c r="H2136" s="8">
        <f t="shared" si="33"/>
        <v>221</v>
      </c>
      <c r="I2136" s="10">
        <v>1</v>
      </c>
    </row>
    <row r="2137" spans="1:9" ht="15.75" thickBot="1" x14ac:dyDescent="0.3">
      <c r="A2137" s="1">
        <v>43800</v>
      </c>
      <c r="B2137" s="8" t="s">
        <v>6</v>
      </c>
      <c r="C2137" t="s">
        <v>7</v>
      </c>
      <c r="D2137" t="s">
        <v>537</v>
      </c>
      <c r="E2137" t="s">
        <v>11</v>
      </c>
      <c r="F2137" s="9">
        <v>81.569999999999993</v>
      </c>
      <c r="G2137" s="5">
        <v>0</v>
      </c>
      <c r="H2137" s="8">
        <f t="shared" si="33"/>
        <v>0</v>
      </c>
      <c r="I2137" s="10">
        <v>1</v>
      </c>
    </row>
    <row r="2138" spans="1:9" ht="15.75" thickBot="1" x14ac:dyDescent="0.3">
      <c r="A2138" s="1">
        <v>43800</v>
      </c>
      <c r="B2138" s="8" t="s">
        <v>6</v>
      </c>
      <c r="C2138" t="s">
        <v>7</v>
      </c>
      <c r="D2138" t="s">
        <v>538</v>
      </c>
      <c r="E2138" t="s">
        <v>9</v>
      </c>
      <c r="F2138" s="9">
        <v>4623.8900000000003</v>
      </c>
      <c r="G2138" s="4">
        <v>134</v>
      </c>
      <c r="H2138" s="8">
        <f t="shared" si="33"/>
        <v>134</v>
      </c>
      <c r="I2138" s="10">
        <v>5</v>
      </c>
    </row>
    <row r="2139" spans="1:9" ht="15.75" thickBot="1" x14ac:dyDescent="0.3">
      <c r="A2139" s="1">
        <v>43800</v>
      </c>
      <c r="B2139" s="8" t="s">
        <v>6</v>
      </c>
      <c r="C2139" t="s">
        <v>7</v>
      </c>
      <c r="D2139" t="s">
        <v>538</v>
      </c>
      <c r="E2139" t="s">
        <v>15</v>
      </c>
      <c r="F2139" s="9">
        <v>100</v>
      </c>
      <c r="G2139" s="4">
        <v>0</v>
      </c>
      <c r="H2139" s="8">
        <f t="shared" si="33"/>
        <v>0</v>
      </c>
      <c r="I2139" s="10">
        <v>1</v>
      </c>
    </row>
    <row r="2140" spans="1:9" ht="15.75" thickBot="1" x14ac:dyDescent="0.3">
      <c r="A2140" s="1">
        <v>43466</v>
      </c>
      <c r="B2140" s="8" t="s">
        <v>6</v>
      </c>
      <c r="C2140" t="s">
        <v>7</v>
      </c>
      <c r="D2140" t="s">
        <v>538</v>
      </c>
      <c r="E2140" t="s">
        <v>10</v>
      </c>
      <c r="F2140" s="9">
        <v>40418.86</v>
      </c>
      <c r="G2140" s="6">
        <v>1460450.7830000001</v>
      </c>
      <c r="H2140" s="8">
        <f t="shared" si="33"/>
        <v>1460.450783</v>
      </c>
      <c r="I2140" s="10">
        <v>113</v>
      </c>
    </row>
    <row r="2141" spans="1:9" ht="15.75" thickBot="1" x14ac:dyDescent="0.3">
      <c r="A2141" s="1">
        <v>43466</v>
      </c>
      <c r="B2141" s="8" t="s">
        <v>6</v>
      </c>
      <c r="C2141" t="s">
        <v>7</v>
      </c>
      <c r="D2141" t="s">
        <v>538</v>
      </c>
      <c r="E2141" t="s">
        <v>11</v>
      </c>
      <c r="F2141" s="9">
        <v>3339.56</v>
      </c>
      <c r="G2141" s="7">
        <v>67039.615999999995</v>
      </c>
      <c r="H2141" s="8">
        <f t="shared" si="33"/>
        <v>67039.615999999995</v>
      </c>
      <c r="I2141" s="10">
        <v>12</v>
      </c>
    </row>
    <row r="2142" spans="1:9" ht="15.75" thickBot="1" x14ac:dyDescent="0.3">
      <c r="A2142" s="1">
        <v>43466</v>
      </c>
      <c r="B2142" s="8" t="s">
        <v>6</v>
      </c>
      <c r="C2142" t="s">
        <v>7</v>
      </c>
      <c r="D2142" t="s">
        <v>538</v>
      </c>
      <c r="E2142" t="s">
        <v>13</v>
      </c>
      <c r="F2142" s="9">
        <v>340.46</v>
      </c>
      <c r="G2142" s="6">
        <v>5664.9</v>
      </c>
      <c r="H2142" s="8">
        <f t="shared" si="33"/>
        <v>5664.9</v>
      </c>
      <c r="I2142" s="10">
        <v>2</v>
      </c>
    </row>
    <row r="2143" spans="1:9" ht="15.75" thickBot="1" x14ac:dyDescent="0.3">
      <c r="A2143" s="1">
        <v>43800</v>
      </c>
      <c r="B2143" s="8" t="s">
        <v>6</v>
      </c>
      <c r="C2143" t="s">
        <v>7</v>
      </c>
      <c r="D2143" t="s">
        <v>539</v>
      </c>
      <c r="E2143" t="s">
        <v>9</v>
      </c>
      <c r="F2143" s="9">
        <v>286120.32000000001</v>
      </c>
      <c r="G2143" s="4">
        <v>8767</v>
      </c>
      <c r="H2143" s="8">
        <f t="shared" si="33"/>
        <v>8767</v>
      </c>
      <c r="I2143" s="10">
        <v>63</v>
      </c>
    </row>
    <row r="2144" spans="1:9" ht="15.75" thickBot="1" x14ac:dyDescent="0.3">
      <c r="A2144" s="1">
        <v>43800</v>
      </c>
      <c r="B2144" s="8" t="s">
        <v>6</v>
      </c>
      <c r="C2144" t="s">
        <v>7</v>
      </c>
      <c r="D2144" t="s">
        <v>539</v>
      </c>
      <c r="E2144" t="s">
        <v>15</v>
      </c>
      <c r="F2144" s="9">
        <v>388622.13</v>
      </c>
      <c r="G2144" s="7">
        <v>478305.48300000001</v>
      </c>
      <c r="H2144" s="8">
        <f t="shared" si="33"/>
        <v>478305.48300000001</v>
      </c>
      <c r="I2144" s="10">
        <v>340</v>
      </c>
    </row>
    <row r="2145" spans="1:9" ht="15.75" thickBot="1" x14ac:dyDescent="0.3">
      <c r="A2145" s="1">
        <v>43800</v>
      </c>
      <c r="B2145" s="8" t="s">
        <v>6</v>
      </c>
      <c r="C2145" t="s">
        <v>7</v>
      </c>
      <c r="D2145" t="s">
        <v>539</v>
      </c>
      <c r="E2145" t="s">
        <v>10</v>
      </c>
      <c r="F2145" s="9">
        <v>1464030.26</v>
      </c>
      <c r="G2145" s="7">
        <v>271729550.05199999</v>
      </c>
      <c r="H2145" s="8">
        <f t="shared" si="33"/>
        <v>271729.55005199998</v>
      </c>
      <c r="I2145" s="10">
        <v>19913</v>
      </c>
    </row>
    <row r="2146" spans="1:9" ht="15.75" thickBot="1" x14ac:dyDescent="0.3">
      <c r="A2146" s="1">
        <v>43800</v>
      </c>
      <c r="B2146" s="8" t="s">
        <v>6</v>
      </c>
      <c r="C2146" t="s">
        <v>7</v>
      </c>
      <c r="D2146" t="s">
        <v>539</v>
      </c>
      <c r="E2146" t="s">
        <v>17</v>
      </c>
      <c r="F2146" s="9">
        <v>165779.26999999999</v>
      </c>
      <c r="G2146" s="4">
        <v>4687</v>
      </c>
      <c r="H2146" s="8">
        <f t="shared" si="33"/>
        <v>4687</v>
      </c>
      <c r="I2146" s="10">
        <v>43</v>
      </c>
    </row>
    <row r="2147" spans="1:9" ht="15.75" thickBot="1" x14ac:dyDescent="0.3">
      <c r="A2147" s="1">
        <v>43466</v>
      </c>
      <c r="B2147" s="8" t="s">
        <v>6</v>
      </c>
      <c r="C2147" t="s">
        <v>7</v>
      </c>
      <c r="D2147" t="s">
        <v>539</v>
      </c>
      <c r="E2147" t="s">
        <v>11</v>
      </c>
      <c r="F2147" s="9">
        <v>733252.61</v>
      </c>
      <c r="G2147" s="7">
        <v>689626.55299999996</v>
      </c>
      <c r="H2147" s="8">
        <f t="shared" si="33"/>
        <v>689626.55299999996</v>
      </c>
      <c r="I2147" s="10">
        <v>543</v>
      </c>
    </row>
    <row r="2148" spans="1:9" ht="15.75" thickBot="1" x14ac:dyDescent="0.3">
      <c r="A2148" s="1">
        <v>43466</v>
      </c>
      <c r="B2148" s="8" t="s">
        <v>6</v>
      </c>
      <c r="C2148" t="s">
        <v>7</v>
      </c>
      <c r="D2148" t="s">
        <v>539</v>
      </c>
      <c r="E2148" t="s">
        <v>13</v>
      </c>
      <c r="F2148" s="9">
        <v>96738.559999999998</v>
      </c>
      <c r="G2148" s="7">
        <v>565115.24</v>
      </c>
      <c r="H2148" s="8">
        <f t="shared" si="33"/>
        <v>565115.24</v>
      </c>
      <c r="I2148" s="10">
        <v>63</v>
      </c>
    </row>
    <row r="2149" spans="1:9" ht="15.75" thickBot="1" x14ac:dyDescent="0.3">
      <c r="A2149" s="1">
        <v>43466</v>
      </c>
      <c r="B2149" s="8" t="s">
        <v>6</v>
      </c>
      <c r="C2149" t="s">
        <v>7</v>
      </c>
      <c r="D2149" t="s">
        <v>540</v>
      </c>
      <c r="E2149" t="s">
        <v>15</v>
      </c>
      <c r="F2149" s="9">
        <v>421.66</v>
      </c>
      <c r="G2149" s="4">
        <v>13</v>
      </c>
      <c r="H2149" s="8">
        <f t="shared" si="33"/>
        <v>13</v>
      </c>
      <c r="I2149" s="10">
        <v>1</v>
      </c>
    </row>
    <row r="2150" spans="1:9" ht="15.75" thickBot="1" x14ac:dyDescent="0.3">
      <c r="A2150" s="1">
        <v>43800</v>
      </c>
      <c r="B2150" s="8" t="s">
        <v>6</v>
      </c>
      <c r="C2150" t="s">
        <v>7</v>
      </c>
      <c r="D2150" t="s">
        <v>541</v>
      </c>
      <c r="E2150" t="s">
        <v>9</v>
      </c>
      <c r="F2150" s="9">
        <v>3275.04</v>
      </c>
      <c r="G2150" s="4">
        <v>97</v>
      </c>
      <c r="H2150" s="8">
        <f t="shared" si="33"/>
        <v>97</v>
      </c>
      <c r="I2150" s="10">
        <v>1</v>
      </c>
    </row>
    <row r="2151" spans="1:9" ht="15.75" thickBot="1" x14ac:dyDescent="0.3">
      <c r="A2151" s="1">
        <v>43800</v>
      </c>
      <c r="B2151" s="8" t="s">
        <v>6</v>
      </c>
      <c r="C2151" t="s">
        <v>7</v>
      </c>
      <c r="D2151" t="s">
        <v>541</v>
      </c>
      <c r="E2151" t="s">
        <v>15</v>
      </c>
      <c r="F2151" s="9">
        <v>7218.42</v>
      </c>
      <c r="G2151" s="4">
        <v>146</v>
      </c>
      <c r="H2151" s="8">
        <f t="shared" si="33"/>
        <v>146</v>
      </c>
      <c r="I2151" s="10">
        <v>6</v>
      </c>
    </row>
    <row r="2152" spans="1:9" ht="15.75" thickBot="1" x14ac:dyDescent="0.3">
      <c r="A2152" s="1">
        <v>43800</v>
      </c>
      <c r="B2152" s="8" t="s">
        <v>6</v>
      </c>
      <c r="C2152" t="s">
        <v>7</v>
      </c>
      <c r="D2152" t="s">
        <v>541</v>
      </c>
      <c r="E2152" t="s">
        <v>10</v>
      </c>
      <c r="F2152" s="9">
        <v>211844.6</v>
      </c>
      <c r="G2152" s="7">
        <v>7206667.4929999998</v>
      </c>
      <c r="H2152" s="8">
        <f t="shared" si="33"/>
        <v>7206.6674929999999</v>
      </c>
      <c r="I2152" s="10">
        <v>827</v>
      </c>
    </row>
    <row r="2153" spans="1:9" ht="15.75" thickBot="1" x14ac:dyDescent="0.3">
      <c r="A2153" s="1">
        <v>43800</v>
      </c>
      <c r="B2153" s="8" t="s">
        <v>6</v>
      </c>
      <c r="C2153" t="s">
        <v>7</v>
      </c>
      <c r="D2153" t="s">
        <v>541</v>
      </c>
      <c r="E2153" t="s">
        <v>17</v>
      </c>
      <c r="F2153" s="9">
        <v>4463.28</v>
      </c>
      <c r="G2153" s="4">
        <v>154</v>
      </c>
      <c r="H2153" s="8">
        <f t="shared" si="33"/>
        <v>154</v>
      </c>
      <c r="I2153" s="10">
        <v>2</v>
      </c>
    </row>
    <row r="2154" spans="1:9" ht="15.75" thickBot="1" x14ac:dyDescent="0.3">
      <c r="A2154" s="1">
        <v>43466</v>
      </c>
      <c r="B2154" s="8" t="s">
        <v>6</v>
      </c>
      <c r="C2154" t="s">
        <v>7</v>
      </c>
      <c r="D2154" t="s">
        <v>541</v>
      </c>
      <c r="E2154" t="s">
        <v>11</v>
      </c>
      <c r="F2154" s="9">
        <v>3539.41</v>
      </c>
      <c r="G2154" s="4">
        <v>87</v>
      </c>
      <c r="H2154" s="8">
        <f t="shared" si="33"/>
        <v>87</v>
      </c>
      <c r="I2154" s="10">
        <v>4</v>
      </c>
    </row>
    <row r="2155" spans="1:9" ht="15.75" thickBot="1" x14ac:dyDescent="0.3">
      <c r="A2155" s="1">
        <v>43466</v>
      </c>
      <c r="B2155" s="8" t="s">
        <v>6</v>
      </c>
      <c r="C2155" t="s">
        <v>7</v>
      </c>
      <c r="D2155" t="s">
        <v>541</v>
      </c>
      <c r="E2155" t="s">
        <v>13</v>
      </c>
      <c r="F2155" s="9">
        <v>1399.64</v>
      </c>
      <c r="G2155" s="6">
        <v>47000</v>
      </c>
      <c r="H2155" s="8">
        <f t="shared" si="33"/>
        <v>47000</v>
      </c>
      <c r="I2155" s="10">
        <v>5</v>
      </c>
    </row>
    <row r="2156" spans="1:9" ht="15.75" thickBot="1" x14ac:dyDescent="0.3">
      <c r="A2156" s="1">
        <v>43466</v>
      </c>
      <c r="B2156" s="8" t="s">
        <v>6</v>
      </c>
      <c r="C2156" t="s">
        <v>7</v>
      </c>
      <c r="D2156" t="s">
        <v>542</v>
      </c>
      <c r="E2156" t="s">
        <v>9</v>
      </c>
      <c r="F2156" s="9">
        <v>23055.29</v>
      </c>
      <c r="G2156" s="4">
        <v>761</v>
      </c>
      <c r="H2156" s="8">
        <f t="shared" si="33"/>
        <v>761</v>
      </c>
      <c r="I2156" s="10">
        <v>7</v>
      </c>
    </row>
    <row r="2157" spans="1:9" ht="15.75" thickBot="1" x14ac:dyDescent="0.3">
      <c r="A2157" s="1">
        <v>43800</v>
      </c>
      <c r="B2157" s="8" t="s">
        <v>6</v>
      </c>
      <c r="C2157" t="s">
        <v>7</v>
      </c>
      <c r="D2157" t="s">
        <v>542</v>
      </c>
      <c r="E2157" t="s">
        <v>15</v>
      </c>
      <c r="F2157" s="9">
        <v>7606.14</v>
      </c>
      <c r="G2157" s="7">
        <v>32457.303</v>
      </c>
      <c r="H2157" s="8">
        <f t="shared" si="33"/>
        <v>32457.303</v>
      </c>
      <c r="I2157" s="10">
        <v>18</v>
      </c>
    </row>
    <row r="2158" spans="1:9" ht="15.75" thickBot="1" x14ac:dyDescent="0.3">
      <c r="A2158" s="1">
        <v>43800</v>
      </c>
      <c r="B2158" s="8" t="s">
        <v>6</v>
      </c>
      <c r="C2158" t="s">
        <v>7</v>
      </c>
      <c r="D2158" t="s">
        <v>542</v>
      </c>
      <c r="E2158" t="s">
        <v>10</v>
      </c>
      <c r="F2158" s="9">
        <v>138272.24</v>
      </c>
      <c r="G2158" s="6">
        <v>9814142.3090000004</v>
      </c>
      <c r="H2158" s="8">
        <f t="shared" si="33"/>
        <v>9814.1423090000008</v>
      </c>
      <c r="I2158" s="10">
        <v>736</v>
      </c>
    </row>
    <row r="2159" spans="1:9" ht="15.75" thickBot="1" x14ac:dyDescent="0.3">
      <c r="A2159" s="1">
        <v>43800</v>
      </c>
      <c r="B2159" s="8" t="s">
        <v>6</v>
      </c>
      <c r="C2159" t="s">
        <v>7</v>
      </c>
      <c r="D2159" t="s">
        <v>542</v>
      </c>
      <c r="E2159" t="s">
        <v>17</v>
      </c>
      <c r="F2159" s="9">
        <v>77991.710000000006</v>
      </c>
      <c r="G2159" s="4">
        <v>2506</v>
      </c>
      <c r="H2159" s="8">
        <f t="shared" si="33"/>
        <v>2506</v>
      </c>
      <c r="I2159" s="10">
        <v>25</v>
      </c>
    </row>
    <row r="2160" spans="1:9" ht="15.75" thickBot="1" x14ac:dyDescent="0.3">
      <c r="A2160" s="1">
        <v>43800</v>
      </c>
      <c r="B2160" s="8" t="s">
        <v>6</v>
      </c>
      <c r="C2160" t="s">
        <v>7</v>
      </c>
      <c r="D2160" t="s">
        <v>542</v>
      </c>
      <c r="E2160" t="s">
        <v>11</v>
      </c>
      <c r="F2160" s="9">
        <v>17841.27</v>
      </c>
      <c r="G2160" s="4">
        <v>589</v>
      </c>
      <c r="H2160" s="8">
        <f t="shared" si="33"/>
        <v>589</v>
      </c>
      <c r="I2160" s="10">
        <v>7</v>
      </c>
    </row>
    <row r="2161" spans="1:9" ht="15.75" thickBot="1" x14ac:dyDescent="0.3">
      <c r="A2161" s="1">
        <v>43466</v>
      </c>
      <c r="B2161" s="8" t="s">
        <v>6</v>
      </c>
      <c r="C2161" t="s">
        <v>7</v>
      </c>
      <c r="D2161" t="s">
        <v>542</v>
      </c>
      <c r="E2161" t="s">
        <v>13</v>
      </c>
      <c r="F2161" s="9">
        <v>542.46</v>
      </c>
      <c r="G2161" s="4">
        <v>14</v>
      </c>
      <c r="H2161" s="8">
        <f t="shared" si="33"/>
        <v>14</v>
      </c>
      <c r="I2161" s="10">
        <v>1</v>
      </c>
    </row>
    <row r="2162" spans="1:9" ht="15.75" thickBot="1" x14ac:dyDescent="0.3">
      <c r="A2162" s="1">
        <v>43466</v>
      </c>
      <c r="B2162" s="8" t="s">
        <v>6</v>
      </c>
      <c r="C2162" t="s">
        <v>7</v>
      </c>
      <c r="D2162" t="s">
        <v>543</v>
      </c>
      <c r="E2162" t="s">
        <v>9</v>
      </c>
      <c r="F2162" s="9">
        <v>79571.87</v>
      </c>
      <c r="G2162" s="4">
        <v>2672</v>
      </c>
      <c r="H2162" s="8">
        <f t="shared" si="33"/>
        <v>2672</v>
      </c>
      <c r="I2162" s="10">
        <v>3</v>
      </c>
    </row>
    <row r="2163" spans="1:9" ht="15.75" thickBot="1" x14ac:dyDescent="0.3">
      <c r="A2163" s="1">
        <v>43466</v>
      </c>
      <c r="B2163" s="8" t="s">
        <v>6</v>
      </c>
      <c r="C2163" t="s">
        <v>7</v>
      </c>
      <c r="D2163" t="s">
        <v>543</v>
      </c>
      <c r="E2163" t="s">
        <v>15</v>
      </c>
      <c r="F2163" s="9">
        <v>41546.85</v>
      </c>
      <c r="G2163" s="7">
        <v>132925.26300000001</v>
      </c>
      <c r="H2163" s="8">
        <f t="shared" si="33"/>
        <v>132925.26300000001</v>
      </c>
      <c r="I2163" s="10">
        <v>27</v>
      </c>
    </row>
    <row r="2164" spans="1:9" ht="15.75" thickBot="1" x14ac:dyDescent="0.3">
      <c r="A2164" s="1">
        <v>43800</v>
      </c>
      <c r="B2164" s="8" t="s">
        <v>6</v>
      </c>
      <c r="C2164" t="s">
        <v>7</v>
      </c>
      <c r="D2164" t="s">
        <v>543</v>
      </c>
      <c r="E2164" t="s">
        <v>10</v>
      </c>
      <c r="F2164" s="9">
        <v>534013.74</v>
      </c>
      <c r="G2164" s="6">
        <v>17316814.225000001</v>
      </c>
      <c r="H2164" s="8">
        <f t="shared" si="33"/>
        <v>17316.814225000002</v>
      </c>
      <c r="I2164" s="10">
        <v>1820</v>
      </c>
    </row>
    <row r="2165" spans="1:9" ht="15.75" thickBot="1" x14ac:dyDescent="0.3">
      <c r="A2165" s="1">
        <v>43800</v>
      </c>
      <c r="B2165" s="8" t="s">
        <v>6</v>
      </c>
      <c r="C2165" t="s">
        <v>7</v>
      </c>
      <c r="D2165" t="s">
        <v>543</v>
      </c>
      <c r="E2165" t="s">
        <v>11</v>
      </c>
      <c r="F2165" s="9">
        <v>43376.73</v>
      </c>
      <c r="G2165" s="7">
        <v>607754.06499999994</v>
      </c>
      <c r="H2165" s="8">
        <f t="shared" si="33"/>
        <v>607754.06499999994</v>
      </c>
      <c r="I2165" s="10">
        <v>39</v>
      </c>
    </row>
    <row r="2166" spans="1:9" ht="15.75" thickBot="1" x14ac:dyDescent="0.3">
      <c r="A2166" s="1">
        <v>43800</v>
      </c>
      <c r="B2166" s="8" t="s">
        <v>6</v>
      </c>
      <c r="C2166" t="s">
        <v>7</v>
      </c>
      <c r="D2166" t="s">
        <v>543</v>
      </c>
      <c r="E2166" t="s">
        <v>13</v>
      </c>
      <c r="F2166" s="9">
        <v>30517.31</v>
      </c>
      <c r="G2166" s="7">
        <v>1248344</v>
      </c>
      <c r="H2166" s="8">
        <f t="shared" si="33"/>
        <v>1248344</v>
      </c>
      <c r="I2166" s="10">
        <v>16</v>
      </c>
    </row>
    <row r="2167" spans="1:9" ht="15.75" thickBot="1" x14ac:dyDescent="0.3">
      <c r="A2167" s="1">
        <v>43800</v>
      </c>
      <c r="B2167" s="8" t="s">
        <v>6</v>
      </c>
      <c r="C2167" t="s">
        <v>7</v>
      </c>
      <c r="D2167" t="s">
        <v>544</v>
      </c>
      <c r="E2167" t="s">
        <v>9</v>
      </c>
      <c r="F2167" s="9">
        <v>239565.55</v>
      </c>
      <c r="G2167" s="7">
        <v>1978141.183</v>
      </c>
      <c r="H2167" s="8">
        <f t="shared" si="33"/>
        <v>1978141.183</v>
      </c>
      <c r="I2167" s="10">
        <v>31</v>
      </c>
    </row>
    <row r="2168" spans="1:9" ht="15.75" thickBot="1" x14ac:dyDescent="0.3">
      <c r="A2168" s="1">
        <v>43466</v>
      </c>
      <c r="B2168" s="8" t="s">
        <v>6</v>
      </c>
      <c r="C2168" t="s">
        <v>7</v>
      </c>
      <c r="D2168" t="s">
        <v>544</v>
      </c>
      <c r="E2168" t="s">
        <v>15</v>
      </c>
      <c r="F2168" s="9">
        <v>59946.5</v>
      </c>
      <c r="G2168" s="4">
        <v>2356</v>
      </c>
      <c r="H2168" s="8">
        <f t="shared" si="33"/>
        <v>2356</v>
      </c>
      <c r="I2168" s="10">
        <v>34</v>
      </c>
    </row>
    <row r="2169" spans="1:9" ht="15.75" thickBot="1" x14ac:dyDescent="0.3">
      <c r="A2169" s="1">
        <v>43466</v>
      </c>
      <c r="B2169" s="8" t="s">
        <v>6</v>
      </c>
      <c r="C2169" t="s">
        <v>7</v>
      </c>
      <c r="D2169" t="s">
        <v>544</v>
      </c>
      <c r="E2169" t="s">
        <v>10</v>
      </c>
      <c r="F2169" s="9">
        <v>1164469.27</v>
      </c>
      <c r="G2169" s="6">
        <v>44050870.218000002</v>
      </c>
      <c r="H2169" s="8">
        <f t="shared" si="33"/>
        <v>44050.870218000004</v>
      </c>
      <c r="I2169" s="10">
        <v>3071</v>
      </c>
    </row>
    <row r="2170" spans="1:9" ht="15.75" thickBot="1" x14ac:dyDescent="0.3">
      <c r="A2170" s="1">
        <v>43466</v>
      </c>
      <c r="B2170" s="8" t="s">
        <v>6</v>
      </c>
      <c r="C2170" t="s">
        <v>7</v>
      </c>
      <c r="D2170" t="s">
        <v>544</v>
      </c>
      <c r="E2170" t="s">
        <v>17</v>
      </c>
      <c r="F2170" s="9">
        <v>68273.960000000006</v>
      </c>
      <c r="G2170" s="4">
        <v>2128</v>
      </c>
      <c r="H2170" s="8">
        <f t="shared" si="33"/>
        <v>2128</v>
      </c>
      <c r="I2170" s="10">
        <v>2</v>
      </c>
    </row>
    <row r="2171" spans="1:9" ht="15.75" thickBot="1" x14ac:dyDescent="0.3">
      <c r="A2171" s="1">
        <v>43800</v>
      </c>
      <c r="B2171" s="8" t="s">
        <v>6</v>
      </c>
      <c r="C2171" t="s">
        <v>7</v>
      </c>
      <c r="D2171" t="s">
        <v>544</v>
      </c>
      <c r="E2171" t="s">
        <v>11</v>
      </c>
      <c r="F2171" s="9">
        <v>116281.31</v>
      </c>
      <c r="G2171" s="7">
        <v>762665.00699999998</v>
      </c>
      <c r="H2171" s="8">
        <f t="shared" si="33"/>
        <v>762665.00699999998</v>
      </c>
      <c r="I2171" s="10">
        <v>36</v>
      </c>
    </row>
    <row r="2172" spans="1:9" ht="15.75" thickBot="1" x14ac:dyDescent="0.3">
      <c r="A2172" s="1">
        <v>43800</v>
      </c>
      <c r="B2172" s="8" t="s">
        <v>6</v>
      </c>
      <c r="C2172" t="s">
        <v>7</v>
      </c>
      <c r="D2172" t="s">
        <v>544</v>
      </c>
      <c r="E2172" t="s">
        <v>13</v>
      </c>
      <c r="F2172" s="9">
        <v>4044</v>
      </c>
      <c r="G2172" s="6">
        <v>149574.5</v>
      </c>
      <c r="H2172" s="8">
        <f t="shared" si="33"/>
        <v>149574.5</v>
      </c>
      <c r="I2172" s="10">
        <v>13</v>
      </c>
    </row>
    <row r="2173" spans="1:9" ht="15.75" thickBot="1" x14ac:dyDescent="0.3">
      <c r="A2173" s="1">
        <v>43800</v>
      </c>
      <c r="B2173" s="8" t="s">
        <v>6</v>
      </c>
      <c r="C2173" t="s">
        <v>7</v>
      </c>
      <c r="D2173" t="s">
        <v>545</v>
      </c>
      <c r="E2173" t="s">
        <v>9</v>
      </c>
      <c r="F2173" s="9">
        <v>43123.28</v>
      </c>
      <c r="G2173" s="4">
        <v>1086</v>
      </c>
      <c r="H2173" s="8">
        <f t="shared" si="33"/>
        <v>1086</v>
      </c>
      <c r="I2173" s="10">
        <v>7</v>
      </c>
    </row>
    <row r="2174" spans="1:9" ht="15.75" thickBot="1" x14ac:dyDescent="0.3">
      <c r="A2174" s="1">
        <v>43800</v>
      </c>
      <c r="B2174" s="8" t="s">
        <v>6</v>
      </c>
      <c r="C2174" t="s">
        <v>7</v>
      </c>
      <c r="D2174" t="s">
        <v>545</v>
      </c>
      <c r="E2174" t="s">
        <v>15</v>
      </c>
      <c r="F2174" s="9">
        <v>8524.3700000000008</v>
      </c>
      <c r="G2174" s="4">
        <v>159</v>
      </c>
      <c r="H2174" s="8">
        <f t="shared" si="33"/>
        <v>159</v>
      </c>
      <c r="I2174" s="10">
        <v>7</v>
      </c>
    </row>
    <row r="2175" spans="1:9" ht="15.75" thickBot="1" x14ac:dyDescent="0.3">
      <c r="A2175" s="1">
        <v>43466</v>
      </c>
      <c r="B2175" s="8" t="s">
        <v>6</v>
      </c>
      <c r="C2175" t="s">
        <v>7</v>
      </c>
      <c r="D2175" t="s">
        <v>545</v>
      </c>
      <c r="E2175" t="s">
        <v>10</v>
      </c>
      <c r="F2175" s="9">
        <v>75163.47</v>
      </c>
      <c r="G2175" s="6">
        <v>2167567.0619999999</v>
      </c>
      <c r="H2175" s="8">
        <f t="shared" si="33"/>
        <v>2167.5670620000001</v>
      </c>
      <c r="I2175" s="10">
        <v>125</v>
      </c>
    </row>
    <row r="2176" spans="1:9" ht="15.75" thickBot="1" x14ac:dyDescent="0.3">
      <c r="A2176" s="1">
        <v>43466</v>
      </c>
      <c r="B2176" s="8" t="s">
        <v>6</v>
      </c>
      <c r="C2176" t="s">
        <v>7</v>
      </c>
      <c r="D2176" t="s">
        <v>545</v>
      </c>
      <c r="E2176" t="s">
        <v>11</v>
      </c>
      <c r="F2176" s="9">
        <v>163.13999999999999</v>
      </c>
      <c r="G2176" s="5">
        <v>0</v>
      </c>
      <c r="H2176" s="8">
        <f t="shared" si="33"/>
        <v>0</v>
      </c>
      <c r="I2176" s="10">
        <v>2</v>
      </c>
    </row>
    <row r="2177" spans="1:9" ht="15.75" thickBot="1" x14ac:dyDescent="0.3">
      <c r="A2177" s="1">
        <v>43466</v>
      </c>
      <c r="B2177" s="8" t="s">
        <v>6</v>
      </c>
      <c r="C2177" t="s">
        <v>7</v>
      </c>
      <c r="D2177" t="s">
        <v>546</v>
      </c>
      <c r="E2177" t="s">
        <v>15</v>
      </c>
      <c r="F2177" s="9">
        <v>757.04</v>
      </c>
      <c r="G2177" s="4">
        <v>22</v>
      </c>
      <c r="H2177" s="8">
        <f t="shared" si="33"/>
        <v>22</v>
      </c>
      <c r="I2177" s="10">
        <v>1</v>
      </c>
    </row>
    <row r="2178" spans="1:9" ht="15.75" thickBot="1" x14ac:dyDescent="0.3">
      <c r="A2178" s="1">
        <v>43800</v>
      </c>
      <c r="B2178" s="8" t="s">
        <v>6</v>
      </c>
      <c r="C2178" t="s">
        <v>7</v>
      </c>
      <c r="D2178" t="s">
        <v>546</v>
      </c>
      <c r="E2178" t="s">
        <v>10</v>
      </c>
      <c r="F2178" s="9">
        <v>202103.21</v>
      </c>
      <c r="G2178" s="6">
        <v>5781511.1119999997</v>
      </c>
      <c r="H2178" s="8">
        <f t="shared" ref="H2178:H2241" si="34">IF(ISNUMBER(SEARCH("Domestic customer", E2178)),G2178/1000,G2178)</f>
        <v>5781.5111120000001</v>
      </c>
      <c r="I2178" s="10">
        <v>360</v>
      </c>
    </row>
    <row r="2179" spans="1:9" ht="15.75" thickBot="1" x14ac:dyDescent="0.3">
      <c r="A2179" s="1">
        <v>43800</v>
      </c>
      <c r="B2179" s="8" t="s">
        <v>6</v>
      </c>
      <c r="C2179" t="s">
        <v>7</v>
      </c>
      <c r="D2179" t="s">
        <v>546</v>
      </c>
      <c r="E2179" t="s">
        <v>11</v>
      </c>
      <c r="F2179" s="9">
        <v>8456.4699999999993</v>
      </c>
      <c r="G2179" s="6">
        <v>195000</v>
      </c>
      <c r="H2179" s="8">
        <f t="shared" si="34"/>
        <v>195000</v>
      </c>
      <c r="I2179" s="10">
        <v>26</v>
      </c>
    </row>
    <row r="2180" spans="1:9" ht="15.75" thickBot="1" x14ac:dyDescent="0.3">
      <c r="A2180" s="1">
        <v>43800</v>
      </c>
      <c r="B2180" s="8" t="s">
        <v>6</v>
      </c>
      <c r="C2180" t="s">
        <v>7</v>
      </c>
      <c r="D2180" t="s">
        <v>546</v>
      </c>
      <c r="E2180" t="s">
        <v>13</v>
      </c>
      <c r="F2180" s="9">
        <v>345.16</v>
      </c>
      <c r="G2180" s="6">
        <v>12000</v>
      </c>
      <c r="H2180" s="8">
        <f t="shared" si="34"/>
        <v>12000</v>
      </c>
      <c r="I2180" s="10">
        <v>1</v>
      </c>
    </row>
    <row r="2181" spans="1:9" ht="15.75" thickBot="1" x14ac:dyDescent="0.3">
      <c r="A2181" s="1">
        <v>43800</v>
      </c>
      <c r="B2181" s="8" t="s">
        <v>6</v>
      </c>
      <c r="C2181" t="s">
        <v>7</v>
      </c>
      <c r="D2181" t="s">
        <v>547</v>
      </c>
      <c r="E2181" t="s">
        <v>9</v>
      </c>
      <c r="F2181" s="9">
        <v>57851.85</v>
      </c>
      <c r="G2181" s="4">
        <v>1777</v>
      </c>
      <c r="H2181" s="8">
        <f t="shared" si="34"/>
        <v>1777</v>
      </c>
      <c r="I2181" s="10">
        <v>11</v>
      </c>
    </row>
    <row r="2182" spans="1:9" ht="15.75" thickBot="1" x14ac:dyDescent="0.3">
      <c r="A2182" s="1">
        <v>43466</v>
      </c>
      <c r="B2182" s="8" t="s">
        <v>6</v>
      </c>
      <c r="C2182" t="s">
        <v>7</v>
      </c>
      <c r="D2182" t="s">
        <v>547</v>
      </c>
      <c r="E2182" t="s">
        <v>15</v>
      </c>
      <c r="F2182" s="9">
        <v>6965.55</v>
      </c>
      <c r="G2182" s="4">
        <v>160</v>
      </c>
      <c r="H2182" s="8">
        <f t="shared" si="34"/>
        <v>160</v>
      </c>
      <c r="I2182" s="10">
        <v>10</v>
      </c>
    </row>
    <row r="2183" spans="1:9" ht="15.75" thickBot="1" x14ac:dyDescent="0.3">
      <c r="A2183" s="1">
        <v>43466</v>
      </c>
      <c r="B2183" s="8" t="s">
        <v>6</v>
      </c>
      <c r="C2183" t="s">
        <v>7</v>
      </c>
      <c r="D2183" t="s">
        <v>547</v>
      </c>
      <c r="E2183" t="s">
        <v>10</v>
      </c>
      <c r="F2183" s="9">
        <v>216238.34</v>
      </c>
      <c r="G2183" s="6">
        <v>6457545.915</v>
      </c>
      <c r="H2183" s="8">
        <f t="shared" si="34"/>
        <v>6457.5459149999997</v>
      </c>
      <c r="I2183" s="10">
        <v>366</v>
      </c>
    </row>
    <row r="2184" spans="1:9" ht="15.75" thickBot="1" x14ac:dyDescent="0.3">
      <c r="A2184" s="1">
        <v>43466</v>
      </c>
      <c r="B2184" s="8" t="s">
        <v>6</v>
      </c>
      <c r="C2184" t="s">
        <v>7</v>
      </c>
      <c r="D2184" t="s">
        <v>547</v>
      </c>
      <c r="E2184" t="s">
        <v>11</v>
      </c>
      <c r="F2184" s="9">
        <v>1773.94</v>
      </c>
      <c r="G2184" s="6">
        <v>11000</v>
      </c>
      <c r="H2184" s="8">
        <f t="shared" si="34"/>
        <v>11000</v>
      </c>
      <c r="I2184" s="10">
        <v>19</v>
      </c>
    </row>
    <row r="2185" spans="1:9" ht="15.75" thickBot="1" x14ac:dyDescent="0.3">
      <c r="A2185" s="1">
        <v>43800</v>
      </c>
      <c r="B2185" s="8" t="s">
        <v>6</v>
      </c>
      <c r="C2185" t="s">
        <v>7</v>
      </c>
      <c r="D2185" t="s">
        <v>547</v>
      </c>
      <c r="E2185" t="s">
        <v>13</v>
      </c>
      <c r="F2185" s="9">
        <v>1029.0899999999999</v>
      </c>
      <c r="G2185" s="6">
        <v>34000</v>
      </c>
      <c r="H2185" s="8">
        <f t="shared" si="34"/>
        <v>34000</v>
      </c>
      <c r="I2185" s="10">
        <v>3</v>
      </c>
    </row>
    <row r="2186" spans="1:9" ht="15.75" thickBot="1" x14ac:dyDescent="0.3">
      <c r="A2186" s="1">
        <v>43800</v>
      </c>
      <c r="B2186" s="8" t="s">
        <v>6</v>
      </c>
      <c r="C2186" t="s">
        <v>7</v>
      </c>
      <c r="D2186" t="s">
        <v>548</v>
      </c>
      <c r="E2186" t="s">
        <v>9</v>
      </c>
      <c r="F2186" s="9">
        <v>1275.5999999999999</v>
      </c>
      <c r="G2186" s="4">
        <v>30</v>
      </c>
      <c r="H2186" s="8">
        <f t="shared" si="34"/>
        <v>30</v>
      </c>
      <c r="I2186" s="10">
        <v>2</v>
      </c>
    </row>
    <row r="2187" spans="1:9" ht="15.75" thickBot="1" x14ac:dyDescent="0.3">
      <c r="A2187" s="1">
        <v>43800</v>
      </c>
      <c r="B2187" s="8" t="s">
        <v>6</v>
      </c>
      <c r="C2187" t="s">
        <v>7</v>
      </c>
      <c r="D2187" t="s">
        <v>548</v>
      </c>
      <c r="E2187" t="s">
        <v>15</v>
      </c>
      <c r="F2187" s="9">
        <v>2044.3</v>
      </c>
      <c r="G2187" s="4">
        <v>-7</v>
      </c>
      <c r="H2187" s="8">
        <f t="shared" si="34"/>
        <v>-7</v>
      </c>
      <c r="I2187" s="10">
        <v>8</v>
      </c>
    </row>
    <row r="2188" spans="1:9" ht="15.75" thickBot="1" x14ac:dyDescent="0.3">
      <c r="A2188" s="1">
        <v>43800</v>
      </c>
      <c r="B2188" s="8" t="s">
        <v>6</v>
      </c>
      <c r="C2188" t="s">
        <v>7</v>
      </c>
      <c r="D2188" t="s">
        <v>548</v>
      </c>
      <c r="E2188" t="s">
        <v>10</v>
      </c>
      <c r="F2188" s="9">
        <v>201445.72</v>
      </c>
      <c r="G2188" s="6">
        <v>7106981.3059999999</v>
      </c>
      <c r="H2188" s="8">
        <f t="shared" si="34"/>
        <v>7106.9813059999997</v>
      </c>
      <c r="I2188" s="10">
        <v>735</v>
      </c>
    </row>
    <row r="2189" spans="1:9" ht="15.75" thickBot="1" x14ac:dyDescent="0.3">
      <c r="A2189" s="1">
        <v>43466</v>
      </c>
      <c r="B2189" s="8" t="s">
        <v>6</v>
      </c>
      <c r="C2189" t="s">
        <v>7</v>
      </c>
      <c r="D2189" t="s">
        <v>548</v>
      </c>
      <c r="E2189" t="s">
        <v>11</v>
      </c>
      <c r="F2189" s="9">
        <v>1794.81</v>
      </c>
      <c r="G2189" s="4">
        <v>57</v>
      </c>
      <c r="H2189" s="8">
        <f t="shared" si="34"/>
        <v>57</v>
      </c>
      <c r="I2189" s="10">
        <v>2</v>
      </c>
    </row>
    <row r="2190" spans="1:9" ht="15.75" thickBot="1" x14ac:dyDescent="0.3">
      <c r="A2190" s="1">
        <v>43466</v>
      </c>
      <c r="B2190" s="8" t="s">
        <v>6</v>
      </c>
      <c r="C2190" t="s">
        <v>7</v>
      </c>
      <c r="D2190" t="s">
        <v>548</v>
      </c>
      <c r="E2190" t="s">
        <v>13</v>
      </c>
      <c r="F2190" s="9">
        <v>1492.35</v>
      </c>
      <c r="G2190" s="6">
        <v>53000</v>
      </c>
      <c r="H2190" s="8">
        <f t="shared" si="34"/>
        <v>53000</v>
      </c>
      <c r="I2190" s="10">
        <v>8</v>
      </c>
    </row>
    <row r="2191" spans="1:9" ht="15.75" thickBot="1" x14ac:dyDescent="0.3">
      <c r="A2191" s="1">
        <v>43466</v>
      </c>
      <c r="B2191" s="8" t="s">
        <v>6</v>
      </c>
      <c r="C2191" t="s">
        <v>7</v>
      </c>
      <c r="D2191" t="s">
        <v>549</v>
      </c>
      <c r="E2191" t="s">
        <v>9</v>
      </c>
      <c r="F2191" s="9">
        <v>209638.79</v>
      </c>
      <c r="G2191" s="7">
        <v>635710.77099999995</v>
      </c>
      <c r="H2191" s="8">
        <f t="shared" si="34"/>
        <v>635710.77099999995</v>
      </c>
      <c r="I2191" s="10">
        <v>65</v>
      </c>
    </row>
    <row r="2192" spans="1:9" ht="15.75" thickBot="1" x14ac:dyDescent="0.3">
      <c r="A2192" s="1">
        <v>43800</v>
      </c>
      <c r="B2192" s="8" t="s">
        <v>6</v>
      </c>
      <c r="C2192" t="s">
        <v>7</v>
      </c>
      <c r="D2192" t="s">
        <v>549</v>
      </c>
      <c r="E2192" t="s">
        <v>15</v>
      </c>
      <c r="F2192" s="9">
        <v>53098.92</v>
      </c>
      <c r="G2192" s="7">
        <v>634035.31499999994</v>
      </c>
      <c r="H2192" s="8">
        <f t="shared" si="34"/>
        <v>634035.31499999994</v>
      </c>
      <c r="I2192" s="10">
        <v>30</v>
      </c>
    </row>
    <row r="2193" spans="1:9" ht="15.75" thickBot="1" x14ac:dyDescent="0.3">
      <c r="A2193" s="1">
        <v>43800</v>
      </c>
      <c r="B2193" s="8" t="s">
        <v>6</v>
      </c>
      <c r="C2193" t="s">
        <v>7</v>
      </c>
      <c r="D2193" t="s">
        <v>549</v>
      </c>
      <c r="E2193" t="s">
        <v>10</v>
      </c>
      <c r="F2193" s="9">
        <v>1334515.46</v>
      </c>
      <c r="G2193" s="7">
        <v>45808174.324000001</v>
      </c>
      <c r="H2193" s="8">
        <f t="shared" si="34"/>
        <v>45808.174324</v>
      </c>
      <c r="I2193" s="10">
        <v>4153</v>
      </c>
    </row>
    <row r="2194" spans="1:9" ht="15.75" thickBot="1" x14ac:dyDescent="0.3">
      <c r="A2194" s="1">
        <v>43800</v>
      </c>
      <c r="B2194" s="8" t="s">
        <v>6</v>
      </c>
      <c r="C2194" t="s">
        <v>7</v>
      </c>
      <c r="D2194" t="s">
        <v>549</v>
      </c>
      <c r="E2194" t="s">
        <v>17</v>
      </c>
      <c r="F2194" s="9">
        <v>1410.84</v>
      </c>
      <c r="G2194" s="4">
        <v>37</v>
      </c>
      <c r="H2194" s="8">
        <f t="shared" si="34"/>
        <v>37</v>
      </c>
      <c r="I2194" s="10">
        <v>1</v>
      </c>
    </row>
    <row r="2195" spans="1:9" ht="15.75" thickBot="1" x14ac:dyDescent="0.3">
      <c r="A2195" s="1">
        <v>43800</v>
      </c>
      <c r="B2195" s="8" t="s">
        <v>6</v>
      </c>
      <c r="C2195" t="s">
        <v>7</v>
      </c>
      <c r="D2195" t="s">
        <v>549</v>
      </c>
      <c r="E2195" t="s">
        <v>11</v>
      </c>
      <c r="F2195" s="9">
        <v>125471.72</v>
      </c>
      <c r="G2195" s="7">
        <v>565110.90500000003</v>
      </c>
      <c r="H2195" s="8">
        <f t="shared" si="34"/>
        <v>565110.90500000003</v>
      </c>
      <c r="I2195" s="10">
        <v>88</v>
      </c>
    </row>
    <row r="2196" spans="1:9" ht="15.75" thickBot="1" x14ac:dyDescent="0.3">
      <c r="A2196" s="1">
        <v>43466</v>
      </c>
      <c r="B2196" s="8" t="s">
        <v>6</v>
      </c>
      <c r="C2196" t="s">
        <v>7</v>
      </c>
      <c r="D2196" t="s">
        <v>549</v>
      </c>
      <c r="E2196" t="s">
        <v>13</v>
      </c>
      <c r="F2196" s="9">
        <v>5276.98</v>
      </c>
      <c r="G2196" s="7">
        <v>158731.283</v>
      </c>
      <c r="H2196" s="8">
        <f t="shared" si="34"/>
        <v>158731.283</v>
      </c>
      <c r="I2196" s="10">
        <v>23</v>
      </c>
    </row>
    <row r="2197" spans="1:9" ht="15.75" thickBot="1" x14ac:dyDescent="0.3">
      <c r="A2197" s="1">
        <v>43466</v>
      </c>
      <c r="B2197" s="8" t="s">
        <v>6</v>
      </c>
      <c r="C2197" t="s">
        <v>7</v>
      </c>
      <c r="D2197" t="s">
        <v>550</v>
      </c>
      <c r="E2197" t="s">
        <v>9</v>
      </c>
      <c r="F2197" s="9">
        <v>20491.45</v>
      </c>
      <c r="G2197" s="4">
        <v>557</v>
      </c>
      <c r="H2197" s="8">
        <f t="shared" si="34"/>
        <v>557</v>
      </c>
      <c r="I2197" s="10">
        <v>12</v>
      </c>
    </row>
    <row r="2198" spans="1:9" ht="15.75" thickBot="1" x14ac:dyDescent="0.3">
      <c r="A2198" s="1">
        <v>43466</v>
      </c>
      <c r="B2198" s="8" t="s">
        <v>6</v>
      </c>
      <c r="C2198" t="s">
        <v>7</v>
      </c>
      <c r="D2198" t="s">
        <v>550</v>
      </c>
      <c r="E2198" t="s">
        <v>15</v>
      </c>
      <c r="F2198" s="9">
        <v>12834.67</v>
      </c>
      <c r="G2198" s="7">
        <v>128622.355</v>
      </c>
      <c r="H2198" s="8">
        <f t="shared" si="34"/>
        <v>128622.355</v>
      </c>
      <c r="I2198" s="10">
        <v>4</v>
      </c>
    </row>
    <row r="2199" spans="1:9" ht="15.75" thickBot="1" x14ac:dyDescent="0.3">
      <c r="A2199" s="1">
        <v>43800</v>
      </c>
      <c r="B2199" s="8" t="s">
        <v>6</v>
      </c>
      <c r="C2199" t="s">
        <v>7</v>
      </c>
      <c r="D2199" t="s">
        <v>550</v>
      </c>
      <c r="E2199" t="s">
        <v>10</v>
      </c>
      <c r="F2199" s="9">
        <v>1130606.92</v>
      </c>
      <c r="G2199" s="6">
        <v>43554734.912</v>
      </c>
      <c r="H2199" s="8">
        <f t="shared" si="34"/>
        <v>43554.734912</v>
      </c>
      <c r="I2199" s="10">
        <v>4744</v>
      </c>
    </row>
    <row r="2200" spans="1:9" ht="15.75" thickBot="1" x14ac:dyDescent="0.3">
      <c r="A2200" s="1">
        <v>43800</v>
      </c>
      <c r="B2200" s="8" t="s">
        <v>6</v>
      </c>
      <c r="C2200" t="s">
        <v>7</v>
      </c>
      <c r="D2200" t="s">
        <v>550</v>
      </c>
      <c r="E2200" t="s">
        <v>11</v>
      </c>
      <c r="F2200" s="9">
        <v>105859.8</v>
      </c>
      <c r="G2200" s="7">
        <v>14884.267</v>
      </c>
      <c r="H2200" s="8">
        <f t="shared" si="34"/>
        <v>14884.267</v>
      </c>
      <c r="I2200" s="10">
        <v>48</v>
      </c>
    </row>
    <row r="2201" spans="1:9" ht="15.75" thickBot="1" x14ac:dyDescent="0.3">
      <c r="A2201" s="1">
        <v>43800</v>
      </c>
      <c r="B2201" s="8" t="s">
        <v>6</v>
      </c>
      <c r="C2201" t="s">
        <v>7</v>
      </c>
      <c r="D2201" t="s">
        <v>550</v>
      </c>
      <c r="E2201" t="s">
        <v>13</v>
      </c>
      <c r="F2201" s="9">
        <v>4754.32</v>
      </c>
      <c r="G2201" s="7">
        <v>121058</v>
      </c>
      <c r="H2201" s="8">
        <f t="shared" si="34"/>
        <v>121058</v>
      </c>
      <c r="I2201" s="10">
        <v>19</v>
      </c>
    </row>
    <row r="2202" spans="1:9" ht="15.75" thickBot="1" x14ac:dyDescent="0.3">
      <c r="A2202" s="1">
        <v>43800</v>
      </c>
      <c r="B2202" s="8" t="s">
        <v>6</v>
      </c>
      <c r="C2202" t="s">
        <v>7</v>
      </c>
      <c r="D2202" t="s">
        <v>551</v>
      </c>
      <c r="E2202" t="s">
        <v>9</v>
      </c>
      <c r="F2202" s="9">
        <v>7371.74</v>
      </c>
      <c r="G2202" s="4">
        <v>241</v>
      </c>
      <c r="H2202" s="8">
        <f t="shared" si="34"/>
        <v>241</v>
      </c>
      <c r="I2202" s="10">
        <v>10</v>
      </c>
    </row>
    <row r="2203" spans="1:9" ht="15.75" thickBot="1" x14ac:dyDescent="0.3">
      <c r="A2203" s="1">
        <v>43466</v>
      </c>
      <c r="B2203" s="8" t="s">
        <v>6</v>
      </c>
      <c r="C2203" t="s">
        <v>7</v>
      </c>
      <c r="D2203" t="s">
        <v>551</v>
      </c>
      <c r="E2203" t="s">
        <v>15</v>
      </c>
      <c r="F2203" s="9">
        <v>10673.73</v>
      </c>
      <c r="G2203" s="4">
        <v>315</v>
      </c>
      <c r="H2203" s="8">
        <f t="shared" si="34"/>
        <v>315</v>
      </c>
      <c r="I2203" s="10">
        <v>13</v>
      </c>
    </row>
    <row r="2204" spans="1:9" ht="15.75" thickBot="1" x14ac:dyDescent="0.3">
      <c r="A2204" s="1">
        <v>43466</v>
      </c>
      <c r="B2204" s="8" t="s">
        <v>6</v>
      </c>
      <c r="C2204" t="s">
        <v>7</v>
      </c>
      <c r="D2204" t="s">
        <v>551</v>
      </c>
      <c r="E2204" t="s">
        <v>10</v>
      </c>
      <c r="F2204" s="9">
        <v>779466.73</v>
      </c>
      <c r="G2204" s="6">
        <v>29712392.147</v>
      </c>
      <c r="H2204" s="8">
        <f t="shared" si="34"/>
        <v>29712.392146999999</v>
      </c>
      <c r="I2204" s="10">
        <v>2124</v>
      </c>
    </row>
    <row r="2205" spans="1:9" ht="15.75" thickBot="1" x14ac:dyDescent="0.3">
      <c r="A2205" s="1">
        <v>43466</v>
      </c>
      <c r="B2205" s="8" t="s">
        <v>6</v>
      </c>
      <c r="C2205" t="s">
        <v>7</v>
      </c>
      <c r="D2205" t="s">
        <v>551</v>
      </c>
      <c r="E2205" t="s">
        <v>17</v>
      </c>
      <c r="F2205" s="9">
        <v>4629.87</v>
      </c>
      <c r="G2205" s="4">
        <v>151</v>
      </c>
      <c r="H2205" s="8">
        <f t="shared" si="34"/>
        <v>151</v>
      </c>
      <c r="I2205" s="10">
        <v>1</v>
      </c>
    </row>
    <row r="2206" spans="1:9" ht="15.75" thickBot="1" x14ac:dyDescent="0.3">
      <c r="A2206" s="1">
        <v>43800</v>
      </c>
      <c r="B2206" s="8" t="s">
        <v>6</v>
      </c>
      <c r="C2206" t="s">
        <v>7</v>
      </c>
      <c r="D2206" t="s">
        <v>551</v>
      </c>
      <c r="E2206" t="s">
        <v>11</v>
      </c>
      <c r="F2206" s="9">
        <v>93605.05</v>
      </c>
      <c r="G2206" s="4">
        <v>2964</v>
      </c>
      <c r="H2206" s="8">
        <f t="shared" si="34"/>
        <v>2964</v>
      </c>
      <c r="I2206" s="10">
        <v>23</v>
      </c>
    </row>
    <row r="2207" spans="1:9" ht="15.75" thickBot="1" x14ac:dyDescent="0.3">
      <c r="A2207" s="1">
        <v>43800</v>
      </c>
      <c r="B2207" s="8" t="s">
        <v>6</v>
      </c>
      <c r="C2207" t="s">
        <v>7</v>
      </c>
      <c r="D2207" t="s">
        <v>551</v>
      </c>
      <c r="E2207" t="s">
        <v>13</v>
      </c>
      <c r="F2207" s="9">
        <v>5599.04</v>
      </c>
      <c r="G2207" s="7">
        <v>166033</v>
      </c>
      <c r="H2207" s="8">
        <f t="shared" si="34"/>
        <v>166033</v>
      </c>
      <c r="I2207" s="10">
        <v>15</v>
      </c>
    </row>
    <row r="2208" spans="1:9" ht="15.75" thickBot="1" x14ac:dyDescent="0.3">
      <c r="A2208" s="1">
        <v>43800</v>
      </c>
      <c r="B2208" s="8" t="s">
        <v>6</v>
      </c>
      <c r="C2208" t="s">
        <v>7</v>
      </c>
      <c r="D2208" t="s">
        <v>552</v>
      </c>
      <c r="E2208" t="s">
        <v>9</v>
      </c>
      <c r="F2208" s="9">
        <v>3616.11</v>
      </c>
      <c r="G2208" s="4">
        <v>96</v>
      </c>
      <c r="H2208" s="8">
        <f t="shared" si="34"/>
        <v>96</v>
      </c>
      <c r="I2208" s="10">
        <v>4</v>
      </c>
    </row>
    <row r="2209" spans="1:9" ht="15.75" thickBot="1" x14ac:dyDescent="0.3">
      <c r="A2209" s="1">
        <v>43800</v>
      </c>
      <c r="B2209" s="8" t="s">
        <v>6</v>
      </c>
      <c r="C2209" t="s">
        <v>7</v>
      </c>
      <c r="D2209" t="s">
        <v>552</v>
      </c>
      <c r="E2209" t="s">
        <v>15</v>
      </c>
      <c r="F2209" s="9">
        <v>10382.08</v>
      </c>
      <c r="G2209" s="4">
        <v>240</v>
      </c>
      <c r="H2209" s="8">
        <f t="shared" si="34"/>
        <v>240</v>
      </c>
      <c r="I2209" s="10">
        <v>12</v>
      </c>
    </row>
    <row r="2210" spans="1:9" ht="15.75" thickBot="1" x14ac:dyDescent="0.3">
      <c r="A2210" s="1">
        <v>43466</v>
      </c>
      <c r="B2210" s="8" t="s">
        <v>6</v>
      </c>
      <c r="C2210" t="s">
        <v>7</v>
      </c>
      <c r="D2210" t="s">
        <v>552</v>
      </c>
      <c r="E2210" t="s">
        <v>10</v>
      </c>
      <c r="F2210" s="9">
        <v>88894.69</v>
      </c>
      <c r="G2210" s="6">
        <v>19068756.162</v>
      </c>
      <c r="H2210" s="8">
        <f t="shared" si="34"/>
        <v>19068.756162000001</v>
      </c>
      <c r="I2210" s="10">
        <v>1757</v>
      </c>
    </row>
    <row r="2211" spans="1:9" ht="15.75" thickBot="1" x14ac:dyDescent="0.3">
      <c r="A2211" s="1">
        <v>43466</v>
      </c>
      <c r="B2211" s="8" t="s">
        <v>6</v>
      </c>
      <c r="C2211" t="s">
        <v>7</v>
      </c>
      <c r="D2211" t="s">
        <v>552</v>
      </c>
      <c r="E2211" t="s">
        <v>11</v>
      </c>
      <c r="F2211" s="9">
        <v>46034.93</v>
      </c>
      <c r="G2211" s="7">
        <v>33491.536999999997</v>
      </c>
      <c r="H2211" s="8">
        <f t="shared" si="34"/>
        <v>33491.536999999997</v>
      </c>
      <c r="I2211" s="10">
        <v>17</v>
      </c>
    </row>
    <row r="2212" spans="1:9" ht="15.75" thickBot="1" x14ac:dyDescent="0.3">
      <c r="A2212" s="1">
        <v>43466</v>
      </c>
      <c r="B2212" s="8" t="s">
        <v>6</v>
      </c>
      <c r="C2212" t="s">
        <v>7</v>
      </c>
      <c r="D2212" t="s">
        <v>552</v>
      </c>
      <c r="E2212" t="s">
        <v>13</v>
      </c>
      <c r="F2212" s="9">
        <v>0</v>
      </c>
      <c r="G2212" s="6">
        <v>67628.570999999996</v>
      </c>
      <c r="H2212" s="8">
        <f t="shared" si="34"/>
        <v>67628.570999999996</v>
      </c>
      <c r="I2212" s="10">
        <v>8</v>
      </c>
    </row>
    <row r="2213" spans="1:9" ht="15.75" thickBot="1" x14ac:dyDescent="0.3">
      <c r="A2213" s="1">
        <v>43800</v>
      </c>
      <c r="B2213" s="8" t="s">
        <v>6</v>
      </c>
      <c r="C2213" t="s">
        <v>7</v>
      </c>
      <c r="D2213" t="s">
        <v>553</v>
      </c>
      <c r="E2213" t="s">
        <v>9</v>
      </c>
      <c r="F2213" s="9">
        <v>6957.21</v>
      </c>
      <c r="G2213" s="4">
        <v>249</v>
      </c>
      <c r="H2213" s="8">
        <f t="shared" si="34"/>
        <v>249</v>
      </c>
      <c r="I2213" s="10">
        <v>1</v>
      </c>
    </row>
    <row r="2214" spans="1:9" ht="15.75" thickBot="1" x14ac:dyDescent="0.3">
      <c r="A2214" s="1">
        <v>43800</v>
      </c>
      <c r="B2214" s="8" t="s">
        <v>6</v>
      </c>
      <c r="C2214" t="s">
        <v>7</v>
      </c>
      <c r="D2214" t="s">
        <v>553</v>
      </c>
      <c r="E2214" t="s">
        <v>15</v>
      </c>
      <c r="F2214" s="9">
        <v>2724.08</v>
      </c>
      <c r="G2214" s="4">
        <v>94</v>
      </c>
      <c r="H2214" s="8">
        <f t="shared" si="34"/>
        <v>94</v>
      </c>
      <c r="I2214" s="10">
        <v>2</v>
      </c>
    </row>
    <row r="2215" spans="1:9" ht="15.75" thickBot="1" x14ac:dyDescent="0.3">
      <c r="A2215" s="1">
        <v>43800</v>
      </c>
      <c r="B2215" s="8" t="s">
        <v>6</v>
      </c>
      <c r="C2215" t="s">
        <v>7</v>
      </c>
      <c r="D2215" t="s">
        <v>553</v>
      </c>
      <c r="E2215" t="s">
        <v>10</v>
      </c>
      <c r="F2215" s="9">
        <v>132210.29</v>
      </c>
      <c r="G2215" s="6">
        <v>4808680.9620000003</v>
      </c>
      <c r="H2215" s="8">
        <f t="shared" si="34"/>
        <v>4808.6809620000004</v>
      </c>
      <c r="I2215" s="10">
        <v>612</v>
      </c>
    </row>
    <row r="2216" spans="1:9" ht="15.75" thickBot="1" x14ac:dyDescent="0.3">
      <c r="A2216" s="1">
        <v>43800</v>
      </c>
      <c r="B2216" s="8" t="s">
        <v>6</v>
      </c>
      <c r="C2216" t="s">
        <v>7</v>
      </c>
      <c r="D2216" t="s">
        <v>553</v>
      </c>
      <c r="E2216" t="s">
        <v>13</v>
      </c>
      <c r="F2216" s="9">
        <v>322.77</v>
      </c>
      <c r="G2216" s="6">
        <v>13000</v>
      </c>
      <c r="H2216" s="8">
        <f t="shared" si="34"/>
        <v>13000</v>
      </c>
      <c r="I2216" s="10">
        <v>2</v>
      </c>
    </row>
    <row r="2217" spans="1:9" ht="15.75" thickBot="1" x14ac:dyDescent="0.3">
      <c r="A2217" s="1">
        <v>43466</v>
      </c>
      <c r="B2217" s="8" t="s">
        <v>6</v>
      </c>
      <c r="C2217" t="s">
        <v>7</v>
      </c>
      <c r="D2217" t="s">
        <v>554</v>
      </c>
      <c r="E2217" t="s">
        <v>15</v>
      </c>
      <c r="F2217" s="9">
        <v>5671.59</v>
      </c>
      <c r="G2217" s="4">
        <v>44</v>
      </c>
      <c r="H2217" s="8">
        <f t="shared" si="34"/>
        <v>44</v>
      </c>
      <c r="I2217" s="10">
        <v>8</v>
      </c>
    </row>
    <row r="2218" spans="1:9" ht="15.75" thickBot="1" x14ac:dyDescent="0.3">
      <c r="A2218" s="1">
        <v>43466</v>
      </c>
      <c r="B2218" s="8" t="s">
        <v>6</v>
      </c>
      <c r="C2218" t="s">
        <v>7</v>
      </c>
      <c r="D2218" t="s">
        <v>554</v>
      </c>
      <c r="E2218" t="s">
        <v>10</v>
      </c>
      <c r="F2218" s="9">
        <v>265438.75</v>
      </c>
      <c r="G2218" s="6">
        <v>8511011.4460000005</v>
      </c>
      <c r="H2218" s="8">
        <f t="shared" si="34"/>
        <v>8511.0114460000004</v>
      </c>
      <c r="I2218" s="10">
        <v>680</v>
      </c>
    </row>
    <row r="2219" spans="1:9" ht="15.75" thickBot="1" x14ac:dyDescent="0.3">
      <c r="A2219" s="1">
        <v>43466</v>
      </c>
      <c r="B2219" s="8" t="s">
        <v>6</v>
      </c>
      <c r="C2219" t="s">
        <v>7</v>
      </c>
      <c r="D2219" t="s">
        <v>554</v>
      </c>
      <c r="E2219" t="s">
        <v>11</v>
      </c>
      <c r="F2219" s="9">
        <v>1445.12</v>
      </c>
      <c r="G2219" s="6">
        <v>45000</v>
      </c>
      <c r="H2219" s="8">
        <f t="shared" si="34"/>
        <v>45000</v>
      </c>
      <c r="I2219" s="10">
        <v>6</v>
      </c>
    </row>
    <row r="2220" spans="1:9" ht="15.75" thickBot="1" x14ac:dyDescent="0.3">
      <c r="A2220" s="1">
        <v>43800</v>
      </c>
      <c r="B2220" s="8" t="s">
        <v>6</v>
      </c>
      <c r="C2220" t="s">
        <v>7</v>
      </c>
      <c r="D2220" t="s">
        <v>554</v>
      </c>
      <c r="E2220" t="s">
        <v>13</v>
      </c>
      <c r="F2220" s="9">
        <v>2813.79</v>
      </c>
      <c r="G2220" s="6">
        <v>89000</v>
      </c>
      <c r="H2220" s="8">
        <f t="shared" si="34"/>
        <v>89000</v>
      </c>
      <c r="I2220" s="10">
        <v>9</v>
      </c>
    </row>
    <row r="2221" spans="1:9" ht="15.75" thickBot="1" x14ac:dyDescent="0.3">
      <c r="A2221" s="1">
        <v>43800</v>
      </c>
      <c r="B2221" s="8" t="s">
        <v>6</v>
      </c>
      <c r="C2221" t="s">
        <v>7</v>
      </c>
      <c r="D2221" t="s">
        <v>555</v>
      </c>
      <c r="E2221" t="s">
        <v>10</v>
      </c>
      <c r="F2221" s="9">
        <v>24002.78</v>
      </c>
      <c r="G2221" s="7">
        <v>836839.66599999997</v>
      </c>
      <c r="H2221" s="8">
        <f t="shared" si="34"/>
        <v>836.83966599999997</v>
      </c>
      <c r="I2221" s="10">
        <v>48</v>
      </c>
    </row>
    <row r="2222" spans="1:9" ht="15.75" thickBot="1" x14ac:dyDescent="0.3">
      <c r="A2222" s="1">
        <v>43800</v>
      </c>
      <c r="B2222" s="8" t="s">
        <v>6</v>
      </c>
      <c r="C2222" t="s">
        <v>7</v>
      </c>
      <c r="D2222" t="s">
        <v>555</v>
      </c>
      <c r="E2222" t="s">
        <v>13</v>
      </c>
      <c r="F2222" s="9">
        <v>195.27</v>
      </c>
      <c r="G2222" s="6">
        <v>6389.84</v>
      </c>
      <c r="H2222" s="8">
        <f t="shared" si="34"/>
        <v>6389.84</v>
      </c>
      <c r="I2222" s="10">
        <v>1</v>
      </c>
    </row>
    <row r="2223" spans="1:9" ht="15.75" thickBot="1" x14ac:dyDescent="0.3">
      <c r="A2223" s="1">
        <v>43800</v>
      </c>
      <c r="B2223" s="8" t="s">
        <v>6</v>
      </c>
      <c r="C2223" t="s">
        <v>7</v>
      </c>
      <c r="D2223" t="s">
        <v>556</v>
      </c>
      <c r="E2223" t="s">
        <v>9</v>
      </c>
      <c r="F2223" s="9">
        <v>43527.48</v>
      </c>
      <c r="G2223" s="4">
        <v>1238</v>
      </c>
      <c r="H2223" s="8">
        <f t="shared" si="34"/>
        <v>1238</v>
      </c>
      <c r="I2223" s="10">
        <v>8</v>
      </c>
    </row>
    <row r="2224" spans="1:9" ht="15.75" thickBot="1" x14ac:dyDescent="0.3">
      <c r="A2224" s="1">
        <v>43466</v>
      </c>
      <c r="B2224" s="8" t="s">
        <v>6</v>
      </c>
      <c r="C2224" t="s">
        <v>7</v>
      </c>
      <c r="D2224" t="s">
        <v>556</v>
      </c>
      <c r="E2224" t="s">
        <v>10</v>
      </c>
      <c r="F2224" s="9">
        <v>8500.8700000000008</v>
      </c>
      <c r="G2224" s="6">
        <v>184982.79399999999</v>
      </c>
      <c r="H2224" s="8">
        <f t="shared" si="34"/>
        <v>184.98279399999998</v>
      </c>
      <c r="I2224" s="10">
        <v>37</v>
      </c>
    </row>
    <row r="2225" spans="1:9" ht="15.75" thickBot="1" x14ac:dyDescent="0.3">
      <c r="A2225" s="1">
        <v>43466</v>
      </c>
      <c r="B2225" s="8" t="s">
        <v>6</v>
      </c>
      <c r="C2225" t="s">
        <v>7</v>
      </c>
      <c r="D2225" t="s">
        <v>556</v>
      </c>
      <c r="E2225" t="s">
        <v>17</v>
      </c>
      <c r="F2225" s="9">
        <v>40875.040000000001</v>
      </c>
      <c r="G2225" s="4">
        <v>907</v>
      </c>
      <c r="H2225" s="8">
        <f t="shared" si="34"/>
        <v>907</v>
      </c>
      <c r="I2225" s="10">
        <v>33</v>
      </c>
    </row>
    <row r="2226" spans="1:9" ht="15.75" thickBot="1" x14ac:dyDescent="0.3">
      <c r="A2226" s="1">
        <v>43466</v>
      </c>
      <c r="B2226" s="8" t="s">
        <v>6</v>
      </c>
      <c r="C2226" t="s">
        <v>7</v>
      </c>
      <c r="D2226" t="s">
        <v>556</v>
      </c>
      <c r="E2226" t="s">
        <v>11</v>
      </c>
      <c r="F2226" s="9">
        <v>12841.42</v>
      </c>
      <c r="G2226" s="4">
        <v>37</v>
      </c>
      <c r="H2226" s="8">
        <f t="shared" si="34"/>
        <v>37</v>
      </c>
      <c r="I2226" s="10">
        <v>47</v>
      </c>
    </row>
    <row r="2227" spans="1:9" ht="15.75" thickBot="1" x14ac:dyDescent="0.3">
      <c r="A2227" s="1">
        <v>43800</v>
      </c>
      <c r="B2227" s="8" t="s">
        <v>6</v>
      </c>
      <c r="C2227" t="s">
        <v>7</v>
      </c>
      <c r="D2227" t="s">
        <v>556</v>
      </c>
      <c r="E2227" t="s">
        <v>13</v>
      </c>
      <c r="F2227" s="9">
        <v>1586.8</v>
      </c>
      <c r="G2227" s="4">
        <v>52</v>
      </c>
      <c r="H2227" s="8">
        <f t="shared" si="34"/>
        <v>52</v>
      </c>
      <c r="I2227" s="10">
        <v>1</v>
      </c>
    </row>
    <row r="2228" spans="1:9" ht="15.75" thickBot="1" x14ac:dyDescent="0.3">
      <c r="A2228" s="1">
        <v>43800</v>
      </c>
      <c r="B2228" s="8" t="s">
        <v>6</v>
      </c>
      <c r="C2228" t="s">
        <v>7</v>
      </c>
      <c r="D2228" t="s">
        <v>557</v>
      </c>
      <c r="E2228" t="s">
        <v>9</v>
      </c>
      <c r="F2228" s="9">
        <v>40109.68</v>
      </c>
      <c r="G2228" s="4">
        <v>1387</v>
      </c>
      <c r="H2228" s="8">
        <f t="shared" si="34"/>
        <v>1387</v>
      </c>
      <c r="I2228" s="10">
        <v>23</v>
      </c>
    </row>
    <row r="2229" spans="1:9" ht="15.75" thickBot="1" x14ac:dyDescent="0.3">
      <c r="A2229" s="1">
        <v>43800</v>
      </c>
      <c r="B2229" s="8" t="s">
        <v>6</v>
      </c>
      <c r="C2229" t="s">
        <v>7</v>
      </c>
      <c r="D2229" t="s">
        <v>557</v>
      </c>
      <c r="E2229" t="s">
        <v>15</v>
      </c>
      <c r="F2229" s="9">
        <v>110517.57</v>
      </c>
      <c r="G2229" s="7">
        <v>2077435.9069999999</v>
      </c>
      <c r="H2229" s="8">
        <f t="shared" si="34"/>
        <v>2077435.9069999999</v>
      </c>
      <c r="I2229" s="10">
        <v>26</v>
      </c>
    </row>
    <row r="2230" spans="1:9" ht="15.75" thickBot="1" x14ac:dyDescent="0.3">
      <c r="A2230" s="1">
        <v>43800</v>
      </c>
      <c r="B2230" s="8" t="s">
        <v>6</v>
      </c>
      <c r="C2230" t="s">
        <v>7</v>
      </c>
      <c r="D2230" t="s">
        <v>557</v>
      </c>
      <c r="E2230" t="s">
        <v>10</v>
      </c>
      <c r="F2230" s="9">
        <v>576923.04</v>
      </c>
      <c r="G2230" s="6">
        <v>24028376.377999999</v>
      </c>
      <c r="H2230" s="8">
        <f t="shared" si="34"/>
        <v>24028.376377999997</v>
      </c>
      <c r="I2230" s="10">
        <v>2517</v>
      </c>
    </row>
    <row r="2231" spans="1:9" ht="15.75" thickBot="1" x14ac:dyDescent="0.3">
      <c r="A2231" s="1">
        <v>43466</v>
      </c>
      <c r="B2231" s="8" t="s">
        <v>6</v>
      </c>
      <c r="C2231" t="s">
        <v>7</v>
      </c>
      <c r="D2231" t="s">
        <v>557</v>
      </c>
      <c r="E2231" t="s">
        <v>11</v>
      </c>
      <c r="F2231" s="9">
        <v>52599.14</v>
      </c>
      <c r="G2231" s="7">
        <v>93750.796000000002</v>
      </c>
      <c r="H2231" s="8">
        <f t="shared" si="34"/>
        <v>93750.796000000002</v>
      </c>
      <c r="I2231" s="10">
        <v>78</v>
      </c>
    </row>
    <row r="2232" spans="1:9" ht="15.75" thickBot="1" x14ac:dyDescent="0.3">
      <c r="A2232" s="1">
        <v>43466</v>
      </c>
      <c r="B2232" s="8" t="s">
        <v>6</v>
      </c>
      <c r="C2232" t="s">
        <v>7</v>
      </c>
      <c r="D2232" t="s">
        <v>557</v>
      </c>
      <c r="E2232" t="s">
        <v>13</v>
      </c>
      <c r="F2232" s="9">
        <v>1516.28</v>
      </c>
      <c r="G2232" s="6">
        <v>40176.699999999997</v>
      </c>
      <c r="H2232" s="8">
        <f t="shared" si="34"/>
        <v>40176.699999999997</v>
      </c>
      <c r="I2232" s="10">
        <v>12</v>
      </c>
    </row>
    <row r="2233" spans="1:9" ht="15.75" thickBot="1" x14ac:dyDescent="0.3">
      <c r="A2233" s="1">
        <v>43466</v>
      </c>
      <c r="B2233" s="8" t="s">
        <v>6</v>
      </c>
      <c r="C2233" t="s">
        <v>7</v>
      </c>
      <c r="D2233" t="s">
        <v>558</v>
      </c>
      <c r="E2233" t="s">
        <v>9</v>
      </c>
      <c r="F2233" s="9">
        <v>112945.96</v>
      </c>
      <c r="G2233" s="4">
        <v>3310</v>
      </c>
      <c r="H2233" s="8">
        <f t="shared" si="34"/>
        <v>3310</v>
      </c>
      <c r="I2233" s="10">
        <v>73</v>
      </c>
    </row>
    <row r="2234" spans="1:9" ht="15.75" thickBot="1" x14ac:dyDescent="0.3">
      <c r="A2234" s="1">
        <v>43800</v>
      </c>
      <c r="B2234" s="8" t="s">
        <v>6</v>
      </c>
      <c r="C2234" t="s">
        <v>7</v>
      </c>
      <c r="D2234" t="s">
        <v>558</v>
      </c>
      <c r="E2234" t="s">
        <v>15</v>
      </c>
      <c r="F2234" s="9">
        <v>49312.19</v>
      </c>
      <c r="G2234" s="7">
        <v>243040.712</v>
      </c>
      <c r="H2234" s="8">
        <f t="shared" si="34"/>
        <v>243040.712</v>
      </c>
      <c r="I2234" s="10">
        <v>36</v>
      </c>
    </row>
    <row r="2235" spans="1:9" ht="15.75" thickBot="1" x14ac:dyDescent="0.3">
      <c r="A2235" s="1">
        <v>43800</v>
      </c>
      <c r="B2235" s="8" t="s">
        <v>6</v>
      </c>
      <c r="C2235" t="s">
        <v>7</v>
      </c>
      <c r="D2235" t="s">
        <v>558</v>
      </c>
      <c r="E2235" t="s">
        <v>10</v>
      </c>
      <c r="F2235" s="9">
        <v>974850.85</v>
      </c>
      <c r="G2235" s="7">
        <v>41624516.160999998</v>
      </c>
      <c r="H2235" s="8">
        <f t="shared" si="34"/>
        <v>41624.516161</v>
      </c>
      <c r="I2235" s="10">
        <v>4127</v>
      </c>
    </row>
    <row r="2236" spans="1:9" ht="15.75" thickBot="1" x14ac:dyDescent="0.3">
      <c r="A2236" s="1">
        <v>43800</v>
      </c>
      <c r="B2236" s="8" t="s">
        <v>6</v>
      </c>
      <c r="C2236" t="s">
        <v>7</v>
      </c>
      <c r="D2236" t="s">
        <v>558</v>
      </c>
      <c r="E2236" t="s">
        <v>17</v>
      </c>
      <c r="F2236" s="9">
        <v>211263.08</v>
      </c>
      <c r="G2236" s="4">
        <v>5632</v>
      </c>
      <c r="H2236" s="8">
        <f t="shared" si="34"/>
        <v>5632</v>
      </c>
      <c r="I2236" s="10">
        <v>50</v>
      </c>
    </row>
    <row r="2237" spans="1:9" ht="15.75" thickBot="1" x14ac:dyDescent="0.3">
      <c r="A2237" s="1">
        <v>43800</v>
      </c>
      <c r="B2237" s="8" t="s">
        <v>6</v>
      </c>
      <c r="C2237" t="s">
        <v>7</v>
      </c>
      <c r="D2237" t="s">
        <v>558</v>
      </c>
      <c r="E2237" t="s">
        <v>11</v>
      </c>
      <c r="F2237" s="9">
        <v>124801.48</v>
      </c>
      <c r="G2237" s="7">
        <v>444429.52100000001</v>
      </c>
      <c r="H2237" s="8">
        <f t="shared" si="34"/>
        <v>444429.52100000001</v>
      </c>
      <c r="I2237" s="10">
        <v>111</v>
      </c>
    </row>
    <row r="2238" spans="1:9" ht="15.75" thickBot="1" x14ac:dyDescent="0.3">
      <c r="A2238" s="1">
        <v>43466</v>
      </c>
      <c r="B2238" s="8" t="s">
        <v>6</v>
      </c>
      <c r="C2238" t="s">
        <v>7</v>
      </c>
      <c r="D2238" t="s">
        <v>558</v>
      </c>
      <c r="E2238" t="s">
        <v>13</v>
      </c>
      <c r="F2238" s="9">
        <v>5034.53</v>
      </c>
      <c r="G2238" s="7">
        <v>160894.03599999999</v>
      </c>
      <c r="H2238" s="8">
        <f t="shared" si="34"/>
        <v>160894.03599999999</v>
      </c>
      <c r="I2238" s="10">
        <v>21</v>
      </c>
    </row>
    <row r="2239" spans="1:9" ht="15.75" thickBot="1" x14ac:dyDescent="0.3">
      <c r="A2239" s="1">
        <v>43466</v>
      </c>
      <c r="B2239" s="8" t="s">
        <v>6</v>
      </c>
      <c r="C2239" t="s">
        <v>7</v>
      </c>
      <c r="D2239" t="s">
        <v>559</v>
      </c>
      <c r="E2239" t="s">
        <v>9</v>
      </c>
      <c r="F2239" s="9">
        <v>3976.07</v>
      </c>
      <c r="G2239" s="4">
        <v>119</v>
      </c>
      <c r="H2239" s="8">
        <f t="shared" si="34"/>
        <v>119</v>
      </c>
      <c r="I2239" s="10">
        <v>9</v>
      </c>
    </row>
    <row r="2240" spans="1:9" ht="15.75" thickBot="1" x14ac:dyDescent="0.3">
      <c r="A2240" s="1">
        <v>43466</v>
      </c>
      <c r="B2240" s="8" t="s">
        <v>6</v>
      </c>
      <c r="C2240" t="s">
        <v>7</v>
      </c>
      <c r="D2240" t="s">
        <v>559</v>
      </c>
      <c r="E2240" t="s">
        <v>15</v>
      </c>
      <c r="F2240" s="9">
        <v>100</v>
      </c>
      <c r="G2240" s="4">
        <v>0</v>
      </c>
      <c r="H2240" s="8">
        <f t="shared" si="34"/>
        <v>0</v>
      </c>
      <c r="I2240" s="10">
        <v>1</v>
      </c>
    </row>
    <row r="2241" spans="1:9" ht="15.75" thickBot="1" x14ac:dyDescent="0.3">
      <c r="A2241" s="1">
        <v>43800</v>
      </c>
      <c r="B2241" s="8" t="s">
        <v>6</v>
      </c>
      <c r="C2241" t="s">
        <v>7</v>
      </c>
      <c r="D2241" t="s">
        <v>559</v>
      </c>
      <c r="E2241" t="s">
        <v>10</v>
      </c>
      <c r="F2241" s="9">
        <v>32522.37</v>
      </c>
      <c r="G2241" s="6">
        <v>1134208.1329999999</v>
      </c>
      <c r="H2241" s="8">
        <f t="shared" si="34"/>
        <v>1134.2081329999999</v>
      </c>
      <c r="I2241" s="10">
        <v>106</v>
      </c>
    </row>
    <row r="2242" spans="1:9" ht="15.75" thickBot="1" x14ac:dyDescent="0.3">
      <c r="A2242" s="1">
        <v>43800</v>
      </c>
      <c r="B2242" s="8" t="s">
        <v>6</v>
      </c>
      <c r="C2242" t="s">
        <v>7</v>
      </c>
      <c r="D2242" t="s">
        <v>559</v>
      </c>
      <c r="E2242" t="s">
        <v>11</v>
      </c>
      <c r="F2242" s="9">
        <v>3599.09</v>
      </c>
      <c r="G2242" s="4">
        <v>107</v>
      </c>
      <c r="H2242" s="8">
        <f t="shared" ref="H2242:H2305" si="35">IF(ISNUMBER(SEARCH("Domestic customer", E2242)),G2242/1000,G2242)</f>
        <v>107</v>
      </c>
      <c r="I2242" s="10">
        <v>8</v>
      </c>
    </row>
    <row r="2243" spans="1:9" ht="15.75" thickBot="1" x14ac:dyDescent="0.3">
      <c r="A2243" s="1">
        <v>43800</v>
      </c>
      <c r="B2243" s="8" t="s">
        <v>6</v>
      </c>
      <c r="C2243" t="s">
        <v>7</v>
      </c>
      <c r="D2243" t="s">
        <v>560</v>
      </c>
      <c r="E2243" t="s">
        <v>9</v>
      </c>
      <c r="F2243" s="9">
        <v>30336.49</v>
      </c>
      <c r="G2243" s="4">
        <v>893</v>
      </c>
      <c r="H2243" s="8">
        <f t="shared" si="35"/>
        <v>893</v>
      </c>
      <c r="I2243" s="10">
        <v>30</v>
      </c>
    </row>
    <row r="2244" spans="1:9" ht="15.75" thickBot="1" x14ac:dyDescent="0.3">
      <c r="A2244" s="1">
        <v>43800</v>
      </c>
      <c r="B2244" s="8" t="s">
        <v>6</v>
      </c>
      <c r="C2244" t="s">
        <v>7</v>
      </c>
      <c r="D2244" t="s">
        <v>560</v>
      </c>
      <c r="E2244" t="s">
        <v>15</v>
      </c>
      <c r="F2244" s="9">
        <v>13630.72</v>
      </c>
      <c r="G2244" s="4">
        <v>314</v>
      </c>
      <c r="H2244" s="8">
        <f t="shared" si="35"/>
        <v>314</v>
      </c>
      <c r="I2244" s="10">
        <v>13</v>
      </c>
    </row>
    <row r="2245" spans="1:9" ht="15.75" thickBot="1" x14ac:dyDescent="0.3">
      <c r="A2245" s="1">
        <v>43466</v>
      </c>
      <c r="B2245" s="8" t="s">
        <v>6</v>
      </c>
      <c r="C2245" t="s">
        <v>7</v>
      </c>
      <c r="D2245" t="s">
        <v>560</v>
      </c>
      <c r="E2245" t="s">
        <v>10</v>
      </c>
      <c r="F2245" s="9">
        <v>261802.95</v>
      </c>
      <c r="G2245" s="6">
        <v>9608868.3090000004</v>
      </c>
      <c r="H2245" s="8">
        <f t="shared" si="35"/>
        <v>9608.8683089999995</v>
      </c>
      <c r="I2245" s="10">
        <v>862</v>
      </c>
    </row>
    <row r="2246" spans="1:9" ht="15.75" thickBot="1" x14ac:dyDescent="0.3">
      <c r="A2246" s="1">
        <v>43466</v>
      </c>
      <c r="B2246" s="8" t="s">
        <v>6</v>
      </c>
      <c r="C2246" t="s">
        <v>7</v>
      </c>
      <c r="D2246" t="s">
        <v>560</v>
      </c>
      <c r="E2246" t="s">
        <v>11</v>
      </c>
      <c r="F2246" s="9">
        <v>12292.78</v>
      </c>
      <c r="G2246" s="7">
        <v>121824.549</v>
      </c>
      <c r="H2246" s="8">
        <f t="shared" si="35"/>
        <v>121824.549</v>
      </c>
      <c r="I2246" s="10">
        <v>8</v>
      </c>
    </row>
    <row r="2247" spans="1:9" ht="15.75" thickBot="1" x14ac:dyDescent="0.3">
      <c r="A2247" s="1">
        <v>43466</v>
      </c>
      <c r="B2247" s="8" t="s">
        <v>6</v>
      </c>
      <c r="C2247" t="s">
        <v>7</v>
      </c>
      <c r="D2247" t="s">
        <v>560</v>
      </c>
      <c r="E2247" t="s">
        <v>13</v>
      </c>
      <c r="F2247" s="9">
        <v>2663.58</v>
      </c>
      <c r="G2247" s="6">
        <v>124490</v>
      </c>
      <c r="H2247" s="8">
        <f t="shared" si="35"/>
        <v>124490</v>
      </c>
      <c r="I2247" s="10">
        <v>3</v>
      </c>
    </row>
    <row r="2248" spans="1:9" ht="15.75" thickBot="1" x14ac:dyDescent="0.3">
      <c r="A2248" s="1">
        <v>43800</v>
      </c>
      <c r="B2248" s="8" t="s">
        <v>6</v>
      </c>
      <c r="C2248" t="s">
        <v>7</v>
      </c>
      <c r="D2248" t="s">
        <v>561</v>
      </c>
      <c r="E2248" t="s">
        <v>11</v>
      </c>
      <c r="F2248" s="9">
        <v>163.13999999999999</v>
      </c>
      <c r="G2248" s="5">
        <v>0</v>
      </c>
      <c r="H2248" s="8">
        <f t="shared" si="35"/>
        <v>0</v>
      </c>
      <c r="I2248" s="10">
        <v>2</v>
      </c>
    </row>
    <row r="2249" spans="1:9" ht="15.75" thickBot="1" x14ac:dyDescent="0.3">
      <c r="A2249" s="1">
        <v>43800</v>
      </c>
      <c r="B2249" s="8" t="s">
        <v>6</v>
      </c>
      <c r="C2249" t="s">
        <v>7</v>
      </c>
      <c r="D2249" t="s">
        <v>562</v>
      </c>
      <c r="E2249" t="s">
        <v>9</v>
      </c>
      <c r="F2249" s="9">
        <v>5410.6</v>
      </c>
      <c r="G2249" s="4">
        <v>80</v>
      </c>
      <c r="H2249" s="8">
        <f t="shared" si="35"/>
        <v>80</v>
      </c>
      <c r="I2249" s="10">
        <v>3</v>
      </c>
    </row>
    <row r="2250" spans="1:9" ht="15.75" thickBot="1" x14ac:dyDescent="0.3">
      <c r="A2250" s="1">
        <v>43800</v>
      </c>
      <c r="B2250" s="8" t="s">
        <v>6</v>
      </c>
      <c r="C2250" t="s">
        <v>7</v>
      </c>
      <c r="D2250" t="s">
        <v>562</v>
      </c>
      <c r="E2250" t="s">
        <v>15</v>
      </c>
      <c r="F2250" s="9">
        <v>3398.2</v>
      </c>
      <c r="G2250" s="4">
        <v>10</v>
      </c>
      <c r="H2250" s="8">
        <f t="shared" si="35"/>
        <v>10</v>
      </c>
      <c r="I2250" s="10">
        <v>5</v>
      </c>
    </row>
    <row r="2251" spans="1:9" ht="15.75" thickBot="1" x14ac:dyDescent="0.3">
      <c r="A2251" s="1">
        <v>43800</v>
      </c>
      <c r="B2251" s="8" t="s">
        <v>6</v>
      </c>
      <c r="C2251" t="s">
        <v>7</v>
      </c>
      <c r="D2251" t="s">
        <v>562</v>
      </c>
      <c r="E2251" t="s">
        <v>10</v>
      </c>
      <c r="F2251" s="9">
        <v>267163.09999999998</v>
      </c>
      <c r="G2251" s="6">
        <v>9373790.6229999997</v>
      </c>
      <c r="H2251" s="8">
        <f t="shared" si="35"/>
        <v>9373.790622999999</v>
      </c>
      <c r="I2251" s="10">
        <v>1033</v>
      </c>
    </row>
    <row r="2252" spans="1:9" ht="15.75" thickBot="1" x14ac:dyDescent="0.3">
      <c r="A2252" s="1">
        <v>43466</v>
      </c>
      <c r="B2252" s="8" t="s">
        <v>6</v>
      </c>
      <c r="C2252" t="s">
        <v>7</v>
      </c>
      <c r="D2252" t="s">
        <v>562</v>
      </c>
      <c r="E2252" t="s">
        <v>11</v>
      </c>
      <c r="F2252" s="9">
        <v>10869.38</v>
      </c>
      <c r="G2252" s="6">
        <v>314630.08399999997</v>
      </c>
      <c r="H2252" s="8">
        <f t="shared" si="35"/>
        <v>314630.08399999997</v>
      </c>
      <c r="I2252" s="10">
        <v>4</v>
      </c>
    </row>
    <row r="2253" spans="1:9" ht="15.75" thickBot="1" x14ac:dyDescent="0.3">
      <c r="A2253" s="1">
        <v>43466</v>
      </c>
      <c r="B2253" s="8" t="s">
        <v>6</v>
      </c>
      <c r="C2253" t="s">
        <v>7</v>
      </c>
      <c r="D2253" t="s">
        <v>562</v>
      </c>
      <c r="E2253" t="s">
        <v>13</v>
      </c>
      <c r="F2253" s="9">
        <v>836.08</v>
      </c>
      <c r="G2253" s="6">
        <v>29000</v>
      </c>
      <c r="H2253" s="8">
        <f t="shared" si="35"/>
        <v>29000</v>
      </c>
      <c r="I2253" s="10">
        <v>3</v>
      </c>
    </row>
    <row r="2254" spans="1:9" ht="15.75" thickBot="1" x14ac:dyDescent="0.3">
      <c r="A2254" s="1">
        <v>43466</v>
      </c>
      <c r="B2254" s="8" t="s">
        <v>6</v>
      </c>
      <c r="C2254" t="s">
        <v>7</v>
      </c>
      <c r="D2254" t="s">
        <v>563</v>
      </c>
      <c r="E2254" t="s">
        <v>9</v>
      </c>
      <c r="F2254" s="9">
        <v>15524.75</v>
      </c>
      <c r="G2254" s="4">
        <v>471</v>
      </c>
      <c r="H2254" s="8">
        <f t="shared" si="35"/>
        <v>471</v>
      </c>
      <c r="I2254" s="10">
        <v>6</v>
      </c>
    </row>
    <row r="2255" spans="1:9" ht="15.75" thickBot="1" x14ac:dyDescent="0.3">
      <c r="A2255" s="1">
        <v>43800</v>
      </c>
      <c r="B2255" s="8" t="s">
        <v>6</v>
      </c>
      <c r="C2255" t="s">
        <v>7</v>
      </c>
      <c r="D2255" t="s">
        <v>563</v>
      </c>
      <c r="E2255" t="s">
        <v>15</v>
      </c>
      <c r="F2255" s="9">
        <v>5729.14</v>
      </c>
      <c r="G2255" s="4">
        <v>155</v>
      </c>
      <c r="H2255" s="8">
        <f t="shared" si="35"/>
        <v>155</v>
      </c>
      <c r="I2255" s="10">
        <v>6</v>
      </c>
    </row>
    <row r="2256" spans="1:9" ht="15.75" thickBot="1" x14ac:dyDescent="0.3">
      <c r="A2256" s="1">
        <v>43800</v>
      </c>
      <c r="B2256" s="8" t="s">
        <v>6</v>
      </c>
      <c r="C2256" t="s">
        <v>7</v>
      </c>
      <c r="D2256" t="s">
        <v>563</v>
      </c>
      <c r="E2256" t="s">
        <v>10</v>
      </c>
      <c r="F2256" s="9">
        <v>140470.07</v>
      </c>
      <c r="G2256" s="6">
        <v>5868455.284</v>
      </c>
      <c r="H2256" s="8">
        <f t="shared" si="35"/>
        <v>5868.4552839999997</v>
      </c>
      <c r="I2256" s="10">
        <v>412</v>
      </c>
    </row>
    <row r="2257" spans="1:9" ht="15.75" thickBot="1" x14ac:dyDescent="0.3">
      <c r="A2257" s="1">
        <v>43800</v>
      </c>
      <c r="B2257" s="8" t="s">
        <v>6</v>
      </c>
      <c r="C2257" t="s">
        <v>7</v>
      </c>
      <c r="D2257" t="s">
        <v>563</v>
      </c>
      <c r="E2257" t="s">
        <v>11</v>
      </c>
      <c r="F2257" s="9">
        <v>10529.56</v>
      </c>
      <c r="G2257" s="7">
        <v>40125.205000000002</v>
      </c>
      <c r="H2257" s="8">
        <f t="shared" si="35"/>
        <v>40125.205000000002</v>
      </c>
      <c r="I2257" s="10">
        <v>15</v>
      </c>
    </row>
    <row r="2258" spans="1:9" ht="15.75" thickBot="1" x14ac:dyDescent="0.3">
      <c r="A2258" s="1">
        <v>43800</v>
      </c>
      <c r="B2258" s="8" t="s">
        <v>6</v>
      </c>
      <c r="C2258" t="s">
        <v>7</v>
      </c>
      <c r="D2258" t="s">
        <v>563</v>
      </c>
      <c r="E2258" t="s">
        <v>13</v>
      </c>
      <c r="F2258" s="9">
        <v>1463.78</v>
      </c>
      <c r="G2258" s="6">
        <v>58000</v>
      </c>
      <c r="H2258" s="8">
        <f t="shared" si="35"/>
        <v>58000</v>
      </c>
      <c r="I2258" s="10">
        <v>5</v>
      </c>
    </row>
    <row r="2259" spans="1:9" ht="15.75" thickBot="1" x14ac:dyDescent="0.3">
      <c r="A2259" s="1">
        <v>43466</v>
      </c>
      <c r="B2259" s="8" t="s">
        <v>6</v>
      </c>
      <c r="C2259" t="s">
        <v>7</v>
      </c>
      <c r="D2259" t="s">
        <v>564</v>
      </c>
      <c r="E2259" t="s">
        <v>9</v>
      </c>
      <c r="F2259" s="9">
        <v>4493.3900000000003</v>
      </c>
      <c r="G2259" s="4">
        <v>67</v>
      </c>
      <c r="H2259" s="8">
        <f t="shared" si="35"/>
        <v>67</v>
      </c>
      <c r="I2259" s="10">
        <v>2</v>
      </c>
    </row>
    <row r="2260" spans="1:9" ht="15.75" thickBot="1" x14ac:dyDescent="0.3">
      <c r="A2260" s="1">
        <v>43466</v>
      </c>
      <c r="B2260" s="8" t="s">
        <v>6</v>
      </c>
      <c r="C2260" t="s">
        <v>7</v>
      </c>
      <c r="D2260" t="s">
        <v>564</v>
      </c>
      <c r="E2260" t="s">
        <v>10</v>
      </c>
      <c r="F2260" s="9">
        <v>3776.53</v>
      </c>
      <c r="G2260" s="6">
        <v>64000</v>
      </c>
      <c r="H2260" s="8">
        <f t="shared" si="35"/>
        <v>64</v>
      </c>
      <c r="I2260" s="10">
        <v>4</v>
      </c>
    </row>
    <row r="2261" spans="1:9" ht="15.75" thickBot="1" x14ac:dyDescent="0.3">
      <c r="A2261" s="1">
        <v>43466</v>
      </c>
      <c r="B2261" s="8" t="s">
        <v>6</v>
      </c>
      <c r="C2261" t="s">
        <v>7</v>
      </c>
      <c r="D2261" t="s">
        <v>564</v>
      </c>
      <c r="E2261" t="s">
        <v>17</v>
      </c>
      <c r="F2261" s="9">
        <v>24022.93</v>
      </c>
      <c r="G2261" s="4">
        <v>222</v>
      </c>
      <c r="H2261" s="8">
        <f t="shared" si="35"/>
        <v>222</v>
      </c>
      <c r="I2261" s="10">
        <v>16</v>
      </c>
    </row>
    <row r="2262" spans="1:9" ht="15.75" thickBot="1" x14ac:dyDescent="0.3">
      <c r="A2262" s="1">
        <v>43800</v>
      </c>
      <c r="B2262" s="8" t="s">
        <v>6</v>
      </c>
      <c r="C2262" t="s">
        <v>7</v>
      </c>
      <c r="D2262" t="s">
        <v>564</v>
      </c>
      <c r="E2262" t="s">
        <v>11</v>
      </c>
      <c r="F2262" s="9">
        <v>26693.31</v>
      </c>
      <c r="G2262" s="4">
        <v>546</v>
      </c>
      <c r="H2262" s="8">
        <f t="shared" si="35"/>
        <v>546</v>
      </c>
      <c r="I2262" s="10">
        <v>47</v>
      </c>
    </row>
    <row r="2263" spans="1:9" ht="15.75" thickBot="1" x14ac:dyDescent="0.3">
      <c r="A2263" s="1">
        <v>43800</v>
      </c>
      <c r="B2263" s="8" t="s">
        <v>6</v>
      </c>
      <c r="C2263" t="s">
        <v>7</v>
      </c>
      <c r="D2263" t="s">
        <v>565</v>
      </c>
      <c r="E2263" t="s">
        <v>9</v>
      </c>
      <c r="F2263" s="9">
        <v>2522.1999999999998</v>
      </c>
      <c r="G2263" s="4">
        <v>85</v>
      </c>
      <c r="H2263" s="8">
        <f t="shared" si="35"/>
        <v>85</v>
      </c>
      <c r="I2263" s="10">
        <v>2</v>
      </c>
    </row>
    <row r="2264" spans="1:9" ht="15.75" thickBot="1" x14ac:dyDescent="0.3">
      <c r="A2264" s="1">
        <v>43800</v>
      </c>
      <c r="B2264" s="8" t="s">
        <v>6</v>
      </c>
      <c r="C2264" t="s">
        <v>7</v>
      </c>
      <c r="D2264" t="s">
        <v>565</v>
      </c>
      <c r="E2264" t="s">
        <v>15</v>
      </c>
      <c r="F2264" s="9">
        <v>1250</v>
      </c>
      <c r="G2264" s="6">
        <v>23000</v>
      </c>
      <c r="H2264" s="8">
        <f t="shared" si="35"/>
        <v>23000</v>
      </c>
      <c r="I2264" s="10">
        <v>3</v>
      </c>
    </row>
    <row r="2265" spans="1:9" ht="15.75" thickBot="1" x14ac:dyDescent="0.3">
      <c r="A2265" s="1">
        <v>43800</v>
      </c>
      <c r="B2265" s="8" t="s">
        <v>6</v>
      </c>
      <c r="C2265" t="s">
        <v>7</v>
      </c>
      <c r="D2265" t="s">
        <v>565</v>
      </c>
      <c r="E2265" t="s">
        <v>10</v>
      </c>
      <c r="F2265" s="9">
        <v>13740.35</v>
      </c>
      <c r="G2265" s="6">
        <v>7132691.6730000004</v>
      </c>
      <c r="H2265" s="8">
        <f t="shared" si="35"/>
        <v>7132.6916730000003</v>
      </c>
      <c r="I2265" s="10">
        <v>922</v>
      </c>
    </row>
    <row r="2266" spans="1:9" ht="15.75" thickBot="1" x14ac:dyDescent="0.3">
      <c r="A2266" s="1">
        <v>43466</v>
      </c>
      <c r="B2266" s="8" t="s">
        <v>6</v>
      </c>
      <c r="C2266" t="s">
        <v>7</v>
      </c>
      <c r="D2266" t="s">
        <v>565</v>
      </c>
      <c r="E2266" t="s">
        <v>11</v>
      </c>
      <c r="F2266" s="9">
        <v>8434.49</v>
      </c>
      <c r="G2266" s="4">
        <v>206</v>
      </c>
      <c r="H2266" s="8">
        <f t="shared" si="35"/>
        <v>206</v>
      </c>
      <c r="I2266" s="10">
        <v>7</v>
      </c>
    </row>
    <row r="2267" spans="1:9" ht="15.75" thickBot="1" x14ac:dyDescent="0.3">
      <c r="A2267" s="1">
        <v>43466</v>
      </c>
      <c r="B2267" s="8" t="s">
        <v>6</v>
      </c>
      <c r="C2267" t="s">
        <v>7</v>
      </c>
      <c r="D2267" t="s">
        <v>565</v>
      </c>
      <c r="E2267" t="s">
        <v>13</v>
      </c>
      <c r="F2267" s="9">
        <v>0</v>
      </c>
      <c r="G2267" s="6">
        <v>27000</v>
      </c>
      <c r="H2267" s="8">
        <f t="shared" si="35"/>
        <v>27000</v>
      </c>
      <c r="I2267" s="10">
        <v>4</v>
      </c>
    </row>
    <row r="2268" spans="1:9" ht="15.75" thickBot="1" x14ac:dyDescent="0.3">
      <c r="A2268" s="1">
        <v>43466</v>
      </c>
      <c r="B2268" s="8" t="s">
        <v>6</v>
      </c>
      <c r="C2268" t="s">
        <v>7</v>
      </c>
      <c r="D2268" t="s">
        <v>566</v>
      </c>
      <c r="E2268" t="s">
        <v>9</v>
      </c>
      <c r="F2268" s="9">
        <v>19991.73</v>
      </c>
      <c r="G2268" s="4">
        <v>642</v>
      </c>
      <c r="H2268" s="8">
        <f t="shared" si="35"/>
        <v>642</v>
      </c>
      <c r="I2268" s="10">
        <v>18</v>
      </c>
    </row>
    <row r="2269" spans="1:9" ht="15.75" thickBot="1" x14ac:dyDescent="0.3">
      <c r="A2269" s="1">
        <v>43800</v>
      </c>
      <c r="B2269" s="8" t="s">
        <v>6</v>
      </c>
      <c r="C2269" t="s">
        <v>7</v>
      </c>
      <c r="D2269" t="s">
        <v>566</v>
      </c>
      <c r="E2269" t="s">
        <v>15</v>
      </c>
      <c r="F2269" s="9">
        <v>14177.97</v>
      </c>
      <c r="G2269" s="4">
        <v>480</v>
      </c>
      <c r="H2269" s="8">
        <f t="shared" si="35"/>
        <v>480</v>
      </c>
      <c r="I2269" s="10">
        <v>7</v>
      </c>
    </row>
    <row r="2270" spans="1:9" ht="15.75" thickBot="1" x14ac:dyDescent="0.3">
      <c r="A2270" s="1">
        <v>43800</v>
      </c>
      <c r="B2270" s="8" t="s">
        <v>6</v>
      </c>
      <c r="C2270" t="s">
        <v>7</v>
      </c>
      <c r="D2270" t="s">
        <v>566</v>
      </c>
      <c r="E2270" t="s">
        <v>10</v>
      </c>
      <c r="F2270" s="9">
        <v>141620.66</v>
      </c>
      <c r="G2270" s="6">
        <v>4802707.4390000002</v>
      </c>
      <c r="H2270" s="8">
        <f t="shared" si="35"/>
        <v>4802.7074389999998</v>
      </c>
      <c r="I2270" s="10">
        <v>413</v>
      </c>
    </row>
    <row r="2271" spans="1:9" ht="15.75" thickBot="1" x14ac:dyDescent="0.3">
      <c r="A2271" s="1">
        <v>43800</v>
      </c>
      <c r="B2271" s="8" t="s">
        <v>6</v>
      </c>
      <c r="C2271" t="s">
        <v>7</v>
      </c>
      <c r="D2271" t="s">
        <v>566</v>
      </c>
      <c r="E2271" t="s">
        <v>11</v>
      </c>
      <c r="F2271" s="9">
        <v>8876.0499999999993</v>
      </c>
      <c r="G2271" s="4">
        <v>214</v>
      </c>
      <c r="H2271" s="8">
        <f t="shared" si="35"/>
        <v>214</v>
      </c>
      <c r="I2271" s="10">
        <v>8</v>
      </c>
    </row>
    <row r="2272" spans="1:9" ht="15.75" thickBot="1" x14ac:dyDescent="0.3">
      <c r="A2272" s="1">
        <v>43800</v>
      </c>
      <c r="B2272" s="8" t="s">
        <v>6</v>
      </c>
      <c r="C2272" t="s">
        <v>7</v>
      </c>
      <c r="D2272" t="s">
        <v>566</v>
      </c>
      <c r="E2272" t="s">
        <v>13</v>
      </c>
      <c r="F2272" s="9">
        <v>3713.92</v>
      </c>
      <c r="G2272" s="6">
        <v>125000</v>
      </c>
      <c r="H2272" s="8">
        <f t="shared" si="35"/>
        <v>125000</v>
      </c>
      <c r="I2272" s="10">
        <v>2</v>
      </c>
    </row>
    <row r="2273" spans="1:9" ht="15.75" thickBot="1" x14ac:dyDescent="0.3">
      <c r="A2273" s="1">
        <v>43466</v>
      </c>
      <c r="B2273" s="8" t="s">
        <v>6</v>
      </c>
      <c r="C2273" t="s">
        <v>7</v>
      </c>
      <c r="D2273" t="s">
        <v>567</v>
      </c>
      <c r="E2273" t="s">
        <v>15</v>
      </c>
      <c r="F2273" s="9">
        <v>199130.51</v>
      </c>
      <c r="G2273" s="4">
        <v>6907</v>
      </c>
      <c r="H2273" s="8">
        <f t="shared" si="35"/>
        <v>6907</v>
      </c>
      <c r="I2273" s="10">
        <v>78</v>
      </c>
    </row>
    <row r="2274" spans="1:9" ht="15.75" thickBot="1" x14ac:dyDescent="0.3">
      <c r="A2274" s="1">
        <v>43466</v>
      </c>
      <c r="B2274" s="8" t="s">
        <v>6</v>
      </c>
      <c r="C2274" t="s">
        <v>7</v>
      </c>
      <c r="D2274" t="s">
        <v>567</v>
      </c>
      <c r="E2274" t="s">
        <v>10</v>
      </c>
      <c r="F2274" s="9">
        <v>109676.85</v>
      </c>
      <c r="G2274" s="6">
        <v>14761058.526000001</v>
      </c>
      <c r="H2274" s="8">
        <f t="shared" si="35"/>
        <v>14761.058526000001</v>
      </c>
      <c r="I2274" s="10">
        <v>1350</v>
      </c>
    </row>
    <row r="2275" spans="1:9" ht="15.75" thickBot="1" x14ac:dyDescent="0.3">
      <c r="A2275" s="1">
        <v>43466</v>
      </c>
      <c r="B2275" s="8" t="s">
        <v>6</v>
      </c>
      <c r="C2275" t="s">
        <v>7</v>
      </c>
      <c r="D2275" t="s">
        <v>567</v>
      </c>
      <c r="E2275" t="s">
        <v>11</v>
      </c>
      <c r="F2275" s="9">
        <v>15485.76</v>
      </c>
      <c r="G2275" s="7">
        <v>69180</v>
      </c>
      <c r="H2275" s="8">
        <f t="shared" si="35"/>
        <v>69180</v>
      </c>
      <c r="I2275" s="10">
        <v>48</v>
      </c>
    </row>
    <row r="2276" spans="1:9" ht="15.75" thickBot="1" x14ac:dyDescent="0.3">
      <c r="A2276" s="1">
        <v>43800</v>
      </c>
      <c r="B2276" s="8" t="s">
        <v>6</v>
      </c>
      <c r="C2276" t="s">
        <v>7</v>
      </c>
      <c r="D2276" t="s">
        <v>567</v>
      </c>
      <c r="E2276" t="s">
        <v>13</v>
      </c>
      <c r="F2276" s="9">
        <v>174.55</v>
      </c>
      <c r="G2276" s="6">
        <v>11000</v>
      </c>
      <c r="H2276" s="8">
        <f t="shared" si="35"/>
        <v>11000</v>
      </c>
      <c r="I2276" s="10">
        <v>2</v>
      </c>
    </row>
    <row r="2277" spans="1:9" ht="15.75" thickBot="1" x14ac:dyDescent="0.3">
      <c r="A2277" s="1">
        <v>43800</v>
      </c>
      <c r="B2277" s="8" t="s">
        <v>6</v>
      </c>
      <c r="C2277" t="s">
        <v>7</v>
      </c>
      <c r="D2277" t="s">
        <v>568</v>
      </c>
      <c r="E2277" t="s">
        <v>9</v>
      </c>
      <c r="F2277" s="9">
        <v>31246.92</v>
      </c>
      <c r="G2277" s="4">
        <v>1050</v>
      </c>
      <c r="H2277" s="8">
        <f t="shared" si="35"/>
        <v>1050</v>
      </c>
      <c r="I2277" s="10">
        <v>8</v>
      </c>
    </row>
    <row r="2278" spans="1:9" ht="15.75" thickBot="1" x14ac:dyDescent="0.3">
      <c r="A2278" s="1">
        <v>43800</v>
      </c>
      <c r="B2278" s="8" t="s">
        <v>6</v>
      </c>
      <c r="C2278" t="s">
        <v>7</v>
      </c>
      <c r="D2278" t="s">
        <v>568</v>
      </c>
      <c r="E2278" t="s">
        <v>15</v>
      </c>
      <c r="F2278" s="9">
        <v>35018.120000000003</v>
      </c>
      <c r="G2278" s="7">
        <v>20045.282999999999</v>
      </c>
      <c r="H2278" s="8">
        <f t="shared" si="35"/>
        <v>20045.282999999999</v>
      </c>
      <c r="I2278" s="10">
        <v>12</v>
      </c>
    </row>
    <row r="2279" spans="1:9" ht="15.75" thickBot="1" x14ac:dyDescent="0.3">
      <c r="A2279" s="1">
        <v>43800</v>
      </c>
      <c r="B2279" s="8" t="s">
        <v>6</v>
      </c>
      <c r="C2279" t="s">
        <v>7</v>
      </c>
      <c r="D2279" t="s">
        <v>568</v>
      </c>
      <c r="E2279" t="s">
        <v>10</v>
      </c>
      <c r="F2279" s="9">
        <v>1339103.1499999999</v>
      </c>
      <c r="G2279" s="6">
        <v>52496459.295999996</v>
      </c>
      <c r="H2279" s="8">
        <f t="shared" si="35"/>
        <v>52496.459295999994</v>
      </c>
      <c r="I2279" s="10">
        <v>5460</v>
      </c>
    </row>
    <row r="2280" spans="1:9" ht="15.75" thickBot="1" x14ac:dyDescent="0.3">
      <c r="A2280" s="1">
        <v>43466</v>
      </c>
      <c r="B2280" s="8" t="s">
        <v>6</v>
      </c>
      <c r="C2280" t="s">
        <v>7</v>
      </c>
      <c r="D2280" t="s">
        <v>568</v>
      </c>
      <c r="E2280" t="s">
        <v>11</v>
      </c>
      <c r="F2280" s="9">
        <v>68643.14</v>
      </c>
      <c r="G2280" s="7">
        <v>26779.261999999999</v>
      </c>
      <c r="H2280" s="8">
        <f t="shared" si="35"/>
        <v>26779.261999999999</v>
      </c>
      <c r="I2280" s="10">
        <v>69</v>
      </c>
    </row>
    <row r="2281" spans="1:9" ht="15.75" thickBot="1" x14ac:dyDescent="0.3">
      <c r="A2281" s="1">
        <v>43466</v>
      </c>
      <c r="B2281" s="8" t="s">
        <v>6</v>
      </c>
      <c r="C2281" t="s">
        <v>7</v>
      </c>
      <c r="D2281" t="s">
        <v>568</v>
      </c>
      <c r="E2281" t="s">
        <v>13</v>
      </c>
      <c r="F2281" s="9">
        <v>6616.22</v>
      </c>
      <c r="G2281" s="6">
        <v>252609.867</v>
      </c>
      <c r="H2281" s="8">
        <f t="shared" si="35"/>
        <v>252609.867</v>
      </c>
      <c r="I2281" s="10">
        <v>30</v>
      </c>
    </row>
    <row r="2282" spans="1:9" ht="15.75" thickBot="1" x14ac:dyDescent="0.3">
      <c r="A2282" s="1">
        <v>43466</v>
      </c>
      <c r="B2282" s="8" t="s">
        <v>6</v>
      </c>
      <c r="C2282" t="s">
        <v>7</v>
      </c>
      <c r="D2282" t="s">
        <v>569</v>
      </c>
      <c r="E2282" t="s">
        <v>9</v>
      </c>
      <c r="F2282" s="9">
        <v>1320.12</v>
      </c>
      <c r="G2282" s="4">
        <v>41</v>
      </c>
      <c r="H2282" s="8">
        <f t="shared" si="35"/>
        <v>41</v>
      </c>
      <c r="I2282" s="10">
        <v>2</v>
      </c>
    </row>
    <row r="2283" spans="1:9" ht="15.75" thickBot="1" x14ac:dyDescent="0.3">
      <c r="A2283" s="1">
        <v>43800</v>
      </c>
      <c r="B2283" s="8" t="s">
        <v>6</v>
      </c>
      <c r="C2283" t="s">
        <v>7</v>
      </c>
      <c r="D2283" t="s">
        <v>569</v>
      </c>
      <c r="E2283" t="s">
        <v>10</v>
      </c>
      <c r="F2283" s="9">
        <v>89375.09</v>
      </c>
      <c r="G2283" s="6">
        <v>2731868.55</v>
      </c>
      <c r="H2283" s="8">
        <f t="shared" si="35"/>
        <v>2731.8685499999997</v>
      </c>
      <c r="I2283" s="10">
        <v>235</v>
      </c>
    </row>
    <row r="2284" spans="1:9" ht="15.75" thickBot="1" x14ac:dyDescent="0.3">
      <c r="A2284" s="1">
        <v>43800</v>
      </c>
      <c r="B2284" s="8" t="s">
        <v>6</v>
      </c>
      <c r="C2284" t="s">
        <v>7</v>
      </c>
      <c r="D2284" t="s">
        <v>569</v>
      </c>
      <c r="E2284" t="s">
        <v>11</v>
      </c>
      <c r="F2284" s="9">
        <v>818.17</v>
      </c>
      <c r="G2284" s="4">
        <v>5</v>
      </c>
      <c r="H2284" s="8">
        <f t="shared" si="35"/>
        <v>5</v>
      </c>
      <c r="I2284" s="10">
        <v>2</v>
      </c>
    </row>
    <row r="2285" spans="1:9" ht="15.75" thickBot="1" x14ac:dyDescent="0.3">
      <c r="A2285" s="1">
        <v>43800</v>
      </c>
      <c r="B2285" s="8" t="s">
        <v>6</v>
      </c>
      <c r="C2285" t="s">
        <v>7</v>
      </c>
      <c r="D2285" t="s">
        <v>569</v>
      </c>
      <c r="E2285" t="s">
        <v>13</v>
      </c>
      <c r="F2285" s="9">
        <v>614.66999999999996</v>
      </c>
      <c r="G2285" s="6">
        <v>19000</v>
      </c>
      <c r="H2285" s="8">
        <f t="shared" si="35"/>
        <v>19000</v>
      </c>
      <c r="I2285" s="10">
        <v>2</v>
      </c>
    </row>
    <row r="2286" spans="1:9" ht="15.75" thickBot="1" x14ac:dyDescent="0.3">
      <c r="A2286" s="1">
        <v>43800</v>
      </c>
      <c r="B2286" s="8" t="s">
        <v>6</v>
      </c>
      <c r="C2286" t="s">
        <v>7</v>
      </c>
      <c r="D2286" t="s">
        <v>570</v>
      </c>
      <c r="E2286" t="s">
        <v>9</v>
      </c>
      <c r="F2286" s="9">
        <v>177863.45</v>
      </c>
      <c r="G2286" s="7">
        <v>1362236.0179999999</v>
      </c>
      <c r="H2286" s="8">
        <f t="shared" si="35"/>
        <v>1362236.0179999999</v>
      </c>
      <c r="I2286" s="10">
        <v>62</v>
      </c>
    </row>
    <row r="2287" spans="1:9" ht="15.75" thickBot="1" x14ac:dyDescent="0.3">
      <c r="A2287" s="1">
        <v>43466</v>
      </c>
      <c r="B2287" s="8" t="s">
        <v>6</v>
      </c>
      <c r="C2287" t="s">
        <v>7</v>
      </c>
      <c r="D2287" t="s">
        <v>570</v>
      </c>
      <c r="E2287" t="s">
        <v>15</v>
      </c>
      <c r="F2287" s="9">
        <v>27240.7</v>
      </c>
      <c r="G2287" s="7">
        <v>133199.641</v>
      </c>
      <c r="H2287" s="8">
        <f t="shared" si="35"/>
        <v>133199.641</v>
      </c>
      <c r="I2287" s="10">
        <v>12</v>
      </c>
    </row>
    <row r="2288" spans="1:9" ht="15.75" thickBot="1" x14ac:dyDescent="0.3">
      <c r="A2288" s="1">
        <v>43466</v>
      </c>
      <c r="B2288" s="8" t="s">
        <v>6</v>
      </c>
      <c r="C2288" t="s">
        <v>7</v>
      </c>
      <c r="D2288" t="s">
        <v>570</v>
      </c>
      <c r="E2288" t="s">
        <v>10</v>
      </c>
      <c r="F2288" s="9">
        <v>1572974.19</v>
      </c>
      <c r="G2288" s="7">
        <v>56916714.917000003</v>
      </c>
      <c r="H2288" s="8">
        <f t="shared" si="35"/>
        <v>56916.714917000005</v>
      </c>
      <c r="I2288" s="10">
        <v>3157</v>
      </c>
    </row>
    <row r="2289" spans="1:9" ht="15.75" thickBot="1" x14ac:dyDescent="0.3">
      <c r="A2289" s="1">
        <v>43466</v>
      </c>
      <c r="B2289" s="8" t="s">
        <v>6</v>
      </c>
      <c r="C2289" t="s">
        <v>7</v>
      </c>
      <c r="D2289" t="s">
        <v>570</v>
      </c>
      <c r="E2289" t="s">
        <v>11</v>
      </c>
      <c r="F2289" s="9">
        <v>1107328.7</v>
      </c>
      <c r="G2289" s="7">
        <v>1203955.548</v>
      </c>
      <c r="H2289" s="8">
        <f t="shared" si="35"/>
        <v>1203955.548</v>
      </c>
      <c r="I2289" s="10">
        <v>121</v>
      </c>
    </row>
    <row r="2290" spans="1:9" ht="15.75" thickBot="1" x14ac:dyDescent="0.3">
      <c r="A2290" s="1">
        <v>43800</v>
      </c>
      <c r="B2290" s="8" t="s">
        <v>6</v>
      </c>
      <c r="C2290" t="s">
        <v>7</v>
      </c>
      <c r="D2290" t="s">
        <v>570</v>
      </c>
      <c r="E2290" t="s">
        <v>13</v>
      </c>
      <c r="F2290" s="9">
        <v>25627.35</v>
      </c>
      <c r="G2290" s="7">
        <v>107170.713</v>
      </c>
      <c r="H2290" s="8">
        <f t="shared" si="35"/>
        <v>107170.713</v>
      </c>
      <c r="I2290" s="10">
        <v>15</v>
      </c>
    </row>
    <row r="2291" spans="1:9" ht="15.75" thickBot="1" x14ac:dyDescent="0.3">
      <c r="A2291" s="1">
        <v>43800</v>
      </c>
      <c r="B2291" s="8" t="s">
        <v>6</v>
      </c>
      <c r="C2291" t="s">
        <v>7</v>
      </c>
      <c r="D2291" t="s">
        <v>571</v>
      </c>
      <c r="E2291" t="s">
        <v>9</v>
      </c>
      <c r="F2291" s="9">
        <v>9076.6</v>
      </c>
      <c r="G2291" s="4">
        <v>303</v>
      </c>
      <c r="H2291" s="8">
        <f t="shared" si="35"/>
        <v>303</v>
      </c>
      <c r="I2291" s="10">
        <v>4</v>
      </c>
    </row>
    <row r="2292" spans="1:9" ht="15.75" thickBot="1" x14ac:dyDescent="0.3">
      <c r="A2292" s="1">
        <v>43800</v>
      </c>
      <c r="B2292" s="8" t="s">
        <v>6</v>
      </c>
      <c r="C2292" t="s">
        <v>7</v>
      </c>
      <c r="D2292" t="s">
        <v>571</v>
      </c>
      <c r="E2292" t="s">
        <v>10</v>
      </c>
      <c r="F2292" s="9">
        <v>371055.42</v>
      </c>
      <c r="G2292" s="6">
        <v>12914933.472999999</v>
      </c>
      <c r="H2292" s="8">
        <f t="shared" si="35"/>
        <v>12914.933472999999</v>
      </c>
      <c r="I2292" s="10">
        <v>990</v>
      </c>
    </row>
    <row r="2293" spans="1:9" ht="15.75" thickBot="1" x14ac:dyDescent="0.3">
      <c r="A2293" s="1">
        <v>43800</v>
      </c>
      <c r="B2293" s="8" t="s">
        <v>6</v>
      </c>
      <c r="C2293" t="s">
        <v>7</v>
      </c>
      <c r="D2293" t="s">
        <v>571</v>
      </c>
      <c r="E2293" t="s">
        <v>11</v>
      </c>
      <c r="F2293" s="9">
        <v>29738.67</v>
      </c>
      <c r="G2293" s="7">
        <v>396346.31800000003</v>
      </c>
      <c r="H2293" s="8">
        <f t="shared" si="35"/>
        <v>396346.31800000003</v>
      </c>
      <c r="I2293" s="10">
        <v>8</v>
      </c>
    </row>
    <row r="2294" spans="1:9" ht="15.75" thickBot="1" x14ac:dyDescent="0.3">
      <c r="A2294" s="1">
        <v>43466</v>
      </c>
      <c r="B2294" s="8" t="s">
        <v>6</v>
      </c>
      <c r="C2294" t="s">
        <v>7</v>
      </c>
      <c r="D2294" t="s">
        <v>571</v>
      </c>
      <c r="E2294" t="s">
        <v>13</v>
      </c>
      <c r="F2294" s="9">
        <v>1914.63</v>
      </c>
      <c r="G2294" s="6">
        <v>71000</v>
      </c>
      <c r="H2294" s="8">
        <f t="shared" si="35"/>
        <v>71000</v>
      </c>
      <c r="I2294" s="10">
        <v>6</v>
      </c>
    </row>
    <row r="2295" spans="1:9" ht="15.75" thickBot="1" x14ac:dyDescent="0.3">
      <c r="A2295" s="1">
        <v>43466</v>
      </c>
      <c r="B2295" s="8" t="s">
        <v>6</v>
      </c>
      <c r="C2295" t="s">
        <v>7</v>
      </c>
      <c r="D2295" t="s">
        <v>572</v>
      </c>
      <c r="E2295" t="s">
        <v>9</v>
      </c>
      <c r="F2295" s="9">
        <v>181.96</v>
      </c>
      <c r="G2295" s="4">
        <v>3</v>
      </c>
      <c r="H2295" s="8">
        <f t="shared" si="35"/>
        <v>3</v>
      </c>
      <c r="I2295" s="10">
        <v>1</v>
      </c>
    </row>
    <row r="2296" spans="1:9" ht="15.75" thickBot="1" x14ac:dyDescent="0.3">
      <c r="A2296" s="1">
        <v>43466</v>
      </c>
      <c r="B2296" s="8" t="s">
        <v>6</v>
      </c>
      <c r="C2296" t="s">
        <v>7</v>
      </c>
      <c r="D2296" t="s">
        <v>572</v>
      </c>
      <c r="E2296" t="s">
        <v>15</v>
      </c>
      <c r="F2296" s="9">
        <v>929.2</v>
      </c>
      <c r="G2296" s="4">
        <v>10</v>
      </c>
      <c r="H2296" s="8">
        <f t="shared" si="35"/>
        <v>10</v>
      </c>
      <c r="I2296" s="10">
        <v>4</v>
      </c>
    </row>
    <row r="2297" spans="1:9" ht="15.75" thickBot="1" x14ac:dyDescent="0.3">
      <c r="A2297" s="1">
        <v>43800</v>
      </c>
      <c r="B2297" s="8" t="s">
        <v>6</v>
      </c>
      <c r="C2297" t="s">
        <v>7</v>
      </c>
      <c r="D2297" t="s">
        <v>572</v>
      </c>
      <c r="E2297" t="s">
        <v>10</v>
      </c>
      <c r="F2297" s="9">
        <v>217344.75</v>
      </c>
      <c r="G2297" s="6">
        <v>7717015.6040000003</v>
      </c>
      <c r="H2297" s="8">
        <f t="shared" si="35"/>
        <v>7717.0156040000002</v>
      </c>
      <c r="I2297" s="10">
        <v>880</v>
      </c>
    </row>
    <row r="2298" spans="1:9" ht="15.75" thickBot="1" x14ac:dyDescent="0.3">
      <c r="A2298" s="1">
        <v>43800</v>
      </c>
      <c r="B2298" s="8" t="s">
        <v>6</v>
      </c>
      <c r="C2298" t="s">
        <v>7</v>
      </c>
      <c r="D2298" t="s">
        <v>572</v>
      </c>
      <c r="E2298" t="s">
        <v>11</v>
      </c>
      <c r="F2298" s="9">
        <v>2266.9299999999998</v>
      </c>
      <c r="G2298" s="6">
        <v>41052.940999999999</v>
      </c>
      <c r="H2298" s="8">
        <f t="shared" si="35"/>
        <v>41052.940999999999</v>
      </c>
      <c r="I2298" s="10">
        <v>18</v>
      </c>
    </row>
    <row r="2299" spans="1:9" ht="15.75" thickBot="1" x14ac:dyDescent="0.3">
      <c r="A2299" s="1">
        <v>43800</v>
      </c>
      <c r="B2299" s="8" t="s">
        <v>6</v>
      </c>
      <c r="C2299" t="s">
        <v>7</v>
      </c>
      <c r="D2299" t="s">
        <v>572</v>
      </c>
      <c r="E2299" t="s">
        <v>13</v>
      </c>
      <c r="F2299" s="9">
        <v>1521.42</v>
      </c>
      <c r="G2299" s="6">
        <v>53000</v>
      </c>
      <c r="H2299" s="8">
        <f t="shared" si="35"/>
        <v>53000</v>
      </c>
      <c r="I2299" s="10">
        <v>7</v>
      </c>
    </row>
    <row r="2300" spans="1:9" ht="15.75" thickBot="1" x14ac:dyDescent="0.3">
      <c r="A2300" s="1">
        <v>43800</v>
      </c>
      <c r="B2300" s="8" t="s">
        <v>6</v>
      </c>
      <c r="C2300" t="s">
        <v>7</v>
      </c>
      <c r="D2300" t="s">
        <v>573</v>
      </c>
      <c r="E2300" t="s">
        <v>9</v>
      </c>
      <c r="F2300" s="9">
        <v>4284.67</v>
      </c>
      <c r="G2300" s="4">
        <v>107</v>
      </c>
      <c r="H2300" s="8">
        <f t="shared" si="35"/>
        <v>107</v>
      </c>
      <c r="I2300" s="10">
        <v>4</v>
      </c>
    </row>
    <row r="2301" spans="1:9" ht="15.75" thickBot="1" x14ac:dyDescent="0.3">
      <c r="A2301" s="1">
        <v>43466</v>
      </c>
      <c r="B2301" s="8" t="s">
        <v>6</v>
      </c>
      <c r="C2301" t="s">
        <v>7</v>
      </c>
      <c r="D2301" t="s">
        <v>573</v>
      </c>
      <c r="E2301" t="s">
        <v>15</v>
      </c>
      <c r="F2301" s="9">
        <v>29534.87</v>
      </c>
      <c r="G2301" s="7">
        <v>114396.291</v>
      </c>
      <c r="H2301" s="8">
        <f t="shared" si="35"/>
        <v>114396.291</v>
      </c>
      <c r="I2301" s="10">
        <v>84</v>
      </c>
    </row>
    <row r="2302" spans="1:9" ht="15.75" thickBot="1" x14ac:dyDescent="0.3">
      <c r="A2302" s="1">
        <v>43466</v>
      </c>
      <c r="B2302" s="8" t="s">
        <v>6</v>
      </c>
      <c r="C2302" t="s">
        <v>7</v>
      </c>
      <c r="D2302" t="s">
        <v>573</v>
      </c>
      <c r="E2302" t="s">
        <v>10</v>
      </c>
      <c r="F2302" s="9">
        <v>95729.600000000006</v>
      </c>
      <c r="G2302" s="6">
        <v>21967982.473999999</v>
      </c>
      <c r="H2302" s="8">
        <f t="shared" si="35"/>
        <v>21967.982474</v>
      </c>
      <c r="I2302" s="10">
        <v>2455</v>
      </c>
    </row>
    <row r="2303" spans="1:9" ht="15.75" thickBot="1" x14ac:dyDescent="0.3">
      <c r="A2303" s="1">
        <v>43466</v>
      </c>
      <c r="B2303" s="8" t="s">
        <v>6</v>
      </c>
      <c r="C2303" t="s">
        <v>7</v>
      </c>
      <c r="D2303" t="s">
        <v>573</v>
      </c>
      <c r="E2303" t="s">
        <v>11</v>
      </c>
      <c r="F2303" s="9">
        <v>13583.14</v>
      </c>
      <c r="G2303" s="7">
        <v>20293.631000000001</v>
      </c>
      <c r="H2303" s="8">
        <f t="shared" si="35"/>
        <v>20293.631000000001</v>
      </c>
      <c r="I2303" s="10">
        <v>25</v>
      </c>
    </row>
    <row r="2304" spans="1:9" ht="15.75" thickBot="1" x14ac:dyDescent="0.3">
      <c r="A2304" s="1">
        <v>43800</v>
      </c>
      <c r="B2304" s="8" t="s">
        <v>6</v>
      </c>
      <c r="C2304" t="s">
        <v>7</v>
      </c>
      <c r="D2304" t="s">
        <v>573</v>
      </c>
      <c r="E2304" t="s">
        <v>13</v>
      </c>
      <c r="F2304" s="9">
        <v>443.14</v>
      </c>
      <c r="G2304" s="6">
        <v>49000</v>
      </c>
      <c r="H2304" s="8">
        <f t="shared" si="35"/>
        <v>49000</v>
      </c>
      <c r="I2304" s="10">
        <v>5</v>
      </c>
    </row>
    <row r="2305" spans="1:9" ht="15.75" thickBot="1" x14ac:dyDescent="0.3">
      <c r="A2305" s="1">
        <v>43800</v>
      </c>
      <c r="B2305" s="8" t="s">
        <v>6</v>
      </c>
      <c r="C2305" t="s">
        <v>7</v>
      </c>
      <c r="D2305" t="s">
        <v>574</v>
      </c>
      <c r="E2305" t="s">
        <v>9</v>
      </c>
      <c r="F2305" s="9">
        <v>42674.75</v>
      </c>
      <c r="G2305" s="7">
        <v>3046.0680000000002</v>
      </c>
      <c r="H2305" s="8">
        <f t="shared" si="35"/>
        <v>3046.0680000000002</v>
      </c>
      <c r="I2305" s="10">
        <v>19</v>
      </c>
    </row>
    <row r="2306" spans="1:9" ht="15.75" thickBot="1" x14ac:dyDescent="0.3">
      <c r="A2306" s="1">
        <v>43800</v>
      </c>
      <c r="B2306" s="8" t="s">
        <v>6</v>
      </c>
      <c r="C2306" t="s">
        <v>7</v>
      </c>
      <c r="D2306" t="s">
        <v>574</v>
      </c>
      <c r="E2306" t="s">
        <v>15</v>
      </c>
      <c r="F2306" s="9">
        <v>437.19</v>
      </c>
      <c r="G2306" s="4">
        <v>6</v>
      </c>
      <c r="H2306" s="8">
        <f t="shared" ref="H2306:H2369" si="36">IF(ISNUMBER(SEARCH("Domestic customer", E2306)),G2306/1000,G2306)</f>
        <v>6</v>
      </c>
      <c r="I2306" s="10">
        <v>3</v>
      </c>
    </row>
    <row r="2307" spans="1:9" ht="15.75" thickBot="1" x14ac:dyDescent="0.3">
      <c r="A2307" s="1">
        <v>43800</v>
      </c>
      <c r="B2307" s="8" t="s">
        <v>6</v>
      </c>
      <c r="C2307" t="s">
        <v>7</v>
      </c>
      <c r="D2307" t="s">
        <v>574</v>
      </c>
      <c r="E2307" t="s">
        <v>10</v>
      </c>
      <c r="F2307" s="9">
        <v>296175.56</v>
      </c>
      <c r="G2307" s="6">
        <v>13248232.399</v>
      </c>
      <c r="H2307" s="8">
        <f t="shared" si="36"/>
        <v>13248.232399</v>
      </c>
      <c r="I2307" s="10">
        <v>445</v>
      </c>
    </row>
    <row r="2308" spans="1:9" ht="15.75" thickBot="1" x14ac:dyDescent="0.3">
      <c r="A2308" s="1">
        <v>43466</v>
      </c>
      <c r="B2308" s="8" t="s">
        <v>6</v>
      </c>
      <c r="C2308" t="s">
        <v>7</v>
      </c>
      <c r="D2308" t="s">
        <v>574</v>
      </c>
      <c r="E2308" t="s">
        <v>17</v>
      </c>
      <c r="F2308" s="9">
        <v>2450.88</v>
      </c>
      <c r="G2308" s="4">
        <v>84</v>
      </c>
      <c r="H2308" s="8">
        <f t="shared" si="36"/>
        <v>84</v>
      </c>
      <c r="I2308" s="10">
        <v>1</v>
      </c>
    </row>
    <row r="2309" spans="1:9" ht="15.75" thickBot="1" x14ac:dyDescent="0.3">
      <c r="A2309" s="1">
        <v>43466</v>
      </c>
      <c r="B2309" s="8" t="s">
        <v>6</v>
      </c>
      <c r="C2309" t="s">
        <v>7</v>
      </c>
      <c r="D2309" t="s">
        <v>574</v>
      </c>
      <c r="E2309" t="s">
        <v>11</v>
      </c>
      <c r="F2309" s="9">
        <v>394461.39</v>
      </c>
      <c r="G2309" s="7">
        <v>1870635.5819999999</v>
      </c>
      <c r="H2309" s="8">
        <f t="shared" si="36"/>
        <v>1870635.5819999999</v>
      </c>
      <c r="I2309" s="10">
        <v>44</v>
      </c>
    </row>
    <row r="2310" spans="1:9" ht="15.75" thickBot="1" x14ac:dyDescent="0.3">
      <c r="A2310" s="1">
        <v>43466</v>
      </c>
      <c r="B2310" s="8" t="s">
        <v>6</v>
      </c>
      <c r="C2310" t="s">
        <v>7</v>
      </c>
      <c r="D2310" t="s">
        <v>574</v>
      </c>
      <c r="E2310" t="s">
        <v>13</v>
      </c>
      <c r="F2310" s="9">
        <v>1814.05</v>
      </c>
      <c r="G2310" s="6">
        <v>87000</v>
      </c>
      <c r="H2310" s="8">
        <f t="shared" si="36"/>
        <v>87000</v>
      </c>
      <c r="I2310" s="10">
        <v>4</v>
      </c>
    </row>
    <row r="2311" spans="1:9" ht="15.75" thickBot="1" x14ac:dyDescent="0.3">
      <c r="A2311" s="1">
        <v>43800</v>
      </c>
      <c r="B2311" s="8" t="s">
        <v>6</v>
      </c>
      <c r="C2311" t="s">
        <v>7</v>
      </c>
      <c r="D2311" t="s">
        <v>575</v>
      </c>
      <c r="E2311" t="s">
        <v>9</v>
      </c>
      <c r="F2311" s="9">
        <v>6890.08</v>
      </c>
      <c r="G2311" s="4">
        <v>244</v>
      </c>
      <c r="H2311" s="8">
        <f t="shared" si="36"/>
        <v>244</v>
      </c>
      <c r="I2311" s="10">
        <v>3</v>
      </c>
    </row>
    <row r="2312" spans="1:9" ht="15.75" thickBot="1" x14ac:dyDescent="0.3">
      <c r="A2312" s="1">
        <v>43800</v>
      </c>
      <c r="B2312" s="8" t="s">
        <v>6</v>
      </c>
      <c r="C2312" t="s">
        <v>7</v>
      </c>
      <c r="D2312" t="s">
        <v>575</v>
      </c>
      <c r="E2312" t="s">
        <v>15</v>
      </c>
      <c r="F2312" s="9">
        <v>10158.34</v>
      </c>
      <c r="G2312" s="4">
        <v>111</v>
      </c>
      <c r="H2312" s="8">
        <f t="shared" si="36"/>
        <v>111</v>
      </c>
      <c r="I2312" s="10">
        <v>14</v>
      </c>
    </row>
    <row r="2313" spans="1:9" ht="15.75" thickBot="1" x14ac:dyDescent="0.3">
      <c r="A2313" s="1">
        <v>43800</v>
      </c>
      <c r="B2313" s="8" t="s">
        <v>6</v>
      </c>
      <c r="C2313" t="s">
        <v>7</v>
      </c>
      <c r="D2313" t="s">
        <v>575</v>
      </c>
      <c r="E2313" t="s">
        <v>10</v>
      </c>
      <c r="F2313" s="9">
        <v>420766.9</v>
      </c>
      <c r="G2313" s="6">
        <v>22207855.568999998</v>
      </c>
      <c r="H2313" s="8">
        <f t="shared" si="36"/>
        <v>22207.855568999999</v>
      </c>
      <c r="I2313" s="10">
        <v>2275</v>
      </c>
    </row>
    <row r="2314" spans="1:9" ht="15.75" thickBot="1" x14ac:dyDescent="0.3">
      <c r="A2314" s="1">
        <v>43800</v>
      </c>
      <c r="B2314" s="8" t="s">
        <v>6</v>
      </c>
      <c r="C2314" t="s">
        <v>7</v>
      </c>
      <c r="D2314" t="s">
        <v>575</v>
      </c>
      <c r="E2314" t="s">
        <v>11</v>
      </c>
      <c r="F2314" s="9">
        <v>20813.21</v>
      </c>
      <c r="G2314" s="7">
        <v>16618.079000000002</v>
      </c>
      <c r="H2314" s="8">
        <f t="shared" si="36"/>
        <v>16618.079000000002</v>
      </c>
      <c r="I2314" s="10">
        <v>20</v>
      </c>
    </row>
    <row r="2315" spans="1:9" ht="15.75" thickBot="1" x14ac:dyDescent="0.3">
      <c r="A2315" s="1">
        <v>43466</v>
      </c>
      <c r="B2315" s="8" t="s">
        <v>6</v>
      </c>
      <c r="C2315" t="s">
        <v>7</v>
      </c>
      <c r="D2315" t="s">
        <v>575</v>
      </c>
      <c r="E2315" t="s">
        <v>13</v>
      </c>
      <c r="F2315" s="9">
        <v>1156.42</v>
      </c>
      <c r="G2315" s="6">
        <v>86800</v>
      </c>
      <c r="H2315" s="8">
        <f t="shared" si="36"/>
        <v>86800</v>
      </c>
      <c r="I2315" s="10">
        <v>13</v>
      </c>
    </row>
    <row r="2316" spans="1:9" ht="15.75" thickBot="1" x14ac:dyDescent="0.3">
      <c r="A2316" s="1">
        <v>43466</v>
      </c>
      <c r="B2316" s="8" t="s">
        <v>6</v>
      </c>
      <c r="C2316" t="s">
        <v>7</v>
      </c>
      <c r="D2316" t="s">
        <v>576</v>
      </c>
      <c r="E2316" t="s">
        <v>9</v>
      </c>
      <c r="F2316" s="9">
        <v>4072.88</v>
      </c>
      <c r="G2316" s="4">
        <v>134</v>
      </c>
      <c r="H2316" s="8">
        <f t="shared" si="36"/>
        <v>134</v>
      </c>
      <c r="I2316" s="10">
        <v>3</v>
      </c>
    </row>
    <row r="2317" spans="1:9" ht="15.75" thickBot="1" x14ac:dyDescent="0.3">
      <c r="A2317" s="1">
        <v>43466</v>
      </c>
      <c r="B2317" s="8" t="s">
        <v>6</v>
      </c>
      <c r="C2317" t="s">
        <v>7</v>
      </c>
      <c r="D2317" t="s">
        <v>576</v>
      </c>
      <c r="E2317" t="s">
        <v>15</v>
      </c>
      <c r="F2317" s="9">
        <v>2476.75</v>
      </c>
      <c r="G2317" s="4">
        <v>4</v>
      </c>
      <c r="H2317" s="8">
        <f t="shared" si="36"/>
        <v>4</v>
      </c>
      <c r="I2317" s="10">
        <v>3</v>
      </c>
    </row>
    <row r="2318" spans="1:9" ht="15.75" thickBot="1" x14ac:dyDescent="0.3">
      <c r="A2318" s="1">
        <v>43800</v>
      </c>
      <c r="B2318" s="8" t="s">
        <v>6</v>
      </c>
      <c r="C2318" t="s">
        <v>7</v>
      </c>
      <c r="D2318" t="s">
        <v>576</v>
      </c>
      <c r="E2318" t="s">
        <v>10</v>
      </c>
      <c r="F2318" s="9">
        <v>83057.91</v>
      </c>
      <c r="G2318" s="6">
        <v>2790813.693</v>
      </c>
      <c r="H2318" s="8">
        <f t="shared" si="36"/>
        <v>2790.8136930000001</v>
      </c>
      <c r="I2318" s="10">
        <v>190</v>
      </c>
    </row>
    <row r="2319" spans="1:9" ht="15.75" thickBot="1" x14ac:dyDescent="0.3">
      <c r="A2319" s="1">
        <v>43800</v>
      </c>
      <c r="B2319" s="8" t="s">
        <v>6</v>
      </c>
      <c r="C2319" t="s">
        <v>7</v>
      </c>
      <c r="D2319" t="s">
        <v>576</v>
      </c>
      <c r="E2319" t="s">
        <v>11</v>
      </c>
      <c r="F2319" s="9">
        <v>862.1</v>
      </c>
      <c r="G2319" s="6">
        <v>23000</v>
      </c>
      <c r="H2319" s="8">
        <f t="shared" si="36"/>
        <v>23000</v>
      </c>
      <c r="I2319" s="10">
        <v>4</v>
      </c>
    </row>
    <row r="2320" spans="1:9" ht="15.75" thickBot="1" x14ac:dyDescent="0.3">
      <c r="A2320" s="1">
        <v>43800</v>
      </c>
      <c r="B2320" s="8" t="s">
        <v>6</v>
      </c>
      <c r="C2320" t="s">
        <v>7</v>
      </c>
      <c r="D2320" t="s">
        <v>576</v>
      </c>
      <c r="E2320" t="s">
        <v>13</v>
      </c>
      <c r="F2320" s="9">
        <v>673.08</v>
      </c>
      <c r="G2320" s="6">
        <v>24000</v>
      </c>
      <c r="H2320" s="8">
        <f t="shared" si="36"/>
        <v>24000</v>
      </c>
      <c r="I2320" s="10">
        <v>2</v>
      </c>
    </row>
    <row r="2321" spans="1:9" ht="15.75" thickBot="1" x14ac:dyDescent="0.3">
      <c r="A2321" s="1">
        <v>43800</v>
      </c>
      <c r="B2321" s="8" t="s">
        <v>6</v>
      </c>
      <c r="C2321" t="s">
        <v>7</v>
      </c>
      <c r="D2321" t="s">
        <v>577</v>
      </c>
      <c r="E2321" t="s">
        <v>9</v>
      </c>
      <c r="F2321" s="9">
        <v>107850.4</v>
      </c>
      <c r="G2321" s="4">
        <v>2870</v>
      </c>
      <c r="H2321" s="8">
        <f t="shared" si="36"/>
        <v>2870</v>
      </c>
      <c r="I2321" s="10">
        <v>26</v>
      </c>
    </row>
    <row r="2322" spans="1:9" ht="15.75" thickBot="1" x14ac:dyDescent="0.3">
      <c r="A2322" s="1">
        <v>43466</v>
      </c>
      <c r="B2322" s="8" t="s">
        <v>6</v>
      </c>
      <c r="C2322" t="s">
        <v>7</v>
      </c>
      <c r="D2322" t="s">
        <v>577</v>
      </c>
      <c r="E2322" t="s">
        <v>15</v>
      </c>
      <c r="F2322" s="9">
        <v>625</v>
      </c>
      <c r="G2322" s="4">
        <v>0</v>
      </c>
      <c r="H2322" s="8">
        <f t="shared" si="36"/>
        <v>0</v>
      </c>
      <c r="I2322" s="10">
        <v>1</v>
      </c>
    </row>
    <row r="2323" spans="1:9" ht="15.75" thickBot="1" x14ac:dyDescent="0.3">
      <c r="A2323" s="1">
        <v>43466</v>
      </c>
      <c r="B2323" s="8" t="s">
        <v>6</v>
      </c>
      <c r="C2323" t="s">
        <v>7</v>
      </c>
      <c r="D2323" t="s">
        <v>577</v>
      </c>
      <c r="E2323" t="s">
        <v>11</v>
      </c>
      <c r="F2323" s="9">
        <v>2851.59</v>
      </c>
      <c r="G2323" s="4">
        <v>84</v>
      </c>
      <c r="H2323" s="8">
        <f t="shared" si="36"/>
        <v>84</v>
      </c>
      <c r="I2323" s="10">
        <v>5</v>
      </c>
    </row>
    <row r="2324" spans="1:9" ht="15.75" thickBot="1" x14ac:dyDescent="0.3">
      <c r="A2324" s="1">
        <v>43466</v>
      </c>
      <c r="B2324" s="8" t="s">
        <v>6</v>
      </c>
      <c r="C2324" t="s">
        <v>7</v>
      </c>
      <c r="D2324" t="s">
        <v>578</v>
      </c>
      <c r="E2324" t="s">
        <v>15</v>
      </c>
      <c r="F2324" s="9">
        <v>340.21</v>
      </c>
      <c r="G2324" s="4">
        <v>8</v>
      </c>
      <c r="H2324" s="8">
        <f t="shared" si="36"/>
        <v>8</v>
      </c>
      <c r="I2324" s="10">
        <v>2</v>
      </c>
    </row>
    <row r="2325" spans="1:9" ht="15.75" thickBot="1" x14ac:dyDescent="0.3">
      <c r="A2325" s="1">
        <v>43800</v>
      </c>
      <c r="B2325" s="8" t="s">
        <v>6</v>
      </c>
      <c r="C2325" t="s">
        <v>7</v>
      </c>
      <c r="D2325" t="s">
        <v>579</v>
      </c>
      <c r="E2325" t="s">
        <v>9</v>
      </c>
      <c r="F2325" s="9">
        <v>3475.88</v>
      </c>
      <c r="G2325" s="4">
        <v>84</v>
      </c>
      <c r="H2325" s="8">
        <f t="shared" si="36"/>
        <v>84</v>
      </c>
      <c r="I2325" s="10">
        <v>5</v>
      </c>
    </row>
    <row r="2326" spans="1:9" ht="15.75" thickBot="1" x14ac:dyDescent="0.3">
      <c r="A2326" s="1">
        <v>43800</v>
      </c>
      <c r="B2326" s="8" t="s">
        <v>6</v>
      </c>
      <c r="C2326" t="s">
        <v>7</v>
      </c>
      <c r="D2326" t="s">
        <v>579</v>
      </c>
      <c r="E2326" t="s">
        <v>10</v>
      </c>
      <c r="F2326" s="9">
        <v>51867.94</v>
      </c>
      <c r="G2326" s="6">
        <v>1482090</v>
      </c>
      <c r="H2326" s="8">
        <f t="shared" si="36"/>
        <v>1482.09</v>
      </c>
      <c r="I2326" s="10">
        <v>141</v>
      </c>
    </row>
    <row r="2327" spans="1:9" ht="15.75" thickBot="1" x14ac:dyDescent="0.3">
      <c r="A2327" s="1">
        <v>43800</v>
      </c>
      <c r="B2327" s="8" t="s">
        <v>6</v>
      </c>
      <c r="C2327" t="s">
        <v>7</v>
      </c>
      <c r="D2327" t="s">
        <v>579</v>
      </c>
      <c r="E2327" t="s">
        <v>11</v>
      </c>
      <c r="F2327" s="9">
        <v>12909.21</v>
      </c>
      <c r="G2327" s="7">
        <v>121100.406</v>
      </c>
      <c r="H2327" s="8">
        <f t="shared" si="36"/>
        <v>121100.406</v>
      </c>
      <c r="I2327" s="10">
        <v>12</v>
      </c>
    </row>
    <row r="2328" spans="1:9" ht="15.75" thickBot="1" x14ac:dyDescent="0.3">
      <c r="A2328" s="1">
        <v>43800</v>
      </c>
      <c r="B2328" s="8" t="s">
        <v>6</v>
      </c>
      <c r="C2328" t="s">
        <v>7</v>
      </c>
      <c r="D2328" t="s">
        <v>579</v>
      </c>
      <c r="E2328" t="s">
        <v>13</v>
      </c>
      <c r="F2328" s="9">
        <v>309.94</v>
      </c>
      <c r="G2328" s="6">
        <v>7000</v>
      </c>
      <c r="H2328" s="8">
        <f t="shared" si="36"/>
        <v>7000</v>
      </c>
      <c r="I2328" s="10">
        <v>2</v>
      </c>
    </row>
    <row r="2329" spans="1:9" ht="15.75" thickBot="1" x14ac:dyDescent="0.3">
      <c r="A2329" s="1">
        <v>43466</v>
      </c>
      <c r="B2329" s="8" t="s">
        <v>6</v>
      </c>
      <c r="C2329" t="s">
        <v>7</v>
      </c>
      <c r="D2329" t="s">
        <v>580</v>
      </c>
      <c r="E2329" t="s">
        <v>15</v>
      </c>
      <c r="F2329" s="9">
        <v>112</v>
      </c>
      <c r="G2329" s="4">
        <v>0</v>
      </c>
      <c r="H2329" s="8">
        <f t="shared" si="36"/>
        <v>0</v>
      </c>
      <c r="I2329" s="10">
        <v>2</v>
      </c>
    </row>
    <row r="2330" spans="1:9" ht="15.75" thickBot="1" x14ac:dyDescent="0.3">
      <c r="A2330" s="1">
        <v>43466</v>
      </c>
      <c r="B2330" s="8" t="s">
        <v>6</v>
      </c>
      <c r="C2330" t="s">
        <v>7</v>
      </c>
      <c r="D2330" t="s">
        <v>580</v>
      </c>
      <c r="E2330" t="s">
        <v>10</v>
      </c>
      <c r="F2330" s="9">
        <v>161277.53</v>
      </c>
      <c r="G2330" s="6">
        <v>5317392.557</v>
      </c>
      <c r="H2330" s="8">
        <f t="shared" si="36"/>
        <v>5317.3925570000001</v>
      </c>
      <c r="I2330" s="10">
        <v>520</v>
      </c>
    </row>
    <row r="2331" spans="1:9" ht="15.75" thickBot="1" x14ac:dyDescent="0.3">
      <c r="A2331" s="1">
        <v>43466</v>
      </c>
      <c r="B2331" s="8" t="s">
        <v>6</v>
      </c>
      <c r="C2331" t="s">
        <v>7</v>
      </c>
      <c r="D2331" t="s">
        <v>580</v>
      </c>
      <c r="E2331" t="s">
        <v>11</v>
      </c>
      <c r="F2331" s="9">
        <v>658.4</v>
      </c>
      <c r="G2331" s="4">
        <v>20</v>
      </c>
      <c r="H2331" s="8">
        <f t="shared" si="36"/>
        <v>20</v>
      </c>
      <c r="I2331" s="10">
        <v>2</v>
      </c>
    </row>
    <row r="2332" spans="1:9" ht="15.75" thickBot="1" x14ac:dyDescent="0.3">
      <c r="A2332" s="1">
        <v>43800</v>
      </c>
      <c r="B2332" s="8" t="s">
        <v>6</v>
      </c>
      <c r="C2332" t="s">
        <v>7</v>
      </c>
      <c r="D2332" t="s">
        <v>580</v>
      </c>
      <c r="E2332" t="s">
        <v>13</v>
      </c>
      <c r="F2332" s="9">
        <v>193.8</v>
      </c>
      <c r="G2332" s="6">
        <v>6000</v>
      </c>
      <c r="H2332" s="8">
        <f t="shared" si="36"/>
        <v>6000</v>
      </c>
      <c r="I2332" s="10">
        <v>1</v>
      </c>
    </row>
    <row r="2333" spans="1:9" ht="15.75" thickBot="1" x14ac:dyDescent="0.3">
      <c r="A2333" s="1">
        <v>43800</v>
      </c>
      <c r="B2333" s="8" t="s">
        <v>6</v>
      </c>
      <c r="C2333" t="s">
        <v>7</v>
      </c>
      <c r="D2333" t="s">
        <v>581</v>
      </c>
      <c r="E2333" t="s">
        <v>9</v>
      </c>
      <c r="F2333" s="9">
        <v>68696.52</v>
      </c>
      <c r="G2333" s="4">
        <v>2011</v>
      </c>
      <c r="H2333" s="8">
        <f t="shared" si="36"/>
        <v>2011</v>
      </c>
      <c r="I2333" s="10">
        <v>6</v>
      </c>
    </row>
    <row r="2334" spans="1:9" ht="15.75" thickBot="1" x14ac:dyDescent="0.3">
      <c r="A2334" s="1">
        <v>43800</v>
      </c>
      <c r="B2334" s="8" t="s">
        <v>6</v>
      </c>
      <c r="C2334" t="s">
        <v>7</v>
      </c>
      <c r="D2334" t="s">
        <v>581</v>
      </c>
      <c r="E2334" t="s">
        <v>15</v>
      </c>
      <c r="F2334" s="9">
        <v>100</v>
      </c>
      <c r="G2334" s="4">
        <v>0</v>
      </c>
      <c r="H2334" s="8">
        <f t="shared" si="36"/>
        <v>0</v>
      </c>
      <c r="I2334" s="10">
        <v>1</v>
      </c>
    </row>
    <row r="2335" spans="1:9" ht="15.75" thickBot="1" x14ac:dyDescent="0.3">
      <c r="A2335" s="1">
        <v>43800</v>
      </c>
      <c r="B2335" s="8" t="s">
        <v>6</v>
      </c>
      <c r="C2335" t="s">
        <v>7</v>
      </c>
      <c r="D2335" t="s">
        <v>581</v>
      </c>
      <c r="E2335" t="s">
        <v>10</v>
      </c>
      <c r="F2335" s="9">
        <v>265846.57</v>
      </c>
      <c r="G2335" s="6">
        <v>9723437.3420000002</v>
      </c>
      <c r="H2335" s="8">
        <f t="shared" si="36"/>
        <v>9723.4373420000011</v>
      </c>
      <c r="I2335" s="10">
        <v>735</v>
      </c>
    </row>
    <row r="2336" spans="1:9" ht="15.75" thickBot="1" x14ac:dyDescent="0.3">
      <c r="A2336" s="1">
        <v>43466</v>
      </c>
      <c r="B2336" s="8" t="s">
        <v>6</v>
      </c>
      <c r="C2336" t="s">
        <v>7</v>
      </c>
      <c r="D2336" t="s">
        <v>581</v>
      </c>
      <c r="E2336" t="s">
        <v>11</v>
      </c>
      <c r="F2336" s="9">
        <v>2781.06</v>
      </c>
      <c r="G2336" s="4">
        <v>11</v>
      </c>
      <c r="H2336" s="8">
        <f t="shared" si="36"/>
        <v>11</v>
      </c>
      <c r="I2336" s="10">
        <v>10</v>
      </c>
    </row>
    <row r="2337" spans="1:9" ht="15.75" thickBot="1" x14ac:dyDescent="0.3">
      <c r="A2337" s="1">
        <v>43466</v>
      </c>
      <c r="B2337" s="8" t="s">
        <v>6</v>
      </c>
      <c r="C2337" t="s">
        <v>7</v>
      </c>
      <c r="D2337" t="s">
        <v>581</v>
      </c>
      <c r="E2337" t="s">
        <v>13</v>
      </c>
      <c r="F2337" s="9">
        <v>1216.0999999999999</v>
      </c>
      <c r="G2337" s="6">
        <v>37000</v>
      </c>
      <c r="H2337" s="8">
        <f t="shared" si="36"/>
        <v>37000</v>
      </c>
      <c r="I2337" s="10">
        <v>5</v>
      </c>
    </row>
    <row r="2338" spans="1:9" ht="15.75" thickBot="1" x14ac:dyDescent="0.3">
      <c r="A2338" s="1">
        <v>43466</v>
      </c>
      <c r="B2338" s="8" t="s">
        <v>6</v>
      </c>
      <c r="C2338" t="s">
        <v>7</v>
      </c>
      <c r="D2338" t="s">
        <v>582</v>
      </c>
      <c r="E2338" t="s">
        <v>9</v>
      </c>
      <c r="F2338" s="9">
        <v>13667.98</v>
      </c>
      <c r="G2338" s="4">
        <v>404</v>
      </c>
      <c r="H2338" s="8">
        <f t="shared" si="36"/>
        <v>404</v>
      </c>
      <c r="I2338" s="10">
        <v>17</v>
      </c>
    </row>
    <row r="2339" spans="1:9" ht="15.75" thickBot="1" x14ac:dyDescent="0.3">
      <c r="A2339" s="1">
        <v>43800</v>
      </c>
      <c r="B2339" s="8" t="s">
        <v>6</v>
      </c>
      <c r="C2339" t="s">
        <v>7</v>
      </c>
      <c r="D2339" t="s">
        <v>582</v>
      </c>
      <c r="E2339" t="s">
        <v>15</v>
      </c>
      <c r="F2339" s="9">
        <v>33715.589999999997</v>
      </c>
      <c r="G2339" s="4">
        <v>1021</v>
      </c>
      <c r="H2339" s="8">
        <f t="shared" si="36"/>
        <v>1021</v>
      </c>
      <c r="I2339" s="10">
        <v>5</v>
      </c>
    </row>
    <row r="2340" spans="1:9" ht="15.75" thickBot="1" x14ac:dyDescent="0.3">
      <c r="A2340" s="1">
        <v>43800</v>
      </c>
      <c r="B2340" s="8" t="s">
        <v>6</v>
      </c>
      <c r="C2340" t="s">
        <v>7</v>
      </c>
      <c r="D2340" t="s">
        <v>582</v>
      </c>
      <c r="E2340" t="s">
        <v>10</v>
      </c>
      <c r="F2340" s="9">
        <v>237128.65</v>
      </c>
      <c r="G2340" s="6">
        <v>8147329.6600000001</v>
      </c>
      <c r="H2340" s="8">
        <f t="shared" si="36"/>
        <v>8147.3296600000003</v>
      </c>
      <c r="I2340" s="10">
        <v>599</v>
      </c>
    </row>
    <row r="2341" spans="1:9" ht="15.75" thickBot="1" x14ac:dyDescent="0.3">
      <c r="A2341" s="1">
        <v>43800</v>
      </c>
      <c r="B2341" s="8" t="s">
        <v>6</v>
      </c>
      <c r="C2341" t="s">
        <v>7</v>
      </c>
      <c r="D2341" t="s">
        <v>582</v>
      </c>
      <c r="E2341" t="s">
        <v>17</v>
      </c>
      <c r="F2341" s="9">
        <v>438.48</v>
      </c>
      <c r="G2341" s="4">
        <v>14</v>
      </c>
      <c r="H2341" s="8">
        <f t="shared" si="36"/>
        <v>14</v>
      </c>
      <c r="I2341" s="10">
        <v>1</v>
      </c>
    </row>
    <row r="2342" spans="1:9" ht="15.75" thickBot="1" x14ac:dyDescent="0.3">
      <c r="A2342" s="1">
        <v>43800</v>
      </c>
      <c r="B2342" s="8" t="s">
        <v>6</v>
      </c>
      <c r="C2342" t="s">
        <v>7</v>
      </c>
      <c r="D2342" t="s">
        <v>582</v>
      </c>
      <c r="E2342" t="s">
        <v>11</v>
      </c>
      <c r="F2342" s="9">
        <v>76540.789999999994</v>
      </c>
      <c r="G2342" s="7">
        <v>609255.82200000004</v>
      </c>
      <c r="H2342" s="8">
        <f t="shared" si="36"/>
        <v>609255.82200000004</v>
      </c>
      <c r="I2342" s="10">
        <v>11</v>
      </c>
    </row>
    <row r="2343" spans="1:9" ht="15.75" thickBot="1" x14ac:dyDescent="0.3">
      <c r="A2343" s="1">
        <v>43466</v>
      </c>
      <c r="B2343" s="8" t="s">
        <v>6</v>
      </c>
      <c r="C2343" t="s">
        <v>7</v>
      </c>
      <c r="D2343" t="s">
        <v>582</v>
      </c>
      <c r="E2343" t="s">
        <v>13</v>
      </c>
      <c r="F2343" s="9">
        <v>387.28</v>
      </c>
      <c r="G2343" s="6">
        <v>8000</v>
      </c>
      <c r="H2343" s="8">
        <f t="shared" si="36"/>
        <v>8000</v>
      </c>
      <c r="I2343" s="10">
        <v>4</v>
      </c>
    </row>
    <row r="2344" spans="1:9" ht="15.75" thickBot="1" x14ac:dyDescent="0.3">
      <c r="A2344" s="1">
        <v>43466</v>
      </c>
      <c r="B2344" s="8" t="s">
        <v>6</v>
      </c>
      <c r="C2344" t="s">
        <v>7</v>
      </c>
      <c r="D2344" t="s">
        <v>583</v>
      </c>
      <c r="E2344" t="s">
        <v>9</v>
      </c>
      <c r="F2344" s="9">
        <v>622.44000000000005</v>
      </c>
      <c r="G2344" s="4">
        <v>21</v>
      </c>
      <c r="H2344" s="8">
        <f t="shared" si="36"/>
        <v>21</v>
      </c>
      <c r="I2344" s="10">
        <v>1</v>
      </c>
    </row>
    <row r="2345" spans="1:9" ht="15.75" thickBot="1" x14ac:dyDescent="0.3">
      <c r="A2345" s="1">
        <v>43466</v>
      </c>
      <c r="B2345" s="8" t="s">
        <v>6</v>
      </c>
      <c r="C2345" t="s">
        <v>7</v>
      </c>
      <c r="D2345" t="s">
        <v>583</v>
      </c>
      <c r="E2345" t="s">
        <v>10</v>
      </c>
      <c r="F2345" s="9">
        <v>58336.21</v>
      </c>
      <c r="G2345" s="7">
        <v>2022401.202</v>
      </c>
      <c r="H2345" s="8">
        <f t="shared" si="36"/>
        <v>2022.401202</v>
      </c>
      <c r="I2345" s="10">
        <v>87</v>
      </c>
    </row>
    <row r="2346" spans="1:9" ht="15.75" thickBot="1" x14ac:dyDescent="0.3">
      <c r="A2346" s="1">
        <v>43800</v>
      </c>
      <c r="B2346" s="8" t="s">
        <v>6</v>
      </c>
      <c r="C2346" t="s">
        <v>7</v>
      </c>
      <c r="D2346" t="s">
        <v>583</v>
      </c>
      <c r="E2346" t="s">
        <v>11</v>
      </c>
      <c r="F2346" s="9">
        <v>12682.64</v>
      </c>
      <c r="G2346" s="4">
        <v>402</v>
      </c>
      <c r="H2346" s="8">
        <f t="shared" si="36"/>
        <v>402</v>
      </c>
      <c r="I2346" s="10">
        <v>2</v>
      </c>
    </row>
    <row r="2347" spans="1:9" ht="15.75" thickBot="1" x14ac:dyDescent="0.3">
      <c r="A2347" s="1">
        <v>43800</v>
      </c>
      <c r="B2347" s="8" t="s">
        <v>6</v>
      </c>
      <c r="C2347" t="s">
        <v>7</v>
      </c>
      <c r="D2347" t="s">
        <v>583</v>
      </c>
      <c r="E2347" t="s">
        <v>13</v>
      </c>
      <c r="F2347" s="9">
        <v>1864.01</v>
      </c>
      <c r="G2347" s="6">
        <v>11000</v>
      </c>
      <c r="H2347" s="8">
        <f t="shared" si="36"/>
        <v>11000</v>
      </c>
      <c r="I2347" s="10">
        <v>1</v>
      </c>
    </row>
    <row r="2348" spans="1:9" ht="15.75" thickBot="1" x14ac:dyDescent="0.3">
      <c r="A2348" s="1">
        <v>43800</v>
      </c>
      <c r="B2348" s="8" t="s">
        <v>6</v>
      </c>
      <c r="C2348" t="s">
        <v>7</v>
      </c>
      <c r="D2348" t="s">
        <v>584</v>
      </c>
      <c r="E2348" t="s">
        <v>9</v>
      </c>
      <c r="F2348" s="9">
        <v>2651.4</v>
      </c>
      <c r="G2348" s="4">
        <v>95</v>
      </c>
      <c r="H2348" s="8">
        <f t="shared" si="36"/>
        <v>95</v>
      </c>
      <c r="I2348" s="10">
        <v>1</v>
      </c>
    </row>
    <row r="2349" spans="1:9" ht="15.75" thickBot="1" x14ac:dyDescent="0.3">
      <c r="A2349" s="1">
        <v>43800</v>
      </c>
      <c r="B2349" s="8" t="s">
        <v>6</v>
      </c>
      <c r="C2349" t="s">
        <v>7</v>
      </c>
      <c r="D2349" t="s">
        <v>584</v>
      </c>
      <c r="E2349" t="s">
        <v>15</v>
      </c>
      <c r="F2349" s="9">
        <v>156</v>
      </c>
      <c r="G2349" s="4">
        <v>0</v>
      </c>
      <c r="H2349" s="8">
        <f t="shared" si="36"/>
        <v>0</v>
      </c>
      <c r="I2349" s="10">
        <v>1</v>
      </c>
    </row>
    <row r="2350" spans="1:9" ht="15.75" thickBot="1" x14ac:dyDescent="0.3">
      <c r="A2350" s="1">
        <v>43466</v>
      </c>
      <c r="B2350" s="8" t="s">
        <v>6</v>
      </c>
      <c r="C2350" t="s">
        <v>7</v>
      </c>
      <c r="D2350" t="s">
        <v>584</v>
      </c>
      <c r="E2350" t="s">
        <v>10</v>
      </c>
      <c r="F2350" s="9">
        <v>117219.51</v>
      </c>
      <c r="G2350" s="6">
        <v>4231919.2010000004</v>
      </c>
      <c r="H2350" s="8">
        <f t="shared" si="36"/>
        <v>4231.9192010000006</v>
      </c>
      <c r="I2350" s="10">
        <v>352</v>
      </c>
    </row>
    <row r="2351" spans="1:9" ht="15.75" thickBot="1" x14ac:dyDescent="0.3">
      <c r="A2351" s="1">
        <v>43466</v>
      </c>
      <c r="B2351" s="8" t="s">
        <v>6</v>
      </c>
      <c r="C2351" t="s">
        <v>7</v>
      </c>
      <c r="D2351" t="s">
        <v>584</v>
      </c>
      <c r="E2351" t="s">
        <v>11</v>
      </c>
      <c r="F2351" s="9">
        <v>2378.2399999999998</v>
      </c>
      <c r="G2351" s="6">
        <v>50000</v>
      </c>
      <c r="H2351" s="8">
        <f t="shared" si="36"/>
        <v>50000</v>
      </c>
      <c r="I2351" s="10">
        <v>12</v>
      </c>
    </row>
    <row r="2352" spans="1:9" ht="15.75" thickBot="1" x14ac:dyDescent="0.3">
      <c r="A2352" s="1">
        <v>43466</v>
      </c>
      <c r="B2352" s="8" t="s">
        <v>6</v>
      </c>
      <c r="C2352" t="s">
        <v>7</v>
      </c>
      <c r="D2352" t="s">
        <v>584</v>
      </c>
      <c r="E2352" t="s">
        <v>13</v>
      </c>
      <c r="F2352" s="9">
        <v>481.64</v>
      </c>
      <c r="G2352" s="6">
        <v>12000</v>
      </c>
      <c r="H2352" s="8">
        <f t="shared" si="36"/>
        <v>12000</v>
      </c>
      <c r="I2352" s="10">
        <v>2</v>
      </c>
    </row>
    <row r="2353" spans="1:9" ht="15.75" thickBot="1" x14ac:dyDescent="0.3">
      <c r="A2353" s="1">
        <v>43800</v>
      </c>
      <c r="B2353" s="8" t="s">
        <v>6</v>
      </c>
      <c r="C2353" t="s">
        <v>7</v>
      </c>
      <c r="D2353" t="s">
        <v>585</v>
      </c>
      <c r="E2353" t="s">
        <v>9</v>
      </c>
      <c r="F2353" s="9">
        <v>11797.4</v>
      </c>
      <c r="G2353" s="4">
        <v>403</v>
      </c>
      <c r="H2353" s="8">
        <f t="shared" si="36"/>
        <v>403</v>
      </c>
      <c r="I2353" s="10">
        <v>2</v>
      </c>
    </row>
    <row r="2354" spans="1:9" ht="15.75" thickBot="1" x14ac:dyDescent="0.3">
      <c r="A2354" s="1">
        <v>43800</v>
      </c>
      <c r="B2354" s="8" t="s">
        <v>6</v>
      </c>
      <c r="C2354" t="s">
        <v>7</v>
      </c>
      <c r="D2354" t="s">
        <v>585</v>
      </c>
      <c r="E2354" t="s">
        <v>15</v>
      </c>
      <c r="F2354" s="9">
        <v>489.28</v>
      </c>
      <c r="G2354" s="4">
        <v>4</v>
      </c>
      <c r="H2354" s="8">
        <f t="shared" si="36"/>
        <v>4</v>
      </c>
      <c r="I2354" s="10">
        <v>5</v>
      </c>
    </row>
    <row r="2355" spans="1:9" ht="15.75" thickBot="1" x14ac:dyDescent="0.3">
      <c r="A2355" s="1">
        <v>43800</v>
      </c>
      <c r="B2355" s="8" t="s">
        <v>6</v>
      </c>
      <c r="C2355" t="s">
        <v>7</v>
      </c>
      <c r="D2355" t="s">
        <v>585</v>
      </c>
      <c r="E2355" t="s">
        <v>10</v>
      </c>
      <c r="F2355" s="9">
        <v>74980.81</v>
      </c>
      <c r="G2355" s="6">
        <v>2662537.44</v>
      </c>
      <c r="H2355" s="8">
        <f t="shared" si="36"/>
        <v>2662.5374400000001</v>
      </c>
      <c r="I2355" s="10">
        <v>249</v>
      </c>
    </row>
    <row r="2356" spans="1:9" ht="15.75" thickBot="1" x14ac:dyDescent="0.3">
      <c r="A2356" s="1">
        <v>43800</v>
      </c>
      <c r="B2356" s="8" t="s">
        <v>6</v>
      </c>
      <c r="C2356" t="s">
        <v>7</v>
      </c>
      <c r="D2356" t="s">
        <v>585</v>
      </c>
      <c r="E2356" t="s">
        <v>13</v>
      </c>
      <c r="F2356" s="9">
        <v>1579.14</v>
      </c>
      <c r="G2356" s="7">
        <v>2051</v>
      </c>
      <c r="H2356" s="8">
        <f t="shared" si="36"/>
        <v>2051</v>
      </c>
      <c r="I2356" s="10">
        <v>2</v>
      </c>
    </row>
    <row r="2357" spans="1:9" ht="15.75" thickBot="1" x14ac:dyDescent="0.3">
      <c r="A2357" s="1">
        <v>43466</v>
      </c>
      <c r="B2357" s="8" t="s">
        <v>6</v>
      </c>
      <c r="C2357" t="s">
        <v>7</v>
      </c>
      <c r="D2357" t="s">
        <v>586</v>
      </c>
      <c r="E2357" t="s">
        <v>9</v>
      </c>
      <c r="F2357" s="9">
        <v>10501.16</v>
      </c>
      <c r="G2357" s="4">
        <v>292</v>
      </c>
      <c r="H2357" s="8">
        <f t="shared" si="36"/>
        <v>292</v>
      </c>
      <c r="I2357" s="10">
        <v>7</v>
      </c>
    </row>
    <row r="2358" spans="1:9" ht="15.75" thickBot="1" x14ac:dyDescent="0.3">
      <c r="A2358" s="1">
        <v>43466</v>
      </c>
      <c r="B2358" s="8" t="s">
        <v>6</v>
      </c>
      <c r="C2358" t="s">
        <v>7</v>
      </c>
      <c r="D2358" t="s">
        <v>586</v>
      </c>
      <c r="E2358" t="s">
        <v>15</v>
      </c>
      <c r="F2358" s="9">
        <v>3646.97</v>
      </c>
      <c r="G2358" s="4">
        <v>123</v>
      </c>
      <c r="H2358" s="8">
        <f t="shared" si="36"/>
        <v>123</v>
      </c>
      <c r="I2358" s="10">
        <v>5</v>
      </c>
    </row>
    <row r="2359" spans="1:9" ht="15.75" thickBot="1" x14ac:dyDescent="0.3">
      <c r="A2359" s="1">
        <v>43466</v>
      </c>
      <c r="B2359" s="8" t="s">
        <v>6</v>
      </c>
      <c r="C2359" t="s">
        <v>7</v>
      </c>
      <c r="D2359" t="s">
        <v>586</v>
      </c>
      <c r="E2359" t="s">
        <v>10</v>
      </c>
      <c r="F2359" s="9">
        <v>538898.69999999995</v>
      </c>
      <c r="G2359" s="7">
        <v>18487946.487</v>
      </c>
      <c r="H2359" s="8">
        <f t="shared" si="36"/>
        <v>18487.946487000001</v>
      </c>
      <c r="I2359" s="10">
        <v>1995</v>
      </c>
    </row>
    <row r="2360" spans="1:9" ht="15.75" thickBot="1" x14ac:dyDescent="0.3">
      <c r="A2360" s="1">
        <v>43800</v>
      </c>
      <c r="B2360" s="8" t="s">
        <v>6</v>
      </c>
      <c r="C2360" t="s">
        <v>7</v>
      </c>
      <c r="D2360" t="s">
        <v>586</v>
      </c>
      <c r="E2360" t="s">
        <v>11</v>
      </c>
      <c r="F2360" s="9">
        <v>15174.54</v>
      </c>
      <c r="G2360" s="4">
        <v>440</v>
      </c>
      <c r="H2360" s="8">
        <f t="shared" si="36"/>
        <v>440</v>
      </c>
      <c r="I2360" s="10">
        <v>17</v>
      </c>
    </row>
    <row r="2361" spans="1:9" ht="15.75" thickBot="1" x14ac:dyDescent="0.3">
      <c r="A2361" s="1">
        <v>43800</v>
      </c>
      <c r="B2361" s="8" t="s">
        <v>6</v>
      </c>
      <c r="C2361" t="s">
        <v>7</v>
      </c>
      <c r="D2361" t="s">
        <v>586</v>
      </c>
      <c r="E2361" t="s">
        <v>13</v>
      </c>
      <c r="F2361" s="9">
        <v>3620.73</v>
      </c>
      <c r="G2361" s="6">
        <v>121000</v>
      </c>
      <c r="H2361" s="8">
        <f t="shared" si="36"/>
        <v>121000</v>
      </c>
      <c r="I2361" s="10">
        <v>16</v>
      </c>
    </row>
    <row r="2362" spans="1:9" ht="15.75" thickBot="1" x14ac:dyDescent="0.3">
      <c r="A2362" s="1">
        <v>43800</v>
      </c>
      <c r="B2362" s="8" t="s">
        <v>6</v>
      </c>
      <c r="C2362" t="s">
        <v>7</v>
      </c>
      <c r="D2362" t="s">
        <v>587</v>
      </c>
      <c r="E2362" t="s">
        <v>9</v>
      </c>
      <c r="F2362" s="9">
        <v>69184.960000000006</v>
      </c>
      <c r="G2362" s="4">
        <v>2238</v>
      </c>
      <c r="H2362" s="8">
        <f t="shared" si="36"/>
        <v>2238</v>
      </c>
      <c r="I2362" s="10">
        <v>28</v>
      </c>
    </row>
    <row r="2363" spans="1:9" ht="15.75" thickBot="1" x14ac:dyDescent="0.3">
      <c r="A2363" s="1">
        <v>43800</v>
      </c>
      <c r="B2363" s="8" t="s">
        <v>6</v>
      </c>
      <c r="C2363" t="s">
        <v>7</v>
      </c>
      <c r="D2363" t="s">
        <v>587</v>
      </c>
      <c r="E2363" t="s">
        <v>15</v>
      </c>
      <c r="F2363" s="9">
        <v>500.96</v>
      </c>
      <c r="G2363" s="4">
        <v>8</v>
      </c>
      <c r="H2363" s="8">
        <f t="shared" si="36"/>
        <v>8</v>
      </c>
      <c r="I2363" s="10">
        <v>2</v>
      </c>
    </row>
    <row r="2364" spans="1:9" ht="15.75" thickBot="1" x14ac:dyDescent="0.3">
      <c r="A2364" s="1">
        <v>43466</v>
      </c>
      <c r="B2364" s="8" t="s">
        <v>6</v>
      </c>
      <c r="C2364" t="s">
        <v>7</v>
      </c>
      <c r="D2364" t="s">
        <v>587</v>
      </c>
      <c r="E2364" t="s">
        <v>10</v>
      </c>
      <c r="F2364" s="9">
        <v>409029.08</v>
      </c>
      <c r="G2364" s="7">
        <v>13868902.029999999</v>
      </c>
      <c r="H2364" s="8">
        <f t="shared" si="36"/>
        <v>13868.902029999999</v>
      </c>
      <c r="I2364" s="10">
        <v>932</v>
      </c>
    </row>
    <row r="2365" spans="1:9" ht="15.75" thickBot="1" x14ac:dyDescent="0.3">
      <c r="A2365" s="1">
        <v>43466</v>
      </c>
      <c r="B2365" s="8" t="s">
        <v>6</v>
      </c>
      <c r="C2365" t="s">
        <v>7</v>
      </c>
      <c r="D2365" t="s">
        <v>587</v>
      </c>
      <c r="E2365" t="s">
        <v>11</v>
      </c>
      <c r="F2365" s="9">
        <v>48588.82</v>
      </c>
      <c r="G2365" s="7">
        <v>93482.645000000004</v>
      </c>
      <c r="H2365" s="8">
        <f t="shared" si="36"/>
        <v>93482.645000000004</v>
      </c>
      <c r="I2365" s="10">
        <v>35</v>
      </c>
    </row>
    <row r="2366" spans="1:9" ht="15.75" thickBot="1" x14ac:dyDescent="0.3">
      <c r="A2366" s="1">
        <v>43466</v>
      </c>
      <c r="B2366" s="8" t="s">
        <v>6</v>
      </c>
      <c r="C2366" t="s">
        <v>7</v>
      </c>
      <c r="D2366" t="s">
        <v>587</v>
      </c>
      <c r="E2366" t="s">
        <v>13</v>
      </c>
      <c r="F2366" s="9">
        <v>1352.44</v>
      </c>
      <c r="G2366" s="6">
        <v>44085</v>
      </c>
      <c r="H2366" s="8">
        <f t="shared" si="36"/>
        <v>44085</v>
      </c>
      <c r="I2366" s="10">
        <v>4</v>
      </c>
    </row>
    <row r="2367" spans="1:9" ht="15.75" thickBot="1" x14ac:dyDescent="0.3">
      <c r="A2367" s="1">
        <v>43800</v>
      </c>
      <c r="B2367" s="8" t="s">
        <v>6</v>
      </c>
      <c r="C2367" t="s">
        <v>7</v>
      </c>
      <c r="D2367" t="s">
        <v>588</v>
      </c>
      <c r="E2367" t="s">
        <v>15</v>
      </c>
      <c r="F2367" s="9">
        <v>2813.96</v>
      </c>
      <c r="G2367" s="4">
        <v>103</v>
      </c>
      <c r="H2367" s="8">
        <f t="shared" si="36"/>
        <v>103</v>
      </c>
      <c r="I2367" s="10">
        <v>8</v>
      </c>
    </row>
    <row r="2368" spans="1:9" ht="15.75" thickBot="1" x14ac:dyDescent="0.3">
      <c r="A2368" s="1">
        <v>43800</v>
      </c>
      <c r="B2368" s="8" t="s">
        <v>6</v>
      </c>
      <c r="C2368" t="s">
        <v>7</v>
      </c>
      <c r="D2368" t="s">
        <v>588</v>
      </c>
      <c r="E2368" t="s">
        <v>10</v>
      </c>
      <c r="F2368" s="9">
        <v>3361.98</v>
      </c>
      <c r="G2368" s="6">
        <v>3913088.1320000002</v>
      </c>
      <c r="H2368" s="8">
        <f t="shared" si="36"/>
        <v>3913.0881320000003</v>
      </c>
      <c r="I2368" s="10">
        <v>506</v>
      </c>
    </row>
    <row r="2369" spans="1:9" ht="15.75" thickBot="1" x14ac:dyDescent="0.3">
      <c r="A2369" s="1">
        <v>43800</v>
      </c>
      <c r="B2369" s="8" t="s">
        <v>6</v>
      </c>
      <c r="C2369" t="s">
        <v>7</v>
      </c>
      <c r="D2369" t="s">
        <v>588</v>
      </c>
      <c r="E2369" t="s">
        <v>11</v>
      </c>
      <c r="F2369" s="9">
        <v>158.53</v>
      </c>
      <c r="G2369" s="4">
        <v>18</v>
      </c>
      <c r="H2369" s="8">
        <f t="shared" si="36"/>
        <v>18</v>
      </c>
      <c r="I2369" s="10">
        <v>1</v>
      </c>
    </row>
    <row r="2370" spans="1:9" ht="15.75" thickBot="1" x14ac:dyDescent="0.3">
      <c r="A2370" s="1">
        <v>43800</v>
      </c>
      <c r="B2370" s="8" t="s">
        <v>6</v>
      </c>
      <c r="C2370" t="s">
        <v>7</v>
      </c>
      <c r="D2370" t="s">
        <v>588</v>
      </c>
      <c r="E2370" t="s">
        <v>13</v>
      </c>
      <c r="F2370" s="9">
        <v>0</v>
      </c>
      <c r="G2370" s="6">
        <v>23760</v>
      </c>
      <c r="H2370" s="8">
        <f t="shared" ref="H2370:H2433" si="37">IF(ISNUMBER(SEARCH("Domestic customer", E2370)),G2370/1000,G2370)</f>
        <v>23760</v>
      </c>
      <c r="I2370" s="10">
        <v>2</v>
      </c>
    </row>
    <row r="2371" spans="1:9" ht="15.75" thickBot="1" x14ac:dyDescent="0.3">
      <c r="A2371" s="1">
        <v>43466</v>
      </c>
      <c r="B2371" s="8" t="s">
        <v>6</v>
      </c>
      <c r="C2371" t="s">
        <v>7</v>
      </c>
      <c r="D2371" t="s">
        <v>589</v>
      </c>
      <c r="E2371" t="s">
        <v>9</v>
      </c>
      <c r="F2371" s="9">
        <v>288389.3</v>
      </c>
      <c r="G2371" s="4">
        <v>7275</v>
      </c>
      <c r="H2371" s="8">
        <f t="shared" si="37"/>
        <v>7275</v>
      </c>
      <c r="I2371" s="10">
        <v>38</v>
      </c>
    </row>
    <row r="2372" spans="1:9" ht="15.75" thickBot="1" x14ac:dyDescent="0.3">
      <c r="A2372" s="1">
        <v>43466</v>
      </c>
      <c r="B2372" s="8" t="s">
        <v>6</v>
      </c>
      <c r="C2372" t="s">
        <v>7</v>
      </c>
      <c r="D2372" t="s">
        <v>589</v>
      </c>
      <c r="E2372" t="s">
        <v>15</v>
      </c>
      <c r="F2372" s="9">
        <v>483.04</v>
      </c>
      <c r="G2372" s="4">
        <v>14</v>
      </c>
      <c r="H2372" s="8">
        <f t="shared" si="37"/>
        <v>14</v>
      </c>
      <c r="I2372" s="10">
        <v>1</v>
      </c>
    </row>
    <row r="2373" spans="1:9" ht="15.75" thickBot="1" x14ac:dyDescent="0.3">
      <c r="A2373" s="1">
        <v>43466</v>
      </c>
      <c r="B2373" s="8" t="s">
        <v>6</v>
      </c>
      <c r="C2373" t="s">
        <v>7</v>
      </c>
      <c r="D2373" t="s">
        <v>589</v>
      </c>
      <c r="E2373" t="s">
        <v>10</v>
      </c>
      <c r="F2373" s="9">
        <v>6690.14</v>
      </c>
      <c r="G2373" s="6">
        <v>82000</v>
      </c>
      <c r="H2373" s="8">
        <f t="shared" si="37"/>
        <v>82</v>
      </c>
      <c r="I2373" s="10">
        <v>1</v>
      </c>
    </row>
    <row r="2374" spans="1:9" ht="15.75" thickBot="1" x14ac:dyDescent="0.3">
      <c r="A2374" s="1">
        <v>43800</v>
      </c>
      <c r="B2374" s="8" t="s">
        <v>6</v>
      </c>
      <c r="C2374" t="s">
        <v>7</v>
      </c>
      <c r="D2374" t="s">
        <v>589</v>
      </c>
      <c r="E2374" t="s">
        <v>17</v>
      </c>
      <c r="F2374" s="9">
        <v>13387.29</v>
      </c>
      <c r="G2374" s="4">
        <v>374</v>
      </c>
      <c r="H2374" s="8">
        <f t="shared" si="37"/>
        <v>374</v>
      </c>
      <c r="I2374" s="10">
        <v>5</v>
      </c>
    </row>
    <row r="2375" spans="1:9" ht="15.75" thickBot="1" x14ac:dyDescent="0.3">
      <c r="A2375" s="1">
        <v>43800</v>
      </c>
      <c r="B2375" s="8" t="s">
        <v>6</v>
      </c>
      <c r="C2375" t="s">
        <v>7</v>
      </c>
      <c r="D2375" t="s">
        <v>589</v>
      </c>
      <c r="E2375" t="s">
        <v>11</v>
      </c>
      <c r="F2375" s="9">
        <v>202291.24</v>
      </c>
      <c r="G2375" s="4">
        <v>6785</v>
      </c>
      <c r="H2375" s="8">
        <f t="shared" si="37"/>
        <v>6785</v>
      </c>
      <c r="I2375" s="10">
        <v>3</v>
      </c>
    </row>
    <row r="2376" spans="1:9" ht="15.75" thickBot="1" x14ac:dyDescent="0.3">
      <c r="A2376" s="1">
        <v>43800</v>
      </c>
      <c r="B2376" s="8" t="s">
        <v>6</v>
      </c>
      <c r="C2376" t="s">
        <v>7</v>
      </c>
      <c r="D2376" t="s">
        <v>589</v>
      </c>
      <c r="E2376" t="s">
        <v>13</v>
      </c>
      <c r="F2376" s="9">
        <v>10193.4</v>
      </c>
      <c r="G2376" s="4">
        <v>70</v>
      </c>
      <c r="H2376" s="8">
        <f t="shared" si="37"/>
        <v>70</v>
      </c>
      <c r="I2376" s="10">
        <v>3</v>
      </c>
    </row>
    <row r="2377" spans="1:9" ht="15.75" thickBot="1" x14ac:dyDescent="0.3">
      <c r="A2377" s="1">
        <v>43800</v>
      </c>
      <c r="B2377" s="8" t="s">
        <v>6</v>
      </c>
      <c r="C2377" t="s">
        <v>7</v>
      </c>
      <c r="D2377" t="s">
        <v>590</v>
      </c>
      <c r="E2377" t="s">
        <v>9</v>
      </c>
      <c r="F2377" s="9">
        <v>422467.99</v>
      </c>
      <c r="G2377" s="4">
        <v>14239</v>
      </c>
      <c r="H2377" s="8">
        <f t="shared" si="37"/>
        <v>14239</v>
      </c>
      <c r="I2377" s="10">
        <v>101</v>
      </c>
    </row>
    <row r="2378" spans="1:9" ht="15.75" thickBot="1" x14ac:dyDescent="0.3">
      <c r="A2378" s="1">
        <v>43466</v>
      </c>
      <c r="B2378" s="8" t="s">
        <v>6</v>
      </c>
      <c r="C2378" t="s">
        <v>7</v>
      </c>
      <c r="D2378" t="s">
        <v>590</v>
      </c>
      <c r="E2378" t="s">
        <v>15</v>
      </c>
      <c r="F2378" s="9">
        <v>14954.23</v>
      </c>
      <c r="G2378" s="7">
        <v>46274.966</v>
      </c>
      <c r="H2378" s="8">
        <f t="shared" si="37"/>
        <v>46274.966</v>
      </c>
      <c r="I2378" s="10">
        <v>11</v>
      </c>
    </row>
    <row r="2379" spans="1:9" ht="15.75" thickBot="1" x14ac:dyDescent="0.3">
      <c r="A2379" s="1">
        <v>43466</v>
      </c>
      <c r="B2379" s="8" t="s">
        <v>6</v>
      </c>
      <c r="C2379" t="s">
        <v>7</v>
      </c>
      <c r="D2379" t="s">
        <v>590</v>
      </c>
      <c r="E2379" t="s">
        <v>10</v>
      </c>
      <c r="F2379" s="9">
        <v>389522.67</v>
      </c>
      <c r="G2379" s="7">
        <v>14484273.195</v>
      </c>
      <c r="H2379" s="8">
        <f t="shared" si="37"/>
        <v>14484.273195</v>
      </c>
      <c r="I2379" s="10">
        <v>822</v>
      </c>
    </row>
    <row r="2380" spans="1:9" ht="15.75" thickBot="1" x14ac:dyDescent="0.3">
      <c r="A2380" s="1">
        <v>43466</v>
      </c>
      <c r="B2380" s="8" t="s">
        <v>6</v>
      </c>
      <c r="C2380" t="s">
        <v>7</v>
      </c>
      <c r="D2380" t="s">
        <v>590</v>
      </c>
      <c r="E2380" t="s">
        <v>17</v>
      </c>
      <c r="F2380" s="9">
        <v>191505.54</v>
      </c>
      <c r="G2380" s="4">
        <v>5806</v>
      </c>
      <c r="H2380" s="8">
        <f t="shared" si="37"/>
        <v>5806</v>
      </c>
      <c r="I2380" s="10">
        <v>74</v>
      </c>
    </row>
    <row r="2381" spans="1:9" ht="15.75" thickBot="1" x14ac:dyDescent="0.3">
      <c r="A2381" s="1">
        <v>43800</v>
      </c>
      <c r="B2381" s="8" t="s">
        <v>6</v>
      </c>
      <c r="C2381" t="s">
        <v>7</v>
      </c>
      <c r="D2381" t="s">
        <v>590</v>
      </c>
      <c r="E2381" t="s">
        <v>11</v>
      </c>
      <c r="F2381" s="9">
        <v>647393.02</v>
      </c>
      <c r="G2381" s="7">
        <v>157628.83499999999</v>
      </c>
      <c r="H2381" s="8">
        <f t="shared" si="37"/>
        <v>157628.83499999999</v>
      </c>
      <c r="I2381" s="10">
        <v>143</v>
      </c>
    </row>
    <row r="2382" spans="1:9" ht="15.75" thickBot="1" x14ac:dyDescent="0.3">
      <c r="A2382" s="1">
        <v>43800</v>
      </c>
      <c r="B2382" s="8" t="s">
        <v>6</v>
      </c>
      <c r="C2382" t="s">
        <v>7</v>
      </c>
      <c r="D2382" t="s">
        <v>590</v>
      </c>
      <c r="E2382" t="s">
        <v>13</v>
      </c>
      <c r="F2382" s="9">
        <v>3941.97</v>
      </c>
      <c r="G2382" s="7">
        <v>45508.006999999998</v>
      </c>
      <c r="H2382" s="8">
        <f t="shared" si="37"/>
        <v>45508.006999999998</v>
      </c>
      <c r="I2382" s="10">
        <v>7</v>
      </c>
    </row>
    <row r="2383" spans="1:9" ht="15.75" thickBot="1" x14ac:dyDescent="0.3">
      <c r="A2383" s="1">
        <v>43800</v>
      </c>
      <c r="B2383" s="8" t="s">
        <v>6</v>
      </c>
      <c r="C2383" t="s">
        <v>7</v>
      </c>
      <c r="D2383" t="s">
        <v>591</v>
      </c>
      <c r="E2383" t="s">
        <v>9</v>
      </c>
      <c r="F2383" s="9">
        <v>92438.23</v>
      </c>
      <c r="G2383" s="4">
        <v>2957</v>
      </c>
      <c r="H2383" s="8">
        <f t="shared" si="37"/>
        <v>2957</v>
      </c>
      <c r="I2383" s="10">
        <v>17</v>
      </c>
    </row>
    <row r="2384" spans="1:9" ht="15.75" thickBot="1" x14ac:dyDescent="0.3">
      <c r="A2384" s="1">
        <v>43800</v>
      </c>
      <c r="B2384" s="8" t="s">
        <v>6</v>
      </c>
      <c r="C2384" t="s">
        <v>7</v>
      </c>
      <c r="D2384" t="s">
        <v>591</v>
      </c>
      <c r="E2384" t="s">
        <v>10</v>
      </c>
      <c r="F2384" s="9">
        <v>81.569999999999993</v>
      </c>
      <c r="G2384" s="5">
        <v>0</v>
      </c>
      <c r="H2384" s="8">
        <f t="shared" si="37"/>
        <v>0</v>
      </c>
      <c r="I2384" s="10">
        <v>1</v>
      </c>
    </row>
    <row r="2385" spans="1:9" ht="15.75" thickBot="1" x14ac:dyDescent="0.3">
      <c r="A2385" s="1">
        <v>43466</v>
      </c>
      <c r="B2385" s="8" t="s">
        <v>6</v>
      </c>
      <c r="C2385" t="s">
        <v>7</v>
      </c>
      <c r="D2385" t="s">
        <v>591</v>
      </c>
      <c r="E2385" t="s">
        <v>17</v>
      </c>
      <c r="F2385" s="9">
        <v>52842.61</v>
      </c>
      <c r="G2385" s="4">
        <v>1501</v>
      </c>
      <c r="H2385" s="8">
        <f t="shared" si="37"/>
        <v>1501</v>
      </c>
      <c r="I2385" s="10">
        <v>21</v>
      </c>
    </row>
    <row r="2386" spans="1:9" ht="15.75" thickBot="1" x14ac:dyDescent="0.3">
      <c r="A2386" s="1">
        <v>43466</v>
      </c>
      <c r="B2386" s="8" t="s">
        <v>6</v>
      </c>
      <c r="C2386" t="s">
        <v>7</v>
      </c>
      <c r="D2386" t="s">
        <v>591</v>
      </c>
      <c r="E2386" t="s">
        <v>11</v>
      </c>
      <c r="F2386" s="9">
        <v>26934.49</v>
      </c>
      <c r="G2386" s="4">
        <v>752</v>
      </c>
      <c r="H2386" s="8">
        <f t="shared" si="37"/>
        <v>752</v>
      </c>
      <c r="I2386" s="10">
        <v>11</v>
      </c>
    </row>
    <row r="2387" spans="1:9" ht="15.75" thickBot="1" x14ac:dyDescent="0.3">
      <c r="A2387" s="1">
        <v>43466</v>
      </c>
      <c r="B2387" s="8" t="s">
        <v>6</v>
      </c>
      <c r="C2387" t="s">
        <v>7</v>
      </c>
      <c r="D2387" t="s">
        <v>592</v>
      </c>
      <c r="E2387" t="s">
        <v>9</v>
      </c>
      <c r="F2387" s="9">
        <v>16753.099999999999</v>
      </c>
      <c r="G2387" s="4">
        <v>386</v>
      </c>
      <c r="H2387" s="8">
        <f t="shared" si="37"/>
        <v>386</v>
      </c>
      <c r="I2387" s="10">
        <v>5</v>
      </c>
    </row>
    <row r="2388" spans="1:9" ht="15.75" thickBot="1" x14ac:dyDescent="0.3">
      <c r="A2388" s="1">
        <v>43800</v>
      </c>
      <c r="B2388" s="8" t="s">
        <v>6</v>
      </c>
      <c r="C2388" t="s">
        <v>7</v>
      </c>
      <c r="D2388" t="s">
        <v>592</v>
      </c>
      <c r="E2388" t="s">
        <v>10</v>
      </c>
      <c r="F2388" s="9">
        <v>203750.85</v>
      </c>
      <c r="G2388" s="6">
        <v>7240586.9220000003</v>
      </c>
      <c r="H2388" s="8">
        <f t="shared" si="37"/>
        <v>7240.5869220000004</v>
      </c>
      <c r="I2388" s="10">
        <v>770</v>
      </c>
    </row>
    <row r="2389" spans="1:9" ht="15.75" thickBot="1" x14ac:dyDescent="0.3">
      <c r="A2389" s="1">
        <v>43800</v>
      </c>
      <c r="B2389" s="8" t="s">
        <v>6</v>
      </c>
      <c r="C2389" t="s">
        <v>7</v>
      </c>
      <c r="D2389" t="s">
        <v>592</v>
      </c>
      <c r="E2389" t="s">
        <v>11</v>
      </c>
      <c r="F2389" s="9">
        <v>12786.69</v>
      </c>
      <c r="G2389" s="7">
        <v>249029</v>
      </c>
      <c r="H2389" s="8">
        <f t="shared" si="37"/>
        <v>249029</v>
      </c>
      <c r="I2389" s="10">
        <v>9</v>
      </c>
    </row>
    <row r="2390" spans="1:9" ht="15.75" thickBot="1" x14ac:dyDescent="0.3">
      <c r="A2390" s="1">
        <v>43800</v>
      </c>
      <c r="B2390" s="8" t="s">
        <v>6</v>
      </c>
      <c r="C2390" t="s">
        <v>7</v>
      </c>
      <c r="D2390" t="s">
        <v>592</v>
      </c>
      <c r="E2390" t="s">
        <v>13</v>
      </c>
      <c r="F2390" s="9">
        <v>935.53</v>
      </c>
      <c r="G2390" s="6">
        <v>30000</v>
      </c>
      <c r="H2390" s="8">
        <f t="shared" si="37"/>
        <v>30000</v>
      </c>
      <c r="I2390" s="10">
        <v>4</v>
      </c>
    </row>
    <row r="2391" spans="1:9" ht="15.75" thickBot="1" x14ac:dyDescent="0.3">
      <c r="A2391" s="1">
        <v>43800</v>
      </c>
      <c r="B2391" s="8" t="s">
        <v>6</v>
      </c>
      <c r="C2391" t="s">
        <v>7</v>
      </c>
      <c r="D2391" t="s">
        <v>593</v>
      </c>
      <c r="E2391" t="s">
        <v>10</v>
      </c>
      <c r="F2391" s="9">
        <v>200633.32</v>
      </c>
      <c r="G2391" s="6">
        <v>38435625</v>
      </c>
      <c r="H2391" s="8">
        <f t="shared" si="37"/>
        <v>38435.625</v>
      </c>
      <c r="I2391" s="10">
        <v>12</v>
      </c>
    </row>
    <row r="2392" spans="1:9" ht="15.75" thickBot="1" x14ac:dyDescent="0.3">
      <c r="A2392" s="1">
        <v>43466</v>
      </c>
      <c r="B2392" s="8" t="s">
        <v>6</v>
      </c>
      <c r="C2392" t="s">
        <v>7</v>
      </c>
      <c r="D2392" t="s">
        <v>593</v>
      </c>
      <c r="E2392" t="s">
        <v>11</v>
      </c>
      <c r="F2392" s="9">
        <v>94503.02</v>
      </c>
      <c r="G2392" s="4">
        <v>5719</v>
      </c>
      <c r="H2392" s="8">
        <f t="shared" si="37"/>
        <v>5719</v>
      </c>
      <c r="I2392" s="10">
        <v>4</v>
      </c>
    </row>
    <row r="2393" spans="1:9" ht="15.75" thickBot="1" x14ac:dyDescent="0.3">
      <c r="A2393" s="1">
        <v>43466</v>
      </c>
      <c r="B2393" s="8" t="s">
        <v>6</v>
      </c>
      <c r="C2393" t="s">
        <v>7</v>
      </c>
      <c r="D2393" t="s">
        <v>593</v>
      </c>
      <c r="E2393" t="s">
        <v>13</v>
      </c>
      <c r="F2393" s="9">
        <v>100</v>
      </c>
      <c r="G2393" s="6">
        <v>0</v>
      </c>
      <c r="H2393" s="8">
        <f t="shared" si="37"/>
        <v>0</v>
      </c>
      <c r="I2393" s="10">
        <v>1</v>
      </c>
    </row>
    <row r="2394" spans="1:9" ht="15.75" thickBot="1" x14ac:dyDescent="0.3">
      <c r="A2394" s="1">
        <v>43466</v>
      </c>
      <c r="B2394" s="8" t="s">
        <v>6</v>
      </c>
      <c r="C2394" t="s">
        <v>7</v>
      </c>
      <c r="D2394" t="s">
        <v>594</v>
      </c>
      <c r="E2394" t="s">
        <v>10</v>
      </c>
      <c r="F2394" s="9">
        <v>47480.94</v>
      </c>
      <c r="G2394" s="6">
        <v>1267264.9140000001</v>
      </c>
      <c r="H2394" s="8">
        <f t="shared" si="37"/>
        <v>1267.2649140000001</v>
      </c>
      <c r="I2394" s="10">
        <v>74</v>
      </c>
    </row>
    <row r="2395" spans="1:9" ht="15.75" thickBot="1" x14ac:dyDescent="0.3">
      <c r="A2395" s="1">
        <v>43800</v>
      </c>
      <c r="B2395" s="8" t="s">
        <v>6</v>
      </c>
      <c r="C2395" t="s">
        <v>7</v>
      </c>
      <c r="D2395" t="s">
        <v>594</v>
      </c>
      <c r="E2395" t="s">
        <v>11</v>
      </c>
      <c r="F2395" s="9">
        <v>81.569999999999993</v>
      </c>
      <c r="G2395" s="5">
        <v>0</v>
      </c>
      <c r="H2395" s="8">
        <f t="shared" si="37"/>
        <v>0</v>
      </c>
      <c r="I2395" s="10">
        <v>1</v>
      </c>
    </row>
    <row r="2396" spans="1:9" ht="15.75" thickBot="1" x14ac:dyDescent="0.3">
      <c r="A2396" s="1">
        <v>43800</v>
      </c>
      <c r="B2396" s="8" t="s">
        <v>6</v>
      </c>
      <c r="C2396" t="s">
        <v>7</v>
      </c>
      <c r="D2396" t="s">
        <v>594</v>
      </c>
      <c r="E2396" t="s">
        <v>13</v>
      </c>
      <c r="F2396" s="9">
        <v>284.92</v>
      </c>
      <c r="G2396" s="6">
        <v>10000</v>
      </c>
      <c r="H2396" s="8">
        <f t="shared" si="37"/>
        <v>10000</v>
      </c>
      <c r="I2396" s="10">
        <v>1</v>
      </c>
    </row>
    <row r="2397" spans="1:9" ht="15.75" thickBot="1" x14ac:dyDescent="0.3">
      <c r="A2397" s="1">
        <v>43800</v>
      </c>
      <c r="B2397" s="8" t="s">
        <v>6</v>
      </c>
      <c r="C2397" t="s">
        <v>7</v>
      </c>
      <c r="D2397" t="s">
        <v>595</v>
      </c>
      <c r="E2397" t="s">
        <v>9</v>
      </c>
      <c r="F2397" s="9">
        <v>17522.68</v>
      </c>
      <c r="G2397" s="4">
        <v>449</v>
      </c>
      <c r="H2397" s="8">
        <f t="shared" si="37"/>
        <v>449</v>
      </c>
      <c r="I2397" s="10">
        <v>6</v>
      </c>
    </row>
    <row r="2398" spans="1:9" ht="15.75" thickBot="1" x14ac:dyDescent="0.3">
      <c r="A2398" s="1">
        <v>43800</v>
      </c>
      <c r="B2398" s="8" t="s">
        <v>6</v>
      </c>
      <c r="C2398" t="s">
        <v>7</v>
      </c>
      <c r="D2398" t="s">
        <v>595</v>
      </c>
      <c r="E2398" t="s">
        <v>15</v>
      </c>
      <c r="F2398" s="9">
        <v>1089.44</v>
      </c>
      <c r="G2398" s="4">
        <v>17</v>
      </c>
      <c r="H2398" s="8">
        <f t="shared" si="37"/>
        <v>17</v>
      </c>
      <c r="I2398" s="10">
        <v>1</v>
      </c>
    </row>
    <row r="2399" spans="1:9" ht="15.75" thickBot="1" x14ac:dyDescent="0.3">
      <c r="A2399" s="1">
        <v>43466</v>
      </c>
      <c r="B2399" s="8" t="s">
        <v>6</v>
      </c>
      <c r="C2399" t="s">
        <v>7</v>
      </c>
      <c r="D2399" t="s">
        <v>595</v>
      </c>
      <c r="E2399" t="s">
        <v>10</v>
      </c>
      <c r="F2399" s="9">
        <v>59908.72</v>
      </c>
      <c r="G2399" s="6">
        <v>3308289.35</v>
      </c>
      <c r="H2399" s="8">
        <f t="shared" si="37"/>
        <v>3308.28935</v>
      </c>
      <c r="I2399" s="10">
        <v>9</v>
      </c>
    </row>
    <row r="2400" spans="1:9" ht="15.75" thickBot="1" x14ac:dyDescent="0.3">
      <c r="A2400" s="1">
        <v>43466</v>
      </c>
      <c r="B2400" s="8" t="s">
        <v>6</v>
      </c>
      <c r="C2400" t="s">
        <v>7</v>
      </c>
      <c r="D2400" t="s">
        <v>596</v>
      </c>
      <c r="E2400" t="s">
        <v>9</v>
      </c>
      <c r="F2400" s="9">
        <v>4528.04</v>
      </c>
      <c r="G2400" s="4">
        <v>147</v>
      </c>
      <c r="H2400" s="8">
        <f t="shared" si="37"/>
        <v>147</v>
      </c>
      <c r="I2400" s="10">
        <v>3</v>
      </c>
    </row>
    <row r="2401" spans="1:9" ht="15.75" thickBot="1" x14ac:dyDescent="0.3">
      <c r="A2401" s="1">
        <v>43466</v>
      </c>
      <c r="B2401" s="8" t="s">
        <v>6</v>
      </c>
      <c r="C2401" t="s">
        <v>7</v>
      </c>
      <c r="D2401" t="s">
        <v>596</v>
      </c>
      <c r="E2401" t="s">
        <v>15</v>
      </c>
      <c r="F2401" s="9">
        <v>826.17</v>
      </c>
      <c r="G2401" s="4">
        <v>15</v>
      </c>
      <c r="H2401" s="8">
        <f t="shared" si="37"/>
        <v>15</v>
      </c>
      <c r="I2401" s="10">
        <v>5</v>
      </c>
    </row>
    <row r="2402" spans="1:9" ht="15.75" thickBot="1" x14ac:dyDescent="0.3">
      <c r="A2402" s="1">
        <v>43800</v>
      </c>
      <c r="B2402" s="8" t="s">
        <v>6</v>
      </c>
      <c r="C2402" t="s">
        <v>7</v>
      </c>
      <c r="D2402" t="s">
        <v>596</v>
      </c>
      <c r="E2402" t="s">
        <v>10</v>
      </c>
      <c r="F2402" s="9">
        <v>356221.44</v>
      </c>
      <c r="G2402" s="6">
        <v>14213311.912</v>
      </c>
      <c r="H2402" s="8">
        <f t="shared" si="37"/>
        <v>14213.311912000001</v>
      </c>
      <c r="I2402" s="10">
        <v>1471</v>
      </c>
    </row>
    <row r="2403" spans="1:9" ht="15.75" thickBot="1" x14ac:dyDescent="0.3">
      <c r="A2403" s="1">
        <v>43800</v>
      </c>
      <c r="B2403" s="8" t="s">
        <v>6</v>
      </c>
      <c r="C2403" t="s">
        <v>7</v>
      </c>
      <c r="D2403" t="s">
        <v>596</v>
      </c>
      <c r="E2403" t="s">
        <v>11</v>
      </c>
      <c r="F2403" s="9">
        <v>35860.89</v>
      </c>
      <c r="G2403" s="7">
        <v>17062.374</v>
      </c>
      <c r="H2403" s="8">
        <f t="shared" si="37"/>
        <v>17062.374</v>
      </c>
      <c r="I2403" s="10">
        <v>18</v>
      </c>
    </row>
    <row r="2404" spans="1:9" ht="15.75" thickBot="1" x14ac:dyDescent="0.3">
      <c r="A2404" s="1">
        <v>43800</v>
      </c>
      <c r="B2404" s="8" t="s">
        <v>6</v>
      </c>
      <c r="C2404" t="s">
        <v>7</v>
      </c>
      <c r="D2404" t="s">
        <v>596</v>
      </c>
      <c r="E2404" t="s">
        <v>13</v>
      </c>
      <c r="F2404" s="9">
        <v>822.39</v>
      </c>
      <c r="G2404" s="6">
        <v>29000</v>
      </c>
      <c r="H2404" s="8">
        <f t="shared" si="37"/>
        <v>29000</v>
      </c>
      <c r="I2404" s="10">
        <v>5</v>
      </c>
    </row>
    <row r="2405" spans="1:9" ht="15.75" thickBot="1" x14ac:dyDescent="0.3">
      <c r="A2405" s="1">
        <v>43800</v>
      </c>
      <c r="B2405" s="8" t="s">
        <v>6</v>
      </c>
      <c r="C2405" t="s">
        <v>7</v>
      </c>
      <c r="D2405" t="s">
        <v>597</v>
      </c>
      <c r="E2405" t="s">
        <v>9</v>
      </c>
      <c r="F2405" s="9">
        <v>59297.03</v>
      </c>
      <c r="G2405" s="7">
        <v>2385.2370000000001</v>
      </c>
      <c r="H2405" s="8">
        <f t="shared" si="37"/>
        <v>2385.2370000000001</v>
      </c>
      <c r="I2405" s="10">
        <v>44</v>
      </c>
    </row>
    <row r="2406" spans="1:9" ht="15.75" thickBot="1" x14ac:dyDescent="0.3">
      <c r="A2406" s="1">
        <v>43466</v>
      </c>
      <c r="B2406" s="8" t="s">
        <v>6</v>
      </c>
      <c r="C2406" t="s">
        <v>7</v>
      </c>
      <c r="D2406" t="s">
        <v>597</v>
      </c>
      <c r="E2406" t="s">
        <v>10</v>
      </c>
      <c r="F2406" s="9">
        <v>20090.66</v>
      </c>
      <c r="G2406" s="7">
        <v>381301.91399999999</v>
      </c>
      <c r="H2406" s="8">
        <f t="shared" si="37"/>
        <v>381.30191400000001</v>
      </c>
      <c r="I2406" s="10">
        <v>25</v>
      </c>
    </row>
    <row r="2407" spans="1:9" ht="15.75" thickBot="1" x14ac:dyDescent="0.3">
      <c r="A2407" s="1">
        <v>43466</v>
      </c>
      <c r="B2407" s="8" t="s">
        <v>6</v>
      </c>
      <c r="C2407" t="s">
        <v>7</v>
      </c>
      <c r="D2407" t="s">
        <v>597</v>
      </c>
      <c r="E2407" t="s">
        <v>17</v>
      </c>
      <c r="F2407" s="9">
        <v>150166.43</v>
      </c>
      <c r="G2407" s="4">
        <v>4474</v>
      </c>
      <c r="H2407" s="8">
        <f t="shared" si="37"/>
        <v>4474</v>
      </c>
      <c r="I2407" s="10">
        <v>74</v>
      </c>
    </row>
    <row r="2408" spans="1:9" ht="15.75" thickBot="1" x14ac:dyDescent="0.3">
      <c r="A2408" s="1">
        <v>43466</v>
      </c>
      <c r="B2408" s="8" t="s">
        <v>6</v>
      </c>
      <c r="C2408" t="s">
        <v>7</v>
      </c>
      <c r="D2408" t="s">
        <v>597</v>
      </c>
      <c r="E2408" t="s">
        <v>11</v>
      </c>
      <c r="F2408" s="9">
        <v>63519.87</v>
      </c>
      <c r="G2408" s="7">
        <v>116679.717</v>
      </c>
      <c r="H2408" s="8">
        <f t="shared" si="37"/>
        <v>116679.717</v>
      </c>
      <c r="I2408" s="10">
        <v>51</v>
      </c>
    </row>
    <row r="2409" spans="1:9" ht="15.75" thickBot="1" x14ac:dyDescent="0.3">
      <c r="A2409" s="1">
        <v>43800</v>
      </c>
      <c r="B2409" s="8" t="s">
        <v>6</v>
      </c>
      <c r="C2409" t="s">
        <v>7</v>
      </c>
      <c r="D2409" t="s">
        <v>597</v>
      </c>
      <c r="E2409" t="s">
        <v>13</v>
      </c>
      <c r="F2409" s="9">
        <v>875.21</v>
      </c>
      <c r="G2409" s="4">
        <v>27</v>
      </c>
      <c r="H2409" s="8">
        <f t="shared" si="37"/>
        <v>27</v>
      </c>
      <c r="I2409" s="10">
        <v>2</v>
      </c>
    </row>
    <row r="2410" spans="1:9" ht="15.75" thickBot="1" x14ac:dyDescent="0.3">
      <c r="A2410" s="1">
        <v>43800</v>
      </c>
      <c r="B2410" s="8" t="s">
        <v>6</v>
      </c>
      <c r="C2410" t="s">
        <v>7</v>
      </c>
      <c r="D2410" t="s">
        <v>598</v>
      </c>
      <c r="E2410" t="s">
        <v>9</v>
      </c>
      <c r="F2410" s="9">
        <v>25197.68</v>
      </c>
      <c r="G2410" s="4">
        <v>624</v>
      </c>
      <c r="H2410" s="8">
        <f t="shared" si="37"/>
        <v>624</v>
      </c>
      <c r="I2410" s="10">
        <v>11</v>
      </c>
    </row>
    <row r="2411" spans="1:9" ht="15.75" thickBot="1" x14ac:dyDescent="0.3">
      <c r="A2411" s="1">
        <v>43800</v>
      </c>
      <c r="B2411" s="8" t="s">
        <v>6</v>
      </c>
      <c r="C2411" t="s">
        <v>7</v>
      </c>
      <c r="D2411" t="s">
        <v>598</v>
      </c>
      <c r="E2411" t="s">
        <v>15</v>
      </c>
      <c r="F2411" s="9">
        <v>100</v>
      </c>
      <c r="G2411" s="4">
        <v>0</v>
      </c>
      <c r="H2411" s="8">
        <f t="shared" si="37"/>
        <v>0</v>
      </c>
      <c r="I2411" s="10">
        <v>1</v>
      </c>
    </row>
    <row r="2412" spans="1:9" ht="15.75" thickBot="1" x14ac:dyDescent="0.3">
      <c r="A2412" s="1">
        <v>43800</v>
      </c>
      <c r="B2412" s="8" t="s">
        <v>6</v>
      </c>
      <c r="C2412" t="s">
        <v>7</v>
      </c>
      <c r="D2412" t="s">
        <v>598</v>
      </c>
      <c r="E2412" t="s">
        <v>10</v>
      </c>
      <c r="F2412" s="9">
        <v>15812.56</v>
      </c>
      <c r="G2412" s="7">
        <v>291021.59999999998</v>
      </c>
      <c r="H2412" s="8">
        <f t="shared" si="37"/>
        <v>291.02159999999998</v>
      </c>
      <c r="I2412" s="10">
        <v>21</v>
      </c>
    </row>
    <row r="2413" spans="1:9" ht="15.75" thickBot="1" x14ac:dyDescent="0.3">
      <c r="A2413" s="1">
        <v>43466</v>
      </c>
      <c r="B2413" s="8" t="s">
        <v>6</v>
      </c>
      <c r="C2413" t="s">
        <v>7</v>
      </c>
      <c r="D2413" t="s">
        <v>598</v>
      </c>
      <c r="E2413" t="s">
        <v>17</v>
      </c>
      <c r="F2413" s="9">
        <v>47710.97</v>
      </c>
      <c r="G2413" s="4">
        <v>1049</v>
      </c>
      <c r="H2413" s="8">
        <f t="shared" si="37"/>
        <v>1049</v>
      </c>
      <c r="I2413" s="10">
        <v>26</v>
      </c>
    </row>
    <row r="2414" spans="1:9" ht="15.75" thickBot="1" x14ac:dyDescent="0.3">
      <c r="A2414" s="1">
        <v>43466</v>
      </c>
      <c r="B2414" s="8" t="s">
        <v>6</v>
      </c>
      <c r="C2414" t="s">
        <v>7</v>
      </c>
      <c r="D2414" t="s">
        <v>598</v>
      </c>
      <c r="E2414" t="s">
        <v>11</v>
      </c>
      <c r="F2414" s="9">
        <v>2282.4299999999998</v>
      </c>
      <c r="G2414" s="4">
        <v>46</v>
      </c>
      <c r="H2414" s="8">
        <f t="shared" si="37"/>
        <v>46</v>
      </c>
      <c r="I2414" s="10">
        <v>5</v>
      </c>
    </row>
    <row r="2415" spans="1:9" ht="15.75" thickBot="1" x14ac:dyDescent="0.3">
      <c r="A2415" s="1">
        <v>43466</v>
      </c>
      <c r="B2415" s="8" t="s">
        <v>6</v>
      </c>
      <c r="C2415" t="s">
        <v>7</v>
      </c>
      <c r="D2415" t="s">
        <v>598</v>
      </c>
      <c r="E2415" t="s">
        <v>13</v>
      </c>
      <c r="F2415" s="9">
        <v>3652.96</v>
      </c>
      <c r="G2415" s="4">
        <v>128</v>
      </c>
      <c r="H2415" s="8">
        <f t="shared" si="37"/>
        <v>128</v>
      </c>
      <c r="I2415" s="10">
        <v>1</v>
      </c>
    </row>
    <row r="2416" spans="1:9" ht="15.75" thickBot="1" x14ac:dyDescent="0.3">
      <c r="A2416" s="1">
        <v>43800</v>
      </c>
      <c r="B2416" s="8" t="s">
        <v>6</v>
      </c>
      <c r="C2416" t="s">
        <v>7</v>
      </c>
      <c r="D2416" t="s">
        <v>599</v>
      </c>
      <c r="E2416" t="s">
        <v>9</v>
      </c>
      <c r="F2416" s="9">
        <v>844460.75</v>
      </c>
      <c r="G2416" s="4">
        <v>29755</v>
      </c>
      <c r="H2416" s="8">
        <f t="shared" si="37"/>
        <v>29755</v>
      </c>
      <c r="I2416" s="10">
        <v>12</v>
      </c>
    </row>
    <row r="2417" spans="1:9" ht="15.75" thickBot="1" x14ac:dyDescent="0.3">
      <c r="A2417" s="1">
        <v>43800</v>
      </c>
      <c r="B2417" s="8" t="s">
        <v>6</v>
      </c>
      <c r="C2417" t="s">
        <v>7</v>
      </c>
      <c r="D2417" t="s">
        <v>599</v>
      </c>
      <c r="E2417" t="s">
        <v>15</v>
      </c>
      <c r="F2417" s="9">
        <v>12149.34</v>
      </c>
      <c r="G2417" s="4">
        <v>348</v>
      </c>
      <c r="H2417" s="8">
        <f t="shared" si="37"/>
        <v>348</v>
      </c>
      <c r="I2417" s="10">
        <v>5</v>
      </c>
    </row>
    <row r="2418" spans="1:9" ht="15.75" thickBot="1" x14ac:dyDescent="0.3">
      <c r="A2418" s="1">
        <v>43800</v>
      </c>
      <c r="B2418" s="8" t="s">
        <v>6</v>
      </c>
      <c r="C2418" t="s">
        <v>7</v>
      </c>
      <c r="D2418" t="s">
        <v>599</v>
      </c>
      <c r="E2418" t="s">
        <v>11</v>
      </c>
      <c r="F2418" s="9">
        <v>52054.18</v>
      </c>
      <c r="G2418" s="4">
        <v>1299</v>
      </c>
      <c r="H2418" s="8">
        <f t="shared" si="37"/>
        <v>1299</v>
      </c>
      <c r="I2418" s="10">
        <v>11</v>
      </c>
    </row>
    <row r="2419" spans="1:9" ht="15.75" thickBot="1" x14ac:dyDescent="0.3">
      <c r="A2419" s="1">
        <v>43800</v>
      </c>
      <c r="B2419" s="8" t="s">
        <v>6</v>
      </c>
      <c r="C2419" t="s">
        <v>7</v>
      </c>
      <c r="D2419" t="s">
        <v>600</v>
      </c>
      <c r="E2419" t="s">
        <v>9</v>
      </c>
      <c r="F2419" s="9">
        <v>10891.83</v>
      </c>
      <c r="G2419" s="4">
        <v>385</v>
      </c>
      <c r="H2419" s="8">
        <f t="shared" si="37"/>
        <v>385</v>
      </c>
      <c r="I2419" s="10">
        <v>4</v>
      </c>
    </row>
    <row r="2420" spans="1:9" ht="15.75" thickBot="1" x14ac:dyDescent="0.3">
      <c r="A2420" s="1">
        <v>43466</v>
      </c>
      <c r="B2420" s="8" t="s">
        <v>6</v>
      </c>
      <c r="C2420" t="s">
        <v>7</v>
      </c>
      <c r="D2420" t="s">
        <v>600</v>
      </c>
      <c r="E2420" t="s">
        <v>15</v>
      </c>
      <c r="F2420" s="9">
        <v>231683.91</v>
      </c>
      <c r="G2420" s="4">
        <v>8046</v>
      </c>
      <c r="H2420" s="8">
        <f t="shared" si="37"/>
        <v>8046</v>
      </c>
      <c r="I2420" s="10">
        <v>81</v>
      </c>
    </row>
    <row r="2421" spans="1:9" ht="15.75" thickBot="1" x14ac:dyDescent="0.3">
      <c r="A2421" s="1">
        <v>43466</v>
      </c>
      <c r="B2421" s="8" t="s">
        <v>6</v>
      </c>
      <c r="C2421" t="s">
        <v>7</v>
      </c>
      <c r="D2421" t="s">
        <v>600</v>
      </c>
      <c r="E2421" t="s">
        <v>10</v>
      </c>
      <c r="F2421" s="9">
        <v>204951.18</v>
      </c>
      <c r="G2421" s="6">
        <v>28327374.008000001</v>
      </c>
      <c r="H2421" s="8">
        <f t="shared" si="37"/>
        <v>28327.374008000003</v>
      </c>
      <c r="I2421" s="10">
        <v>2479</v>
      </c>
    </row>
    <row r="2422" spans="1:9" ht="15.75" thickBot="1" x14ac:dyDescent="0.3">
      <c r="A2422" s="1">
        <v>43466</v>
      </c>
      <c r="B2422" s="8" t="s">
        <v>6</v>
      </c>
      <c r="C2422" t="s">
        <v>7</v>
      </c>
      <c r="D2422" t="s">
        <v>600</v>
      </c>
      <c r="E2422" t="s">
        <v>11</v>
      </c>
      <c r="F2422" s="9">
        <v>-135384.07999999999</v>
      </c>
      <c r="G2422" s="7">
        <v>9253.0689999999995</v>
      </c>
      <c r="H2422" s="8">
        <f t="shared" si="37"/>
        <v>9253.0689999999995</v>
      </c>
      <c r="I2422" s="10">
        <v>22</v>
      </c>
    </row>
    <row r="2423" spans="1:9" ht="15.75" thickBot="1" x14ac:dyDescent="0.3">
      <c r="A2423" s="1">
        <v>43800</v>
      </c>
      <c r="B2423" s="8" t="s">
        <v>6</v>
      </c>
      <c r="C2423" t="s">
        <v>7</v>
      </c>
      <c r="D2423" t="s">
        <v>600</v>
      </c>
      <c r="E2423" t="s">
        <v>13</v>
      </c>
      <c r="F2423" s="9">
        <v>481.27</v>
      </c>
      <c r="G2423" s="6">
        <v>93000</v>
      </c>
      <c r="H2423" s="8">
        <f t="shared" si="37"/>
        <v>93000</v>
      </c>
      <c r="I2423" s="10">
        <v>10</v>
      </c>
    </row>
    <row r="2424" spans="1:9" ht="15.75" thickBot="1" x14ac:dyDescent="0.3">
      <c r="A2424" s="1">
        <v>43800</v>
      </c>
      <c r="B2424" s="8" t="s">
        <v>6</v>
      </c>
      <c r="C2424" t="s">
        <v>7</v>
      </c>
      <c r="D2424" t="s">
        <v>601</v>
      </c>
      <c r="E2424" t="s">
        <v>9</v>
      </c>
      <c r="F2424" s="9">
        <v>5463.48</v>
      </c>
      <c r="G2424" s="4">
        <v>189</v>
      </c>
      <c r="H2424" s="8">
        <f t="shared" si="37"/>
        <v>189</v>
      </c>
      <c r="I2424" s="10">
        <v>2</v>
      </c>
    </row>
    <row r="2425" spans="1:9" ht="15.75" thickBot="1" x14ac:dyDescent="0.3">
      <c r="A2425" s="1">
        <v>43800</v>
      </c>
      <c r="B2425" s="8" t="s">
        <v>6</v>
      </c>
      <c r="C2425" t="s">
        <v>7</v>
      </c>
      <c r="D2425" t="s">
        <v>601</v>
      </c>
      <c r="E2425" t="s">
        <v>15</v>
      </c>
      <c r="F2425" s="9">
        <v>127.32</v>
      </c>
      <c r="G2425" s="4">
        <v>1</v>
      </c>
      <c r="H2425" s="8">
        <f t="shared" si="37"/>
        <v>1</v>
      </c>
      <c r="I2425" s="10">
        <v>1</v>
      </c>
    </row>
    <row r="2426" spans="1:9" ht="15.75" thickBot="1" x14ac:dyDescent="0.3">
      <c r="A2426" s="1">
        <v>43800</v>
      </c>
      <c r="B2426" s="8" t="s">
        <v>6</v>
      </c>
      <c r="C2426" t="s">
        <v>7</v>
      </c>
      <c r="D2426" t="s">
        <v>601</v>
      </c>
      <c r="E2426" t="s">
        <v>10</v>
      </c>
      <c r="F2426" s="9">
        <v>91112.639999999999</v>
      </c>
      <c r="G2426" s="7">
        <v>2267181.1889999998</v>
      </c>
      <c r="H2426" s="8">
        <f t="shared" si="37"/>
        <v>2267.1811889999999</v>
      </c>
      <c r="I2426" s="10">
        <v>445</v>
      </c>
    </row>
    <row r="2427" spans="1:9" ht="15.75" thickBot="1" x14ac:dyDescent="0.3">
      <c r="A2427" s="1">
        <v>43466</v>
      </c>
      <c r="B2427" s="8" t="s">
        <v>6</v>
      </c>
      <c r="C2427" t="s">
        <v>7</v>
      </c>
      <c r="D2427" t="s">
        <v>601</v>
      </c>
      <c r="E2427" t="s">
        <v>11</v>
      </c>
      <c r="F2427" s="9">
        <v>2388.91</v>
      </c>
      <c r="G2427" s="6">
        <v>69000</v>
      </c>
      <c r="H2427" s="8">
        <f t="shared" si="37"/>
        <v>69000</v>
      </c>
      <c r="I2427" s="10">
        <v>11</v>
      </c>
    </row>
    <row r="2428" spans="1:9" ht="15.75" thickBot="1" x14ac:dyDescent="0.3">
      <c r="A2428" s="1">
        <v>43466</v>
      </c>
      <c r="B2428" s="8" t="s">
        <v>6</v>
      </c>
      <c r="C2428" t="s">
        <v>7</v>
      </c>
      <c r="D2428" t="s">
        <v>601</v>
      </c>
      <c r="E2428" t="s">
        <v>13</v>
      </c>
      <c r="F2428" s="9">
        <v>1269.8699999999999</v>
      </c>
      <c r="G2428" s="6">
        <v>27564.35</v>
      </c>
      <c r="H2428" s="8">
        <f t="shared" si="37"/>
        <v>27564.35</v>
      </c>
      <c r="I2428" s="10">
        <v>8</v>
      </c>
    </row>
    <row r="2429" spans="1:9" ht="15.75" thickBot="1" x14ac:dyDescent="0.3">
      <c r="A2429" s="1">
        <v>43466</v>
      </c>
      <c r="B2429" s="8" t="s">
        <v>6</v>
      </c>
      <c r="C2429" t="s">
        <v>7</v>
      </c>
      <c r="D2429" t="s">
        <v>602</v>
      </c>
      <c r="E2429" t="s">
        <v>9</v>
      </c>
      <c r="F2429" s="9">
        <v>81060.12</v>
      </c>
      <c r="G2429" s="4">
        <v>2666</v>
      </c>
      <c r="H2429" s="8">
        <f t="shared" si="37"/>
        <v>2666</v>
      </c>
      <c r="I2429" s="10">
        <v>2</v>
      </c>
    </row>
    <row r="2430" spans="1:9" ht="15.75" thickBot="1" x14ac:dyDescent="0.3">
      <c r="A2430" s="1">
        <v>43800</v>
      </c>
      <c r="B2430" s="8" t="s">
        <v>6</v>
      </c>
      <c r="C2430" t="s">
        <v>7</v>
      </c>
      <c r="D2430" t="s">
        <v>602</v>
      </c>
      <c r="E2430" t="s">
        <v>10</v>
      </c>
      <c r="F2430" s="9">
        <v>127592.64</v>
      </c>
      <c r="G2430" s="6">
        <v>6770000</v>
      </c>
      <c r="H2430" s="8">
        <f t="shared" si="37"/>
        <v>6770</v>
      </c>
      <c r="I2430" s="10">
        <v>31</v>
      </c>
    </row>
    <row r="2431" spans="1:9" ht="15.75" thickBot="1" x14ac:dyDescent="0.3">
      <c r="A2431" s="1">
        <v>43800</v>
      </c>
      <c r="B2431" s="8" t="s">
        <v>6</v>
      </c>
      <c r="C2431" t="s">
        <v>7</v>
      </c>
      <c r="D2431" t="s">
        <v>602</v>
      </c>
      <c r="E2431" t="s">
        <v>11</v>
      </c>
      <c r="F2431" s="9">
        <v>407.85</v>
      </c>
      <c r="G2431" s="5">
        <v>0</v>
      </c>
      <c r="H2431" s="8">
        <f t="shared" si="37"/>
        <v>0</v>
      </c>
      <c r="I2431" s="10">
        <v>5</v>
      </c>
    </row>
    <row r="2432" spans="1:9" ht="15.75" thickBot="1" x14ac:dyDescent="0.3">
      <c r="A2432" s="1">
        <v>43800</v>
      </c>
      <c r="B2432" s="8" t="s">
        <v>6</v>
      </c>
      <c r="C2432" t="s">
        <v>7</v>
      </c>
      <c r="D2432" t="s">
        <v>603</v>
      </c>
      <c r="E2432" t="s">
        <v>9</v>
      </c>
      <c r="F2432" s="9">
        <v>602.4</v>
      </c>
      <c r="G2432" s="4">
        <v>20</v>
      </c>
      <c r="H2432" s="8">
        <f t="shared" si="37"/>
        <v>20</v>
      </c>
      <c r="I2432" s="10">
        <v>1</v>
      </c>
    </row>
    <row r="2433" spans="1:9" ht="15.75" thickBot="1" x14ac:dyDescent="0.3">
      <c r="A2433" s="1">
        <v>43800</v>
      </c>
      <c r="B2433" s="8" t="s">
        <v>6</v>
      </c>
      <c r="C2433" t="s">
        <v>7</v>
      </c>
      <c r="D2433" t="s">
        <v>603</v>
      </c>
      <c r="E2433" t="s">
        <v>10</v>
      </c>
      <c r="F2433" s="9">
        <v>63575.08</v>
      </c>
      <c r="G2433" s="6">
        <v>2167553</v>
      </c>
      <c r="H2433" s="8">
        <f t="shared" si="37"/>
        <v>2167.5529999999999</v>
      </c>
      <c r="I2433" s="10">
        <v>134</v>
      </c>
    </row>
    <row r="2434" spans="1:9" ht="15.75" thickBot="1" x14ac:dyDescent="0.3">
      <c r="A2434" s="1">
        <v>43466</v>
      </c>
      <c r="B2434" s="8" t="s">
        <v>6</v>
      </c>
      <c r="C2434" t="s">
        <v>7</v>
      </c>
      <c r="D2434" t="s">
        <v>603</v>
      </c>
      <c r="E2434" t="s">
        <v>11</v>
      </c>
      <c r="F2434" s="9">
        <v>1574.89</v>
      </c>
      <c r="G2434" s="4">
        <v>51</v>
      </c>
      <c r="H2434" s="8">
        <f t="shared" ref="H2434:H2497" si="38">IF(ISNUMBER(SEARCH("Domestic customer", E2434)),G2434/1000,G2434)</f>
        <v>51</v>
      </c>
      <c r="I2434" s="10">
        <v>2</v>
      </c>
    </row>
    <row r="2435" spans="1:9" ht="15.75" thickBot="1" x14ac:dyDescent="0.3">
      <c r="A2435" s="1">
        <v>43466</v>
      </c>
      <c r="B2435" s="8" t="s">
        <v>6</v>
      </c>
      <c r="C2435" t="s">
        <v>7</v>
      </c>
      <c r="D2435" t="s">
        <v>604</v>
      </c>
      <c r="E2435" t="s">
        <v>9</v>
      </c>
      <c r="F2435" s="9">
        <v>26349.56</v>
      </c>
      <c r="G2435" s="4">
        <v>754</v>
      </c>
      <c r="H2435" s="8">
        <f t="shared" si="38"/>
        <v>754</v>
      </c>
      <c r="I2435" s="10">
        <v>23</v>
      </c>
    </row>
    <row r="2436" spans="1:9" ht="15.75" thickBot="1" x14ac:dyDescent="0.3">
      <c r="A2436" s="1">
        <v>43466</v>
      </c>
      <c r="B2436" s="8" t="s">
        <v>6</v>
      </c>
      <c r="C2436" t="s">
        <v>7</v>
      </c>
      <c r="D2436" t="s">
        <v>604</v>
      </c>
      <c r="E2436" t="s">
        <v>15</v>
      </c>
      <c r="F2436" s="9">
        <v>40388.629999999997</v>
      </c>
      <c r="G2436" s="7">
        <v>369101.94699999999</v>
      </c>
      <c r="H2436" s="8">
        <f t="shared" si="38"/>
        <v>369101.94699999999</v>
      </c>
      <c r="I2436" s="10">
        <v>24</v>
      </c>
    </row>
    <row r="2437" spans="1:9" ht="15.75" thickBot="1" x14ac:dyDescent="0.3">
      <c r="A2437" s="1">
        <v>43800</v>
      </c>
      <c r="B2437" s="8" t="s">
        <v>6</v>
      </c>
      <c r="C2437" t="s">
        <v>7</v>
      </c>
      <c r="D2437" t="s">
        <v>604</v>
      </c>
      <c r="E2437" t="s">
        <v>10</v>
      </c>
      <c r="F2437" s="9">
        <v>359703.55</v>
      </c>
      <c r="G2437" s="7">
        <v>12359328.813999999</v>
      </c>
      <c r="H2437" s="8">
        <f t="shared" si="38"/>
        <v>12359.328813999999</v>
      </c>
      <c r="I2437" s="10">
        <v>766</v>
      </c>
    </row>
    <row r="2438" spans="1:9" ht="15.75" thickBot="1" x14ac:dyDescent="0.3">
      <c r="A2438" s="1">
        <v>43800</v>
      </c>
      <c r="B2438" s="8" t="s">
        <v>6</v>
      </c>
      <c r="C2438" t="s">
        <v>7</v>
      </c>
      <c r="D2438" t="s">
        <v>604</v>
      </c>
      <c r="E2438" t="s">
        <v>17</v>
      </c>
      <c r="F2438" s="9">
        <v>4644.17</v>
      </c>
      <c r="G2438" s="7">
        <v>14932.529</v>
      </c>
      <c r="H2438" s="8">
        <f t="shared" si="38"/>
        <v>14932.529</v>
      </c>
      <c r="I2438" s="10">
        <v>6</v>
      </c>
    </row>
    <row r="2439" spans="1:9" ht="15.75" thickBot="1" x14ac:dyDescent="0.3">
      <c r="A2439" s="1">
        <v>43800</v>
      </c>
      <c r="B2439" s="8" t="s">
        <v>6</v>
      </c>
      <c r="C2439" t="s">
        <v>7</v>
      </c>
      <c r="D2439" t="s">
        <v>604</v>
      </c>
      <c r="E2439" t="s">
        <v>11</v>
      </c>
      <c r="F2439" s="9">
        <v>167913.52</v>
      </c>
      <c r="G2439" s="7">
        <v>2240186.3149999999</v>
      </c>
      <c r="H2439" s="8">
        <f t="shared" si="38"/>
        <v>2240186.3149999999</v>
      </c>
      <c r="I2439" s="10">
        <v>67</v>
      </c>
    </row>
    <row r="2440" spans="1:9" ht="15.75" thickBot="1" x14ac:dyDescent="0.3">
      <c r="A2440" s="1">
        <v>43800</v>
      </c>
      <c r="B2440" s="8" t="s">
        <v>6</v>
      </c>
      <c r="C2440" t="s">
        <v>7</v>
      </c>
      <c r="D2440" t="s">
        <v>604</v>
      </c>
      <c r="E2440" t="s">
        <v>13</v>
      </c>
      <c r="F2440" s="9">
        <v>2771.89</v>
      </c>
      <c r="G2440" s="6">
        <v>185583.769</v>
      </c>
      <c r="H2440" s="8">
        <f t="shared" si="38"/>
        <v>185583.769</v>
      </c>
      <c r="I2440" s="10">
        <v>13</v>
      </c>
    </row>
    <row r="2441" spans="1:9" ht="15.75" thickBot="1" x14ac:dyDescent="0.3">
      <c r="A2441" s="1">
        <v>43466</v>
      </c>
      <c r="B2441" s="8" t="s">
        <v>6</v>
      </c>
      <c r="C2441" t="s">
        <v>7</v>
      </c>
      <c r="D2441" t="s">
        <v>605</v>
      </c>
      <c r="E2441" t="s">
        <v>9</v>
      </c>
      <c r="F2441" s="9">
        <v>16720.05</v>
      </c>
      <c r="G2441" s="7">
        <v>45127.91</v>
      </c>
      <c r="H2441" s="8">
        <f t="shared" si="38"/>
        <v>45127.91</v>
      </c>
      <c r="I2441" s="10">
        <v>9</v>
      </c>
    </row>
    <row r="2442" spans="1:9" ht="15.75" thickBot="1" x14ac:dyDescent="0.3">
      <c r="A2442" s="1">
        <v>43466</v>
      </c>
      <c r="B2442" s="8" t="s">
        <v>6</v>
      </c>
      <c r="C2442" t="s">
        <v>7</v>
      </c>
      <c r="D2442" t="s">
        <v>605</v>
      </c>
      <c r="E2442" t="s">
        <v>15</v>
      </c>
      <c r="F2442" s="9">
        <v>32913.25</v>
      </c>
      <c r="G2442" s="7">
        <v>73654.161999999997</v>
      </c>
      <c r="H2442" s="8">
        <f t="shared" si="38"/>
        <v>73654.161999999997</v>
      </c>
      <c r="I2442" s="10">
        <v>49</v>
      </c>
    </row>
    <row r="2443" spans="1:9" ht="15.75" thickBot="1" x14ac:dyDescent="0.3">
      <c r="A2443" s="1">
        <v>43466</v>
      </c>
      <c r="B2443" s="8" t="s">
        <v>6</v>
      </c>
      <c r="C2443" t="s">
        <v>7</v>
      </c>
      <c r="D2443" t="s">
        <v>605</v>
      </c>
      <c r="E2443" t="s">
        <v>10</v>
      </c>
      <c r="F2443" s="9">
        <v>443532.16</v>
      </c>
      <c r="G2443" s="7">
        <v>24623667.333000001</v>
      </c>
      <c r="H2443" s="8">
        <f t="shared" si="38"/>
        <v>24623.667333000001</v>
      </c>
      <c r="I2443" s="10">
        <v>3026</v>
      </c>
    </row>
    <row r="2444" spans="1:9" ht="15.75" thickBot="1" x14ac:dyDescent="0.3">
      <c r="A2444" s="1">
        <v>43800</v>
      </c>
      <c r="B2444" s="8" t="s">
        <v>6</v>
      </c>
      <c r="C2444" t="s">
        <v>7</v>
      </c>
      <c r="D2444" t="s">
        <v>605</v>
      </c>
      <c r="E2444" t="s">
        <v>11</v>
      </c>
      <c r="F2444" s="9">
        <v>44046.42</v>
      </c>
      <c r="G2444" s="7">
        <v>2724069.6170000001</v>
      </c>
      <c r="H2444" s="8">
        <f t="shared" si="38"/>
        <v>2724069.6170000001</v>
      </c>
      <c r="I2444" s="10">
        <v>106</v>
      </c>
    </row>
    <row r="2445" spans="1:9" ht="15.75" thickBot="1" x14ac:dyDescent="0.3">
      <c r="A2445" s="1">
        <v>43800</v>
      </c>
      <c r="B2445" s="8" t="s">
        <v>6</v>
      </c>
      <c r="C2445" t="s">
        <v>7</v>
      </c>
      <c r="D2445" t="s">
        <v>605</v>
      </c>
      <c r="E2445" t="s">
        <v>13</v>
      </c>
      <c r="F2445" s="9">
        <v>19912.05</v>
      </c>
      <c r="G2445" s="7">
        <v>90418.611999999994</v>
      </c>
      <c r="H2445" s="8">
        <f t="shared" si="38"/>
        <v>90418.611999999994</v>
      </c>
      <c r="I2445" s="10">
        <v>15</v>
      </c>
    </row>
    <row r="2446" spans="1:9" ht="15.75" thickBot="1" x14ac:dyDescent="0.3">
      <c r="A2446" s="1">
        <v>43800</v>
      </c>
      <c r="B2446" s="8" t="s">
        <v>6</v>
      </c>
      <c r="C2446" t="s">
        <v>7</v>
      </c>
      <c r="D2446" t="s">
        <v>606</v>
      </c>
      <c r="E2446" t="s">
        <v>9</v>
      </c>
      <c r="F2446" s="9">
        <v>3896.05</v>
      </c>
      <c r="G2446" s="4">
        <v>108</v>
      </c>
      <c r="H2446" s="8">
        <f t="shared" si="38"/>
        <v>108</v>
      </c>
      <c r="I2446" s="10">
        <v>6</v>
      </c>
    </row>
    <row r="2447" spans="1:9" ht="15.75" thickBot="1" x14ac:dyDescent="0.3">
      <c r="A2447" s="1">
        <v>43800</v>
      </c>
      <c r="B2447" s="8" t="s">
        <v>6</v>
      </c>
      <c r="C2447" t="s">
        <v>7</v>
      </c>
      <c r="D2447" t="s">
        <v>606</v>
      </c>
      <c r="E2447" t="s">
        <v>15</v>
      </c>
      <c r="F2447" s="9">
        <v>1393.64</v>
      </c>
      <c r="G2447" s="4">
        <v>27</v>
      </c>
      <c r="H2447" s="8">
        <f t="shared" si="38"/>
        <v>27</v>
      </c>
      <c r="I2447" s="10">
        <v>4</v>
      </c>
    </row>
    <row r="2448" spans="1:9" ht="15.75" thickBot="1" x14ac:dyDescent="0.3">
      <c r="A2448" s="1">
        <v>43466</v>
      </c>
      <c r="B2448" s="8" t="s">
        <v>6</v>
      </c>
      <c r="C2448" t="s">
        <v>7</v>
      </c>
      <c r="D2448" t="s">
        <v>606</v>
      </c>
      <c r="E2448" t="s">
        <v>10</v>
      </c>
      <c r="F2448" s="9">
        <v>311715.46999999997</v>
      </c>
      <c r="G2448" s="6">
        <v>12008779.038000001</v>
      </c>
      <c r="H2448" s="8">
        <f t="shared" si="38"/>
        <v>12008.779038000001</v>
      </c>
      <c r="I2448" s="10">
        <v>1463</v>
      </c>
    </row>
    <row r="2449" spans="1:9" ht="15.75" thickBot="1" x14ac:dyDescent="0.3">
      <c r="A2449" s="1">
        <v>43466</v>
      </c>
      <c r="B2449" s="8" t="s">
        <v>6</v>
      </c>
      <c r="C2449" t="s">
        <v>7</v>
      </c>
      <c r="D2449" t="s">
        <v>606</v>
      </c>
      <c r="E2449" t="s">
        <v>11</v>
      </c>
      <c r="F2449" s="9">
        <v>12832.75</v>
      </c>
      <c r="G2449" s="7">
        <v>11273.815000000001</v>
      </c>
      <c r="H2449" s="8">
        <f t="shared" si="38"/>
        <v>11273.815000000001</v>
      </c>
      <c r="I2449" s="10">
        <v>18</v>
      </c>
    </row>
    <row r="2450" spans="1:9" ht="15.75" thickBot="1" x14ac:dyDescent="0.3">
      <c r="A2450" s="1">
        <v>43466</v>
      </c>
      <c r="B2450" s="8" t="s">
        <v>6</v>
      </c>
      <c r="C2450" t="s">
        <v>7</v>
      </c>
      <c r="D2450" t="s">
        <v>606</v>
      </c>
      <c r="E2450" t="s">
        <v>13</v>
      </c>
      <c r="F2450" s="9">
        <v>409.74</v>
      </c>
      <c r="G2450" s="6">
        <v>12000</v>
      </c>
      <c r="H2450" s="8">
        <f t="shared" si="38"/>
        <v>12000</v>
      </c>
      <c r="I2450" s="10">
        <v>4</v>
      </c>
    </row>
    <row r="2451" spans="1:9" ht="15.75" thickBot="1" x14ac:dyDescent="0.3">
      <c r="A2451" s="1">
        <v>43800</v>
      </c>
      <c r="B2451" s="8" t="s">
        <v>6</v>
      </c>
      <c r="C2451" t="s">
        <v>7</v>
      </c>
      <c r="D2451" t="s">
        <v>607</v>
      </c>
      <c r="E2451" t="s">
        <v>10</v>
      </c>
      <c r="F2451" s="9">
        <v>23480.23</v>
      </c>
      <c r="G2451" s="6">
        <v>931000</v>
      </c>
      <c r="H2451" s="8">
        <f t="shared" si="38"/>
        <v>931</v>
      </c>
      <c r="I2451" s="10">
        <v>60</v>
      </c>
    </row>
    <row r="2452" spans="1:9" ht="15.75" thickBot="1" x14ac:dyDescent="0.3">
      <c r="A2452" s="1">
        <v>43800</v>
      </c>
      <c r="B2452" s="8" t="s">
        <v>6</v>
      </c>
      <c r="C2452" t="s">
        <v>7</v>
      </c>
      <c r="D2452" t="s">
        <v>608</v>
      </c>
      <c r="E2452" t="s">
        <v>9</v>
      </c>
      <c r="F2452" s="9">
        <v>650860.69999999995</v>
      </c>
      <c r="G2452" s="7">
        <v>4953281.7419999996</v>
      </c>
      <c r="H2452" s="8">
        <f t="shared" si="38"/>
        <v>4953281.7419999996</v>
      </c>
      <c r="I2452" s="10">
        <v>100</v>
      </c>
    </row>
    <row r="2453" spans="1:9" ht="15.75" thickBot="1" x14ac:dyDescent="0.3">
      <c r="A2453" s="1">
        <v>43800</v>
      </c>
      <c r="B2453" s="8" t="s">
        <v>6</v>
      </c>
      <c r="C2453" t="s">
        <v>7</v>
      </c>
      <c r="D2453" t="s">
        <v>608</v>
      </c>
      <c r="E2453" t="s">
        <v>15</v>
      </c>
      <c r="F2453" s="9">
        <v>7976.26</v>
      </c>
      <c r="G2453" s="7">
        <v>69021</v>
      </c>
      <c r="H2453" s="8">
        <f t="shared" si="38"/>
        <v>69021</v>
      </c>
      <c r="I2453" s="10">
        <v>12</v>
      </c>
    </row>
    <row r="2454" spans="1:9" ht="15.75" thickBot="1" x14ac:dyDescent="0.3">
      <c r="A2454" s="1">
        <v>43800</v>
      </c>
      <c r="B2454" s="8" t="s">
        <v>6</v>
      </c>
      <c r="C2454" t="s">
        <v>7</v>
      </c>
      <c r="D2454" t="s">
        <v>608</v>
      </c>
      <c r="E2454" t="s">
        <v>10</v>
      </c>
      <c r="F2454" s="9">
        <v>1375503.57</v>
      </c>
      <c r="G2454" s="7">
        <v>59194607.229000002</v>
      </c>
      <c r="H2454" s="8">
        <f t="shared" si="38"/>
        <v>59194.607229000001</v>
      </c>
      <c r="I2454" s="10">
        <v>1171</v>
      </c>
    </row>
    <row r="2455" spans="1:9" ht="15.75" thickBot="1" x14ac:dyDescent="0.3">
      <c r="A2455" s="1">
        <v>43466</v>
      </c>
      <c r="B2455" s="8" t="s">
        <v>6</v>
      </c>
      <c r="C2455" t="s">
        <v>7</v>
      </c>
      <c r="D2455" t="s">
        <v>608</v>
      </c>
      <c r="E2455" t="s">
        <v>11</v>
      </c>
      <c r="F2455" s="9">
        <v>243695.55</v>
      </c>
      <c r="G2455" s="7">
        <v>2511289.0580000002</v>
      </c>
      <c r="H2455" s="8">
        <f t="shared" si="38"/>
        <v>2511289.0580000002</v>
      </c>
      <c r="I2455" s="10">
        <v>74</v>
      </c>
    </row>
    <row r="2456" spans="1:9" ht="15.75" thickBot="1" x14ac:dyDescent="0.3">
      <c r="A2456" s="1">
        <v>43466</v>
      </c>
      <c r="B2456" s="8" t="s">
        <v>6</v>
      </c>
      <c r="C2456" t="s">
        <v>7</v>
      </c>
      <c r="D2456" t="s">
        <v>608</v>
      </c>
      <c r="E2456" t="s">
        <v>13</v>
      </c>
      <c r="F2456" s="9">
        <v>11114.94</v>
      </c>
      <c r="G2456" s="7">
        <v>532573.46699999995</v>
      </c>
      <c r="H2456" s="8">
        <f t="shared" si="38"/>
        <v>532573.46699999995</v>
      </c>
      <c r="I2456" s="10">
        <v>13</v>
      </c>
    </row>
    <row r="2457" spans="1:9" ht="15.75" thickBot="1" x14ac:dyDescent="0.3">
      <c r="A2457" s="1">
        <v>43466</v>
      </c>
      <c r="B2457" s="8" t="s">
        <v>6</v>
      </c>
      <c r="C2457" t="s">
        <v>7</v>
      </c>
      <c r="D2457" t="s">
        <v>609</v>
      </c>
      <c r="E2457" t="s">
        <v>15</v>
      </c>
      <c r="F2457" s="9">
        <v>9297.4599999999991</v>
      </c>
      <c r="G2457" s="4">
        <v>642</v>
      </c>
      <c r="H2457" s="8">
        <f t="shared" si="38"/>
        <v>642</v>
      </c>
      <c r="I2457" s="10">
        <v>21</v>
      </c>
    </row>
    <row r="2458" spans="1:9" ht="15.75" thickBot="1" x14ac:dyDescent="0.3">
      <c r="A2458" s="1">
        <v>43800</v>
      </c>
      <c r="B2458" s="8" t="s">
        <v>6</v>
      </c>
      <c r="C2458" t="s">
        <v>7</v>
      </c>
      <c r="D2458" t="s">
        <v>609</v>
      </c>
      <c r="E2458" t="s">
        <v>10</v>
      </c>
      <c r="F2458" s="9">
        <v>123564.87</v>
      </c>
      <c r="G2458" s="7">
        <v>20288291.302000001</v>
      </c>
      <c r="H2458" s="8">
        <f t="shared" si="38"/>
        <v>20288.291302000001</v>
      </c>
      <c r="I2458" s="10">
        <v>2100</v>
      </c>
    </row>
    <row r="2459" spans="1:9" ht="15.75" thickBot="1" x14ac:dyDescent="0.3">
      <c r="A2459" s="1">
        <v>43800</v>
      </c>
      <c r="B2459" s="8" t="s">
        <v>6</v>
      </c>
      <c r="C2459" t="s">
        <v>7</v>
      </c>
      <c r="D2459" t="s">
        <v>609</v>
      </c>
      <c r="E2459" t="s">
        <v>11</v>
      </c>
      <c r="F2459" s="9">
        <v>8732.36</v>
      </c>
      <c r="G2459" s="4">
        <v>288</v>
      </c>
      <c r="H2459" s="8">
        <f t="shared" si="38"/>
        <v>288</v>
      </c>
      <c r="I2459" s="10">
        <v>6</v>
      </c>
    </row>
    <row r="2460" spans="1:9" ht="15.75" thickBot="1" x14ac:dyDescent="0.3">
      <c r="A2460" s="1">
        <v>43800</v>
      </c>
      <c r="B2460" s="8" t="s">
        <v>6</v>
      </c>
      <c r="C2460" t="s">
        <v>7</v>
      </c>
      <c r="D2460" t="s">
        <v>609</v>
      </c>
      <c r="E2460" t="s">
        <v>13</v>
      </c>
      <c r="F2460" s="9">
        <v>502.9</v>
      </c>
      <c r="G2460" s="7">
        <v>98859.697</v>
      </c>
      <c r="H2460" s="8">
        <f t="shared" si="38"/>
        <v>98859.697</v>
      </c>
      <c r="I2460" s="10">
        <v>11</v>
      </c>
    </row>
    <row r="2461" spans="1:9" ht="15.75" thickBot="1" x14ac:dyDescent="0.3">
      <c r="A2461" s="1">
        <v>43800</v>
      </c>
      <c r="B2461" s="8" t="s">
        <v>6</v>
      </c>
      <c r="C2461" t="s">
        <v>7</v>
      </c>
      <c r="D2461" t="s">
        <v>610</v>
      </c>
      <c r="E2461" t="s">
        <v>10</v>
      </c>
      <c r="F2461" s="9">
        <v>27413.81</v>
      </c>
      <c r="G2461" s="6">
        <v>894120.72400000005</v>
      </c>
      <c r="H2461" s="8">
        <f t="shared" si="38"/>
        <v>894.120724</v>
      </c>
      <c r="I2461" s="10">
        <v>52</v>
      </c>
    </row>
    <row r="2462" spans="1:9" ht="15.75" thickBot="1" x14ac:dyDescent="0.3">
      <c r="A2462" s="1">
        <v>43466</v>
      </c>
      <c r="B2462" s="8" t="s">
        <v>6</v>
      </c>
      <c r="C2462" t="s">
        <v>7</v>
      </c>
      <c r="D2462" t="s">
        <v>610</v>
      </c>
      <c r="E2462" t="s">
        <v>11</v>
      </c>
      <c r="F2462" s="9">
        <v>100</v>
      </c>
      <c r="G2462" s="6">
        <v>0</v>
      </c>
      <c r="H2462" s="8">
        <f t="shared" si="38"/>
        <v>0</v>
      </c>
      <c r="I2462" s="10">
        <v>1</v>
      </c>
    </row>
    <row r="2463" spans="1:9" ht="15.75" thickBot="1" x14ac:dyDescent="0.3">
      <c r="A2463" s="1">
        <v>43466</v>
      </c>
      <c r="B2463" s="8" t="s">
        <v>6</v>
      </c>
      <c r="C2463" t="s">
        <v>7</v>
      </c>
      <c r="D2463" t="s">
        <v>611</v>
      </c>
      <c r="E2463" t="s">
        <v>9</v>
      </c>
      <c r="F2463" s="9">
        <v>1793.84</v>
      </c>
      <c r="G2463" s="4">
        <v>62</v>
      </c>
      <c r="H2463" s="8">
        <f t="shared" si="38"/>
        <v>62</v>
      </c>
      <c r="I2463" s="10">
        <v>1</v>
      </c>
    </row>
    <row r="2464" spans="1:9" ht="15.75" thickBot="1" x14ac:dyDescent="0.3">
      <c r="A2464" s="1">
        <v>43466</v>
      </c>
      <c r="B2464" s="8" t="s">
        <v>6</v>
      </c>
      <c r="C2464" t="s">
        <v>7</v>
      </c>
      <c r="D2464" t="s">
        <v>611</v>
      </c>
      <c r="E2464" t="s">
        <v>15</v>
      </c>
      <c r="F2464" s="9">
        <v>924.81</v>
      </c>
      <c r="G2464" s="4">
        <v>166</v>
      </c>
      <c r="H2464" s="8">
        <f t="shared" si="38"/>
        <v>166</v>
      </c>
      <c r="I2464" s="10">
        <v>4</v>
      </c>
    </row>
    <row r="2465" spans="1:9" ht="15.75" thickBot="1" x14ac:dyDescent="0.3">
      <c r="A2465" s="1">
        <v>43800</v>
      </c>
      <c r="B2465" s="8" t="s">
        <v>6</v>
      </c>
      <c r="C2465" t="s">
        <v>7</v>
      </c>
      <c r="D2465" t="s">
        <v>611</v>
      </c>
      <c r="E2465" t="s">
        <v>10</v>
      </c>
      <c r="F2465" s="9">
        <v>43865.74</v>
      </c>
      <c r="G2465" s="6">
        <v>7457633.5920000002</v>
      </c>
      <c r="H2465" s="8">
        <f t="shared" si="38"/>
        <v>7457.6335920000001</v>
      </c>
      <c r="I2465" s="10">
        <v>862</v>
      </c>
    </row>
    <row r="2466" spans="1:9" ht="15.75" thickBot="1" x14ac:dyDescent="0.3">
      <c r="A2466" s="1">
        <v>43800</v>
      </c>
      <c r="B2466" s="8" t="s">
        <v>6</v>
      </c>
      <c r="C2466" t="s">
        <v>7</v>
      </c>
      <c r="D2466" t="s">
        <v>611</v>
      </c>
      <c r="E2466" t="s">
        <v>11</v>
      </c>
      <c r="F2466" s="9">
        <v>1319.53</v>
      </c>
      <c r="G2466" s="4">
        <v>24</v>
      </c>
      <c r="H2466" s="8">
        <f t="shared" si="38"/>
        <v>24</v>
      </c>
      <c r="I2466" s="10">
        <v>8</v>
      </c>
    </row>
    <row r="2467" spans="1:9" ht="15.75" thickBot="1" x14ac:dyDescent="0.3">
      <c r="A2467" s="1">
        <v>43800</v>
      </c>
      <c r="B2467" s="8" t="s">
        <v>6</v>
      </c>
      <c r="C2467" t="s">
        <v>7</v>
      </c>
      <c r="D2467" t="s">
        <v>611</v>
      </c>
      <c r="E2467" t="s">
        <v>13</v>
      </c>
      <c r="F2467" s="9">
        <v>0</v>
      </c>
      <c r="G2467" s="6">
        <v>20000</v>
      </c>
      <c r="H2467" s="8">
        <f t="shared" si="38"/>
        <v>20000</v>
      </c>
      <c r="I2467" s="10">
        <v>2</v>
      </c>
    </row>
    <row r="2468" spans="1:9" ht="15.75" thickBot="1" x14ac:dyDescent="0.3">
      <c r="A2468" s="1">
        <v>43800</v>
      </c>
      <c r="B2468" s="8" t="s">
        <v>6</v>
      </c>
      <c r="C2468" t="s">
        <v>7</v>
      </c>
      <c r="D2468" t="s">
        <v>612</v>
      </c>
      <c r="E2468" t="s">
        <v>9</v>
      </c>
      <c r="F2468" s="9">
        <v>136.6</v>
      </c>
      <c r="G2468" s="4">
        <v>5</v>
      </c>
      <c r="H2468" s="8">
        <f t="shared" si="38"/>
        <v>5</v>
      </c>
      <c r="I2468" s="10">
        <v>1</v>
      </c>
    </row>
    <row r="2469" spans="1:9" ht="15.75" thickBot="1" x14ac:dyDescent="0.3">
      <c r="A2469" s="1">
        <v>43466</v>
      </c>
      <c r="B2469" s="8" t="s">
        <v>6</v>
      </c>
      <c r="C2469" t="s">
        <v>7</v>
      </c>
      <c r="D2469" t="s">
        <v>612</v>
      </c>
      <c r="E2469" t="s">
        <v>15</v>
      </c>
      <c r="F2469" s="9">
        <v>260473.59</v>
      </c>
      <c r="G2469" s="4">
        <v>8128</v>
      </c>
      <c r="H2469" s="8">
        <f t="shared" si="38"/>
        <v>8128</v>
      </c>
      <c r="I2469" s="10">
        <v>450</v>
      </c>
    </row>
    <row r="2470" spans="1:9" ht="15.75" thickBot="1" x14ac:dyDescent="0.3">
      <c r="A2470" s="1">
        <v>43466</v>
      </c>
      <c r="B2470" s="8" t="s">
        <v>6</v>
      </c>
      <c r="C2470" t="s">
        <v>7</v>
      </c>
      <c r="D2470" t="s">
        <v>612</v>
      </c>
      <c r="E2470" t="s">
        <v>10</v>
      </c>
      <c r="F2470" s="9">
        <v>67007.14</v>
      </c>
      <c r="G2470" s="6">
        <v>11935428.152000001</v>
      </c>
      <c r="H2470" s="8">
        <f t="shared" si="38"/>
        <v>11935.428152</v>
      </c>
      <c r="I2470" s="10">
        <v>1136</v>
      </c>
    </row>
    <row r="2471" spans="1:9" ht="15.75" thickBot="1" x14ac:dyDescent="0.3">
      <c r="A2471" s="1">
        <v>43466</v>
      </c>
      <c r="B2471" s="8" t="s">
        <v>6</v>
      </c>
      <c r="C2471" t="s">
        <v>7</v>
      </c>
      <c r="D2471" t="s">
        <v>612</v>
      </c>
      <c r="E2471" t="s">
        <v>11</v>
      </c>
      <c r="F2471" s="9">
        <v>2349.52</v>
      </c>
      <c r="G2471" s="4">
        <v>86</v>
      </c>
      <c r="H2471" s="8">
        <f t="shared" si="38"/>
        <v>86</v>
      </c>
      <c r="I2471" s="10">
        <v>2</v>
      </c>
    </row>
    <row r="2472" spans="1:9" ht="15.75" thickBot="1" x14ac:dyDescent="0.3">
      <c r="A2472" s="1">
        <v>43800</v>
      </c>
      <c r="B2472" s="8" t="s">
        <v>6</v>
      </c>
      <c r="C2472" t="s">
        <v>7</v>
      </c>
      <c r="D2472" t="s">
        <v>612</v>
      </c>
      <c r="E2472" t="s">
        <v>13</v>
      </c>
      <c r="F2472" s="9">
        <v>1125.29</v>
      </c>
      <c r="G2472" s="7">
        <v>45794.23</v>
      </c>
      <c r="H2472" s="8">
        <f t="shared" si="38"/>
        <v>45794.23</v>
      </c>
      <c r="I2472" s="10">
        <v>9</v>
      </c>
    </row>
    <row r="2473" spans="1:9" ht="15.75" thickBot="1" x14ac:dyDescent="0.3">
      <c r="A2473" s="1">
        <v>43800</v>
      </c>
      <c r="B2473" s="8" t="s">
        <v>6</v>
      </c>
      <c r="C2473" t="s">
        <v>7</v>
      </c>
      <c r="D2473" t="s">
        <v>613</v>
      </c>
      <c r="E2473" t="s">
        <v>15</v>
      </c>
      <c r="F2473" s="9">
        <v>12839.25</v>
      </c>
      <c r="G2473" s="4">
        <v>394</v>
      </c>
      <c r="H2473" s="8">
        <f t="shared" si="38"/>
        <v>394</v>
      </c>
      <c r="I2473" s="10">
        <v>5</v>
      </c>
    </row>
    <row r="2474" spans="1:9" ht="15.75" thickBot="1" x14ac:dyDescent="0.3">
      <c r="A2474" s="1">
        <v>43800</v>
      </c>
      <c r="B2474" s="8" t="s">
        <v>6</v>
      </c>
      <c r="C2474" t="s">
        <v>7</v>
      </c>
      <c r="D2474" t="s">
        <v>613</v>
      </c>
      <c r="E2474" t="s">
        <v>10</v>
      </c>
      <c r="F2474" s="9">
        <v>28022.74</v>
      </c>
      <c r="G2474" s="6">
        <v>995321.40099999995</v>
      </c>
      <c r="H2474" s="8">
        <f t="shared" si="38"/>
        <v>995.32140099999992</v>
      </c>
      <c r="I2474" s="10">
        <v>107</v>
      </c>
    </row>
    <row r="2475" spans="1:9" ht="15.75" thickBot="1" x14ac:dyDescent="0.3">
      <c r="A2475" s="1">
        <v>43800</v>
      </c>
      <c r="B2475" s="8" t="s">
        <v>6</v>
      </c>
      <c r="C2475" t="s">
        <v>7</v>
      </c>
      <c r="D2475" t="s">
        <v>613</v>
      </c>
      <c r="E2475" t="s">
        <v>11</v>
      </c>
      <c r="F2475" s="9">
        <v>159.43</v>
      </c>
      <c r="G2475" s="4">
        <v>4</v>
      </c>
      <c r="H2475" s="8">
        <f t="shared" si="38"/>
        <v>4</v>
      </c>
      <c r="I2475" s="10">
        <v>1</v>
      </c>
    </row>
    <row r="2476" spans="1:9" ht="15.75" thickBot="1" x14ac:dyDescent="0.3">
      <c r="A2476" s="1">
        <v>43466</v>
      </c>
      <c r="B2476" s="8" t="s">
        <v>6</v>
      </c>
      <c r="C2476" t="s">
        <v>7</v>
      </c>
      <c r="D2476" t="s">
        <v>614</v>
      </c>
      <c r="E2476" t="s">
        <v>15</v>
      </c>
      <c r="F2476" s="9">
        <v>34412.68</v>
      </c>
      <c r="G2476" s="7">
        <v>123568.594</v>
      </c>
      <c r="H2476" s="8">
        <f t="shared" si="38"/>
        <v>123568.594</v>
      </c>
      <c r="I2476" s="10">
        <v>5</v>
      </c>
    </row>
    <row r="2477" spans="1:9" ht="15.75" thickBot="1" x14ac:dyDescent="0.3">
      <c r="A2477" s="1">
        <v>43466</v>
      </c>
      <c r="B2477" s="8" t="s">
        <v>6</v>
      </c>
      <c r="C2477" t="s">
        <v>7</v>
      </c>
      <c r="D2477" t="s">
        <v>614</v>
      </c>
      <c r="E2477" t="s">
        <v>10</v>
      </c>
      <c r="F2477" s="9">
        <v>10349.299999999999</v>
      </c>
      <c r="G2477" s="6">
        <v>281000</v>
      </c>
      <c r="H2477" s="8">
        <f t="shared" si="38"/>
        <v>281</v>
      </c>
      <c r="I2477" s="10">
        <v>11</v>
      </c>
    </row>
    <row r="2478" spans="1:9" ht="15.75" thickBot="1" x14ac:dyDescent="0.3">
      <c r="A2478" s="1">
        <v>43466</v>
      </c>
      <c r="B2478" s="8" t="s">
        <v>6</v>
      </c>
      <c r="C2478" t="s">
        <v>7</v>
      </c>
      <c r="D2478" t="s">
        <v>614</v>
      </c>
      <c r="E2478" t="s">
        <v>11</v>
      </c>
      <c r="F2478" s="9">
        <v>326.27999999999997</v>
      </c>
      <c r="G2478" s="4">
        <v>0</v>
      </c>
      <c r="H2478" s="8">
        <f t="shared" si="38"/>
        <v>0</v>
      </c>
      <c r="I2478" s="10">
        <v>5</v>
      </c>
    </row>
    <row r="2479" spans="1:9" ht="15.75" thickBot="1" x14ac:dyDescent="0.3">
      <c r="A2479" s="1">
        <v>43800</v>
      </c>
      <c r="B2479" s="8" t="s">
        <v>6</v>
      </c>
      <c r="C2479" t="s">
        <v>7</v>
      </c>
      <c r="D2479" t="s">
        <v>615</v>
      </c>
      <c r="E2479" t="s">
        <v>9</v>
      </c>
      <c r="F2479" s="9">
        <v>16269.84</v>
      </c>
      <c r="G2479" s="4">
        <v>487</v>
      </c>
      <c r="H2479" s="8">
        <f t="shared" si="38"/>
        <v>487</v>
      </c>
      <c r="I2479" s="10">
        <v>5</v>
      </c>
    </row>
    <row r="2480" spans="1:9" ht="15.75" thickBot="1" x14ac:dyDescent="0.3">
      <c r="A2480" s="1">
        <v>43800</v>
      </c>
      <c r="B2480" s="8" t="s">
        <v>6</v>
      </c>
      <c r="C2480" t="s">
        <v>7</v>
      </c>
      <c r="D2480" t="s">
        <v>615</v>
      </c>
      <c r="E2480" t="s">
        <v>15</v>
      </c>
      <c r="F2480" s="9">
        <v>1363.93</v>
      </c>
      <c r="G2480" s="4">
        <v>10</v>
      </c>
      <c r="H2480" s="8">
        <f t="shared" si="38"/>
        <v>10</v>
      </c>
      <c r="I2480" s="10">
        <v>3</v>
      </c>
    </row>
    <row r="2481" spans="1:9" ht="15.75" thickBot="1" x14ac:dyDescent="0.3">
      <c r="A2481" s="1">
        <v>43800</v>
      </c>
      <c r="B2481" s="8" t="s">
        <v>6</v>
      </c>
      <c r="C2481" t="s">
        <v>7</v>
      </c>
      <c r="D2481" t="s">
        <v>615</v>
      </c>
      <c r="E2481" t="s">
        <v>10</v>
      </c>
      <c r="F2481" s="9">
        <v>178012.59</v>
      </c>
      <c r="G2481" s="6">
        <v>6616680.1610000003</v>
      </c>
      <c r="H2481" s="8">
        <f t="shared" si="38"/>
        <v>6616.6801610000002</v>
      </c>
      <c r="I2481" s="10">
        <v>412</v>
      </c>
    </row>
    <row r="2482" spans="1:9" ht="15.75" thickBot="1" x14ac:dyDescent="0.3">
      <c r="A2482" s="1">
        <v>43800</v>
      </c>
      <c r="B2482" s="8" t="s">
        <v>6</v>
      </c>
      <c r="C2482" t="s">
        <v>7</v>
      </c>
      <c r="D2482" t="s">
        <v>615</v>
      </c>
      <c r="E2482" t="s">
        <v>11</v>
      </c>
      <c r="F2482" s="9">
        <v>181.57</v>
      </c>
      <c r="G2482" s="4">
        <v>0</v>
      </c>
      <c r="H2482" s="8">
        <f t="shared" si="38"/>
        <v>0</v>
      </c>
      <c r="I2482" s="10">
        <v>2</v>
      </c>
    </row>
    <row r="2483" spans="1:9" ht="15.75" thickBot="1" x14ac:dyDescent="0.3">
      <c r="A2483" s="1">
        <v>43466</v>
      </c>
      <c r="B2483" s="8" t="s">
        <v>6</v>
      </c>
      <c r="C2483" t="s">
        <v>7</v>
      </c>
      <c r="D2483" t="s">
        <v>615</v>
      </c>
      <c r="E2483" t="s">
        <v>13</v>
      </c>
      <c r="F2483" s="9">
        <v>400.11</v>
      </c>
      <c r="G2483" s="6">
        <v>16000</v>
      </c>
      <c r="H2483" s="8">
        <f t="shared" si="38"/>
        <v>16000</v>
      </c>
      <c r="I2483" s="10">
        <v>1</v>
      </c>
    </row>
    <row r="2484" spans="1:9" ht="15.75" thickBot="1" x14ac:dyDescent="0.3">
      <c r="A2484" s="1">
        <v>43466</v>
      </c>
      <c r="B2484" s="8" t="s">
        <v>6</v>
      </c>
      <c r="C2484" t="s">
        <v>7</v>
      </c>
      <c r="D2484" t="s">
        <v>616</v>
      </c>
      <c r="E2484" t="s">
        <v>9</v>
      </c>
      <c r="F2484" s="9">
        <v>6392.06</v>
      </c>
      <c r="G2484" s="4">
        <v>192</v>
      </c>
      <c r="H2484" s="8">
        <f t="shared" si="38"/>
        <v>192</v>
      </c>
      <c r="I2484" s="10">
        <v>7</v>
      </c>
    </row>
    <row r="2485" spans="1:9" ht="15.75" thickBot="1" x14ac:dyDescent="0.3">
      <c r="A2485" s="1">
        <v>43466</v>
      </c>
      <c r="B2485" s="8" t="s">
        <v>6</v>
      </c>
      <c r="C2485" t="s">
        <v>7</v>
      </c>
      <c r="D2485" t="s">
        <v>616</v>
      </c>
      <c r="E2485" t="s">
        <v>15</v>
      </c>
      <c r="F2485" s="9">
        <v>2575.12</v>
      </c>
      <c r="G2485" s="4">
        <v>41</v>
      </c>
      <c r="H2485" s="8">
        <f t="shared" si="38"/>
        <v>41</v>
      </c>
      <c r="I2485" s="10">
        <v>6</v>
      </c>
    </row>
    <row r="2486" spans="1:9" ht="15.75" thickBot="1" x14ac:dyDescent="0.3">
      <c r="A2486" s="1">
        <v>43800</v>
      </c>
      <c r="B2486" s="8" t="s">
        <v>6</v>
      </c>
      <c r="C2486" t="s">
        <v>7</v>
      </c>
      <c r="D2486" t="s">
        <v>616</v>
      </c>
      <c r="E2486" t="s">
        <v>10</v>
      </c>
      <c r="F2486" s="9">
        <v>336091.52</v>
      </c>
      <c r="G2486" s="6">
        <v>11968802.442</v>
      </c>
      <c r="H2486" s="8">
        <f t="shared" si="38"/>
        <v>11968.802442</v>
      </c>
      <c r="I2486" s="10">
        <v>1620</v>
      </c>
    </row>
    <row r="2487" spans="1:9" ht="15.75" thickBot="1" x14ac:dyDescent="0.3">
      <c r="A2487" s="1">
        <v>43800</v>
      </c>
      <c r="B2487" s="8" t="s">
        <v>6</v>
      </c>
      <c r="C2487" t="s">
        <v>7</v>
      </c>
      <c r="D2487" t="s">
        <v>616</v>
      </c>
      <c r="E2487" t="s">
        <v>11</v>
      </c>
      <c r="F2487" s="9">
        <v>28232.82</v>
      </c>
      <c r="G2487" s="7">
        <v>53509</v>
      </c>
      <c r="H2487" s="8">
        <f t="shared" si="38"/>
        <v>53509</v>
      </c>
      <c r="I2487" s="10">
        <v>22</v>
      </c>
    </row>
    <row r="2488" spans="1:9" ht="15.75" thickBot="1" x14ac:dyDescent="0.3">
      <c r="A2488" s="1">
        <v>43800</v>
      </c>
      <c r="B2488" s="8" t="s">
        <v>6</v>
      </c>
      <c r="C2488" t="s">
        <v>7</v>
      </c>
      <c r="D2488" t="s">
        <v>616</v>
      </c>
      <c r="E2488" t="s">
        <v>13</v>
      </c>
      <c r="F2488" s="9">
        <v>5927.73</v>
      </c>
      <c r="G2488" s="6">
        <v>220000</v>
      </c>
      <c r="H2488" s="8">
        <f t="shared" si="38"/>
        <v>220000</v>
      </c>
      <c r="I2488" s="10">
        <v>24</v>
      </c>
    </row>
    <row r="2489" spans="1:9" ht="15.75" thickBot="1" x14ac:dyDescent="0.3">
      <c r="A2489" s="1">
        <v>43800</v>
      </c>
      <c r="B2489" s="8" t="s">
        <v>6</v>
      </c>
      <c r="C2489" t="s">
        <v>7</v>
      </c>
      <c r="D2489" t="s">
        <v>617</v>
      </c>
      <c r="E2489" t="s">
        <v>10</v>
      </c>
      <c r="F2489" s="9">
        <v>11032.82</v>
      </c>
      <c r="G2489" s="6">
        <v>369000</v>
      </c>
      <c r="H2489" s="8">
        <f t="shared" si="38"/>
        <v>369</v>
      </c>
      <c r="I2489" s="10">
        <v>40</v>
      </c>
    </row>
    <row r="2490" spans="1:9" ht="15.75" thickBot="1" x14ac:dyDescent="0.3">
      <c r="A2490" s="1">
        <v>43466</v>
      </c>
      <c r="B2490" s="8" t="s">
        <v>6</v>
      </c>
      <c r="C2490" t="s">
        <v>7</v>
      </c>
      <c r="D2490" t="s">
        <v>618</v>
      </c>
      <c r="E2490" t="s">
        <v>9</v>
      </c>
      <c r="F2490" s="9">
        <v>778.8</v>
      </c>
      <c r="G2490" s="4">
        <v>23</v>
      </c>
      <c r="H2490" s="8">
        <f t="shared" si="38"/>
        <v>23</v>
      </c>
      <c r="I2490" s="10">
        <v>2</v>
      </c>
    </row>
    <row r="2491" spans="1:9" ht="15.75" thickBot="1" x14ac:dyDescent="0.3">
      <c r="A2491" s="1">
        <v>43466</v>
      </c>
      <c r="B2491" s="8" t="s">
        <v>6</v>
      </c>
      <c r="C2491" t="s">
        <v>7</v>
      </c>
      <c r="D2491" t="s">
        <v>618</v>
      </c>
      <c r="E2491" t="s">
        <v>15</v>
      </c>
      <c r="F2491" s="9">
        <v>121596.33</v>
      </c>
      <c r="G2491" s="7">
        <v>990697.34</v>
      </c>
      <c r="H2491" s="8">
        <f t="shared" si="38"/>
        <v>990697.34</v>
      </c>
      <c r="I2491" s="10">
        <v>22</v>
      </c>
    </row>
    <row r="2492" spans="1:9" ht="15.75" thickBot="1" x14ac:dyDescent="0.3">
      <c r="A2492" s="1">
        <v>43466</v>
      </c>
      <c r="B2492" s="8" t="s">
        <v>6</v>
      </c>
      <c r="C2492" t="s">
        <v>7</v>
      </c>
      <c r="D2492" t="s">
        <v>618</v>
      </c>
      <c r="E2492" t="s">
        <v>10</v>
      </c>
      <c r="F2492" s="9">
        <v>274469.59000000003</v>
      </c>
      <c r="G2492" s="6">
        <v>10204330.662</v>
      </c>
      <c r="H2492" s="8">
        <f t="shared" si="38"/>
        <v>10204.330662</v>
      </c>
      <c r="I2492" s="10">
        <v>1067</v>
      </c>
    </row>
    <row r="2493" spans="1:9" ht="15.75" thickBot="1" x14ac:dyDescent="0.3">
      <c r="A2493" s="1">
        <v>43800</v>
      </c>
      <c r="B2493" s="8" t="s">
        <v>6</v>
      </c>
      <c r="C2493" t="s">
        <v>7</v>
      </c>
      <c r="D2493" t="s">
        <v>618</v>
      </c>
      <c r="E2493" t="s">
        <v>11</v>
      </c>
      <c r="F2493" s="9">
        <v>37365.800000000003</v>
      </c>
      <c r="G2493" s="7">
        <v>314627.10600000003</v>
      </c>
      <c r="H2493" s="8">
        <f t="shared" si="38"/>
        <v>314627.10600000003</v>
      </c>
      <c r="I2493" s="10">
        <v>16</v>
      </c>
    </row>
    <row r="2494" spans="1:9" ht="15.75" thickBot="1" x14ac:dyDescent="0.3">
      <c r="A2494" s="1">
        <v>43800</v>
      </c>
      <c r="B2494" s="8" t="s">
        <v>6</v>
      </c>
      <c r="C2494" t="s">
        <v>7</v>
      </c>
      <c r="D2494" t="s">
        <v>618</v>
      </c>
      <c r="E2494" t="s">
        <v>13</v>
      </c>
      <c r="F2494" s="9">
        <v>549.34</v>
      </c>
      <c r="G2494" s="6">
        <v>31000</v>
      </c>
      <c r="H2494" s="8">
        <f t="shared" si="38"/>
        <v>31000</v>
      </c>
      <c r="I2494" s="10">
        <v>3</v>
      </c>
    </row>
    <row r="2495" spans="1:9" ht="15.75" thickBot="1" x14ac:dyDescent="0.3">
      <c r="A2495" s="1">
        <v>43800</v>
      </c>
      <c r="B2495" s="8" t="s">
        <v>6</v>
      </c>
      <c r="C2495" t="s">
        <v>7</v>
      </c>
      <c r="D2495" t="s">
        <v>619</v>
      </c>
      <c r="E2495" t="s">
        <v>9</v>
      </c>
      <c r="F2495" s="9">
        <v>23072.76</v>
      </c>
      <c r="G2495" s="4">
        <v>818</v>
      </c>
      <c r="H2495" s="8">
        <f t="shared" si="38"/>
        <v>818</v>
      </c>
      <c r="I2495" s="10">
        <v>1</v>
      </c>
    </row>
    <row r="2496" spans="1:9" ht="15.75" thickBot="1" x14ac:dyDescent="0.3">
      <c r="A2496" s="1">
        <v>43800</v>
      </c>
      <c r="B2496" s="8" t="s">
        <v>6</v>
      </c>
      <c r="C2496" t="s">
        <v>7</v>
      </c>
      <c r="D2496" t="s">
        <v>619</v>
      </c>
      <c r="E2496" t="s">
        <v>10</v>
      </c>
      <c r="F2496" s="9">
        <v>6811.98</v>
      </c>
      <c r="G2496" s="6">
        <v>150000</v>
      </c>
      <c r="H2496" s="8">
        <f t="shared" si="38"/>
        <v>150</v>
      </c>
      <c r="I2496" s="10">
        <v>14</v>
      </c>
    </row>
    <row r="2497" spans="1:9" ht="15.75" thickBot="1" x14ac:dyDescent="0.3">
      <c r="A2497" s="1">
        <v>43466</v>
      </c>
      <c r="B2497" s="8" t="s">
        <v>6</v>
      </c>
      <c r="C2497" t="s">
        <v>7</v>
      </c>
      <c r="D2497" t="s">
        <v>619</v>
      </c>
      <c r="E2497" t="s">
        <v>11</v>
      </c>
      <c r="F2497" s="9">
        <v>163.13999999999999</v>
      </c>
      <c r="G2497" s="5">
        <v>0</v>
      </c>
      <c r="H2497" s="8">
        <f t="shared" si="38"/>
        <v>0</v>
      </c>
      <c r="I2497" s="10">
        <v>2</v>
      </c>
    </row>
    <row r="2498" spans="1:9" ht="15.75" thickBot="1" x14ac:dyDescent="0.3">
      <c r="A2498" s="1">
        <v>43466</v>
      </c>
      <c r="B2498" s="8" t="s">
        <v>6</v>
      </c>
      <c r="C2498" t="s">
        <v>7</v>
      </c>
      <c r="D2498" t="s">
        <v>620</v>
      </c>
      <c r="E2498" t="s">
        <v>9</v>
      </c>
      <c r="F2498" s="9">
        <v>176.47</v>
      </c>
      <c r="G2498" s="4">
        <v>4</v>
      </c>
      <c r="H2498" s="8">
        <f t="shared" ref="H2498:H2561" si="39">IF(ISNUMBER(SEARCH("Domestic customer", E2498)),G2498/1000,G2498)</f>
        <v>4</v>
      </c>
      <c r="I2498" s="10">
        <v>1</v>
      </c>
    </row>
    <row r="2499" spans="1:9" ht="15.75" thickBot="1" x14ac:dyDescent="0.3">
      <c r="A2499" s="1">
        <v>43466</v>
      </c>
      <c r="B2499" s="8" t="s">
        <v>6</v>
      </c>
      <c r="C2499" t="s">
        <v>7</v>
      </c>
      <c r="D2499" t="s">
        <v>620</v>
      </c>
      <c r="E2499" t="s">
        <v>15</v>
      </c>
      <c r="F2499" s="9">
        <v>1015.18</v>
      </c>
      <c r="G2499" s="4">
        <v>22</v>
      </c>
      <c r="H2499" s="8">
        <f t="shared" si="39"/>
        <v>22</v>
      </c>
      <c r="I2499" s="10">
        <v>5</v>
      </c>
    </row>
    <row r="2500" spans="1:9" ht="15.75" thickBot="1" x14ac:dyDescent="0.3">
      <c r="A2500" s="1">
        <v>43800</v>
      </c>
      <c r="B2500" s="8" t="s">
        <v>6</v>
      </c>
      <c r="C2500" t="s">
        <v>7</v>
      </c>
      <c r="D2500" t="s">
        <v>620</v>
      </c>
      <c r="E2500" t="s">
        <v>11</v>
      </c>
      <c r="F2500" s="9">
        <v>882.66</v>
      </c>
      <c r="G2500" s="4">
        <v>27</v>
      </c>
      <c r="H2500" s="8">
        <f t="shared" si="39"/>
        <v>27</v>
      </c>
      <c r="I2500" s="10">
        <v>2</v>
      </c>
    </row>
    <row r="2501" spans="1:9" ht="15.75" thickBot="1" x14ac:dyDescent="0.3">
      <c r="A2501" s="1">
        <v>43800</v>
      </c>
      <c r="B2501" s="8" t="s">
        <v>6</v>
      </c>
      <c r="C2501" t="s">
        <v>7</v>
      </c>
      <c r="D2501" t="s">
        <v>620</v>
      </c>
      <c r="E2501" t="s">
        <v>13</v>
      </c>
      <c r="F2501" s="9">
        <v>25200</v>
      </c>
      <c r="G2501" s="4">
        <v>625</v>
      </c>
      <c r="H2501" s="8">
        <f t="shared" si="39"/>
        <v>625</v>
      </c>
      <c r="I2501" s="10">
        <v>1</v>
      </c>
    </row>
    <row r="2502" spans="1:9" ht="15.75" thickBot="1" x14ac:dyDescent="0.3">
      <c r="A2502" s="1">
        <v>43800</v>
      </c>
      <c r="B2502" s="8" t="s">
        <v>6</v>
      </c>
      <c r="C2502" t="s">
        <v>7</v>
      </c>
      <c r="D2502" t="s">
        <v>621</v>
      </c>
      <c r="E2502" t="s">
        <v>9</v>
      </c>
      <c r="F2502" s="9">
        <v>39098.89</v>
      </c>
      <c r="G2502" s="4">
        <v>1218</v>
      </c>
      <c r="H2502" s="8">
        <f t="shared" si="39"/>
        <v>1218</v>
      </c>
      <c r="I2502" s="10">
        <v>42</v>
      </c>
    </row>
    <row r="2503" spans="1:9" ht="15.75" thickBot="1" x14ac:dyDescent="0.3">
      <c r="A2503" s="1">
        <v>43800</v>
      </c>
      <c r="B2503" s="8" t="s">
        <v>6</v>
      </c>
      <c r="C2503" t="s">
        <v>7</v>
      </c>
      <c r="D2503" t="s">
        <v>621</v>
      </c>
      <c r="E2503" t="s">
        <v>15</v>
      </c>
      <c r="F2503" s="9">
        <v>12371.85</v>
      </c>
      <c r="G2503" s="4">
        <v>372</v>
      </c>
      <c r="H2503" s="8">
        <f t="shared" si="39"/>
        <v>372</v>
      </c>
      <c r="I2503" s="10">
        <v>12</v>
      </c>
    </row>
    <row r="2504" spans="1:9" ht="15.75" thickBot="1" x14ac:dyDescent="0.3">
      <c r="A2504" s="1">
        <v>43466</v>
      </c>
      <c r="B2504" s="8" t="s">
        <v>6</v>
      </c>
      <c r="C2504" t="s">
        <v>7</v>
      </c>
      <c r="D2504" t="s">
        <v>621</v>
      </c>
      <c r="E2504" t="s">
        <v>10</v>
      </c>
      <c r="F2504" s="9">
        <v>398703.71</v>
      </c>
      <c r="G2504" s="7">
        <v>9113276.8870000001</v>
      </c>
      <c r="H2504" s="8">
        <f t="shared" si="39"/>
        <v>9113.276887</v>
      </c>
      <c r="I2504" s="10">
        <v>1351</v>
      </c>
    </row>
    <row r="2505" spans="1:9" ht="15.75" thickBot="1" x14ac:dyDescent="0.3">
      <c r="A2505" s="1">
        <v>43466</v>
      </c>
      <c r="B2505" s="8" t="s">
        <v>6</v>
      </c>
      <c r="C2505" t="s">
        <v>7</v>
      </c>
      <c r="D2505" t="s">
        <v>621</v>
      </c>
      <c r="E2505" t="s">
        <v>17</v>
      </c>
      <c r="F2505" s="9">
        <v>15177.21</v>
      </c>
      <c r="G2505" s="4">
        <v>545</v>
      </c>
      <c r="H2505" s="8">
        <f t="shared" si="39"/>
        <v>545</v>
      </c>
      <c r="I2505" s="10">
        <v>3</v>
      </c>
    </row>
    <row r="2506" spans="1:9" ht="15.75" thickBot="1" x14ac:dyDescent="0.3">
      <c r="A2506" s="1">
        <v>43466</v>
      </c>
      <c r="B2506" s="8" t="s">
        <v>6</v>
      </c>
      <c r="C2506" t="s">
        <v>7</v>
      </c>
      <c r="D2506" t="s">
        <v>621</v>
      </c>
      <c r="E2506" t="s">
        <v>11</v>
      </c>
      <c r="F2506" s="9">
        <v>358333.2</v>
      </c>
      <c r="G2506" s="7">
        <v>45743.201000000001</v>
      </c>
      <c r="H2506" s="8">
        <f t="shared" si="39"/>
        <v>45743.201000000001</v>
      </c>
      <c r="I2506" s="10">
        <v>66</v>
      </c>
    </row>
    <row r="2507" spans="1:9" ht="15.75" thickBot="1" x14ac:dyDescent="0.3">
      <c r="A2507" s="1">
        <v>43800</v>
      </c>
      <c r="B2507" s="8" t="s">
        <v>6</v>
      </c>
      <c r="C2507" t="s">
        <v>7</v>
      </c>
      <c r="D2507" t="s">
        <v>621</v>
      </c>
      <c r="E2507" t="s">
        <v>13</v>
      </c>
      <c r="F2507" s="9">
        <v>113775.33</v>
      </c>
      <c r="G2507" s="7">
        <v>48161.7</v>
      </c>
      <c r="H2507" s="8">
        <f t="shared" si="39"/>
        <v>48161.7</v>
      </c>
      <c r="I2507" s="10">
        <v>12</v>
      </c>
    </row>
    <row r="2508" spans="1:9" ht="15.75" thickBot="1" x14ac:dyDescent="0.3">
      <c r="A2508" s="1">
        <v>43800</v>
      </c>
      <c r="B2508" s="8" t="s">
        <v>6</v>
      </c>
      <c r="C2508" t="s">
        <v>7</v>
      </c>
      <c r="D2508" t="s">
        <v>622</v>
      </c>
      <c r="E2508" t="s">
        <v>9</v>
      </c>
      <c r="F2508" s="9">
        <v>37182.959999999999</v>
      </c>
      <c r="G2508" s="4">
        <v>1178</v>
      </c>
      <c r="H2508" s="8">
        <f t="shared" si="39"/>
        <v>1178</v>
      </c>
      <c r="I2508" s="10">
        <v>1</v>
      </c>
    </row>
    <row r="2509" spans="1:9" ht="15.75" thickBot="1" x14ac:dyDescent="0.3">
      <c r="A2509" s="1">
        <v>43800</v>
      </c>
      <c r="B2509" s="8" t="s">
        <v>6</v>
      </c>
      <c r="C2509" t="s">
        <v>7</v>
      </c>
      <c r="D2509" t="s">
        <v>622</v>
      </c>
      <c r="E2509" t="s">
        <v>15</v>
      </c>
      <c r="F2509" s="9">
        <v>2176.3200000000002</v>
      </c>
      <c r="G2509" s="4">
        <v>1486</v>
      </c>
      <c r="H2509" s="8">
        <f t="shared" si="39"/>
        <v>1486</v>
      </c>
      <c r="I2509" s="10">
        <v>6</v>
      </c>
    </row>
    <row r="2510" spans="1:9" ht="15.75" thickBot="1" x14ac:dyDescent="0.3">
      <c r="A2510" s="1">
        <v>43800</v>
      </c>
      <c r="B2510" s="8" t="s">
        <v>6</v>
      </c>
      <c r="C2510" t="s">
        <v>7</v>
      </c>
      <c r="D2510" t="s">
        <v>622</v>
      </c>
      <c r="E2510" t="s">
        <v>10</v>
      </c>
      <c r="F2510" s="9">
        <v>9544.85</v>
      </c>
      <c r="G2510" s="6">
        <v>832665.9</v>
      </c>
      <c r="H2510" s="8">
        <f t="shared" si="39"/>
        <v>832.66590000000008</v>
      </c>
      <c r="I2510" s="10">
        <v>86</v>
      </c>
    </row>
    <row r="2511" spans="1:9" ht="15.75" thickBot="1" x14ac:dyDescent="0.3">
      <c r="A2511" s="1">
        <v>43466</v>
      </c>
      <c r="B2511" s="8" t="s">
        <v>6</v>
      </c>
      <c r="C2511" t="s">
        <v>7</v>
      </c>
      <c r="D2511" t="s">
        <v>622</v>
      </c>
      <c r="E2511" t="s">
        <v>11</v>
      </c>
      <c r="F2511" s="9">
        <v>8319.2800000000007</v>
      </c>
      <c r="G2511" s="4">
        <v>274</v>
      </c>
      <c r="H2511" s="8">
        <f t="shared" si="39"/>
        <v>274</v>
      </c>
      <c r="I2511" s="10">
        <v>3</v>
      </c>
    </row>
    <row r="2512" spans="1:9" ht="15.75" thickBot="1" x14ac:dyDescent="0.3">
      <c r="A2512" s="1">
        <v>43466</v>
      </c>
      <c r="B2512" s="8" t="s">
        <v>6</v>
      </c>
      <c r="C2512" t="s">
        <v>7</v>
      </c>
      <c r="D2512" t="s">
        <v>623</v>
      </c>
      <c r="E2512" t="s">
        <v>9</v>
      </c>
      <c r="F2512" s="9">
        <v>1183.52</v>
      </c>
      <c r="G2512" s="4">
        <v>36</v>
      </c>
      <c r="H2512" s="8">
        <f t="shared" si="39"/>
        <v>36</v>
      </c>
      <c r="I2512" s="10">
        <v>2</v>
      </c>
    </row>
    <row r="2513" spans="1:9" ht="15.75" thickBot="1" x14ac:dyDescent="0.3">
      <c r="A2513" s="1">
        <v>43466</v>
      </c>
      <c r="B2513" s="8" t="s">
        <v>6</v>
      </c>
      <c r="C2513" t="s">
        <v>7</v>
      </c>
      <c r="D2513" t="s">
        <v>623</v>
      </c>
      <c r="E2513" t="s">
        <v>15</v>
      </c>
      <c r="F2513" s="9">
        <v>1627.92</v>
      </c>
      <c r="G2513" s="4">
        <v>853</v>
      </c>
      <c r="H2513" s="8">
        <f t="shared" si="39"/>
        <v>853</v>
      </c>
      <c r="I2513" s="10">
        <v>3</v>
      </c>
    </row>
    <row r="2514" spans="1:9" ht="15.75" thickBot="1" x14ac:dyDescent="0.3">
      <c r="A2514" s="1">
        <v>43800</v>
      </c>
      <c r="B2514" s="8" t="s">
        <v>6</v>
      </c>
      <c r="C2514" t="s">
        <v>7</v>
      </c>
      <c r="D2514" t="s">
        <v>623</v>
      </c>
      <c r="E2514" t="s">
        <v>10</v>
      </c>
      <c r="F2514" s="9">
        <v>5825.59</v>
      </c>
      <c r="G2514" s="6">
        <v>206000</v>
      </c>
      <c r="H2514" s="8">
        <f t="shared" si="39"/>
        <v>206</v>
      </c>
      <c r="I2514" s="10">
        <v>19</v>
      </c>
    </row>
    <row r="2515" spans="1:9" ht="15.75" thickBot="1" x14ac:dyDescent="0.3">
      <c r="A2515" s="1">
        <v>43800</v>
      </c>
      <c r="B2515" s="8" t="s">
        <v>6</v>
      </c>
      <c r="C2515" t="s">
        <v>7</v>
      </c>
      <c r="D2515" t="s">
        <v>623</v>
      </c>
      <c r="E2515" t="s">
        <v>11</v>
      </c>
      <c r="F2515" s="9">
        <v>500.52</v>
      </c>
      <c r="G2515" s="4">
        <v>11</v>
      </c>
      <c r="H2515" s="8">
        <f t="shared" si="39"/>
        <v>11</v>
      </c>
      <c r="I2515" s="10">
        <v>2</v>
      </c>
    </row>
    <row r="2516" spans="1:9" ht="15.75" thickBot="1" x14ac:dyDescent="0.3">
      <c r="A2516" s="1">
        <v>43800</v>
      </c>
      <c r="B2516" s="8" t="s">
        <v>6</v>
      </c>
      <c r="C2516" t="s">
        <v>7</v>
      </c>
      <c r="D2516" t="s">
        <v>624</v>
      </c>
      <c r="E2516" t="s">
        <v>9</v>
      </c>
      <c r="F2516" s="9">
        <v>4705.72</v>
      </c>
      <c r="G2516" s="4">
        <v>121</v>
      </c>
      <c r="H2516" s="8">
        <f t="shared" si="39"/>
        <v>121</v>
      </c>
      <c r="I2516" s="10">
        <v>14</v>
      </c>
    </row>
    <row r="2517" spans="1:9" ht="15.75" thickBot="1" x14ac:dyDescent="0.3">
      <c r="A2517" s="1">
        <v>43800</v>
      </c>
      <c r="B2517" s="8" t="s">
        <v>6</v>
      </c>
      <c r="C2517" t="s">
        <v>7</v>
      </c>
      <c r="D2517" t="s">
        <v>624</v>
      </c>
      <c r="E2517" t="s">
        <v>10</v>
      </c>
      <c r="F2517" s="9">
        <v>22868.31</v>
      </c>
      <c r="G2517" s="6">
        <v>891502.08299999998</v>
      </c>
      <c r="H2517" s="8">
        <f t="shared" si="39"/>
        <v>891.50208299999997</v>
      </c>
      <c r="I2517" s="10">
        <v>65</v>
      </c>
    </row>
    <row r="2518" spans="1:9" ht="15.75" thickBot="1" x14ac:dyDescent="0.3">
      <c r="A2518" s="1">
        <v>43466</v>
      </c>
      <c r="B2518" s="8" t="s">
        <v>6</v>
      </c>
      <c r="C2518" t="s">
        <v>7</v>
      </c>
      <c r="D2518" t="s">
        <v>624</v>
      </c>
      <c r="E2518" t="s">
        <v>13</v>
      </c>
      <c r="F2518" s="9">
        <v>765.89</v>
      </c>
      <c r="G2518" s="6">
        <v>26000</v>
      </c>
      <c r="H2518" s="8">
        <f t="shared" si="39"/>
        <v>26000</v>
      </c>
      <c r="I2518" s="10">
        <v>3</v>
      </c>
    </row>
    <row r="2519" spans="1:9" ht="15.75" thickBot="1" x14ac:dyDescent="0.3">
      <c r="A2519" s="1">
        <v>43466</v>
      </c>
      <c r="B2519" s="8" t="s">
        <v>6</v>
      </c>
      <c r="C2519" t="s">
        <v>7</v>
      </c>
      <c r="D2519" t="s">
        <v>625</v>
      </c>
      <c r="E2519" t="s">
        <v>9</v>
      </c>
      <c r="F2519" s="9">
        <v>46400.32</v>
      </c>
      <c r="G2519" s="4">
        <v>1401</v>
      </c>
      <c r="H2519" s="8">
        <f t="shared" si="39"/>
        <v>1401</v>
      </c>
      <c r="I2519" s="10">
        <v>2</v>
      </c>
    </row>
    <row r="2520" spans="1:9" ht="15.75" thickBot="1" x14ac:dyDescent="0.3">
      <c r="A2520" s="1">
        <v>43466</v>
      </c>
      <c r="B2520" s="8" t="s">
        <v>6</v>
      </c>
      <c r="C2520" t="s">
        <v>7</v>
      </c>
      <c r="D2520" t="s">
        <v>625</v>
      </c>
      <c r="E2520" t="s">
        <v>10</v>
      </c>
      <c r="F2520" s="9">
        <v>114158.03</v>
      </c>
      <c r="G2520" s="6">
        <v>5710000</v>
      </c>
      <c r="H2520" s="8">
        <f t="shared" si="39"/>
        <v>5710</v>
      </c>
      <c r="I2520" s="10">
        <v>1</v>
      </c>
    </row>
    <row r="2521" spans="1:9" ht="15.75" thickBot="1" x14ac:dyDescent="0.3">
      <c r="A2521" s="1">
        <v>43800</v>
      </c>
      <c r="B2521" s="8" t="s">
        <v>6</v>
      </c>
      <c r="C2521" t="s">
        <v>7</v>
      </c>
      <c r="D2521" t="s">
        <v>625</v>
      </c>
      <c r="E2521" t="s">
        <v>11</v>
      </c>
      <c r="F2521" s="9">
        <v>2039.25</v>
      </c>
      <c r="G2521" s="5">
        <v>0</v>
      </c>
      <c r="H2521" s="8">
        <f t="shared" si="39"/>
        <v>0</v>
      </c>
      <c r="I2521" s="10">
        <v>25</v>
      </c>
    </row>
    <row r="2522" spans="1:9" ht="15.75" thickBot="1" x14ac:dyDescent="0.3">
      <c r="A2522" s="1">
        <v>43800</v>
      </c>
      <c r="B2522" s="8" t="s">
        <v>6</v>
      </c>
      <c r="C2522" t="s">
        <v>7</v>
      </c>
      <c r="D2522" t="s">
        <v>626</v>
      </c>
      <c r="E2522" t="s">
        <v>15</v>
      </c>
      <c r="F2522" s="9">
        <v>1775.4</v>
      </c>
      <c r="G2522" s="4">
        <v>54</v>
      </c>
      <c r="H2522" s="8">
        <f t="shared" si="39"/>
        <v>54</v>
      </c>
      <c r="I2522" s="10">
        <v>3</v>
      </c>
    </row>
    <row r="2523" spans="1:9" ht="15.75" thickBot="1" x14ac:dyDescent="0.3">
      <c r="A2523" s="1">
        <v>43800</v>
      </c>
      <c r="B2523" s="8" t="s">
        <v>6</v>
      </c>
      <c r="C2523" t="s">
        <v>7</v>
      </c>
      <c r="D2523" t="s">
        <v>626</v>
      </c>
      <c r="E2523" t="s">
        <v>10</v>
      </c>
      <c r="F2523" s="9">
        <v>456.75</v>
      </c>
      <c r="G2523" s="6">
        <v>568000</v>
      </c>
      <c r="H2523" s="8">
        <f t="shared" si="39"/>
        <v>568</v>
      </c>
      <c r="I2523" s="10">
        <v>81</v>
      </c>
    </row>
    <row r="2524" spans="1:9" ht="15.75" thickBot="1" x14ac:dyDescent="0.3">
      <c r="A2524" s="1">
        <v>43800</v>
      </c>
      <c r="B2524" s="8" t="s">
        <v>6</v>
      </c>
      <c r="C2524" t="s">
        <v>7</v>
      </c>
      <c r="D2524" t="s">
        <v>627</v>
      </c>
      <c r="E2524" t="s">
        <v>10</v>
      </c>
      <c r="F2524" s="9">
        <v>81.569999999999993</v>
      </c>
      <c r="G2524" s="5">
        <v>0</v>
      </c>
      <c r="H2524" s="8">
        <f t="shared" si="39"/>
        <v>0</v>
      </c>
      <c r="I2524" s="10">
        <v>1</v>
      </c>
    </row>
    <row r="2525" spans="1:9" ht="15.75" thickBot="1" x14ac:dyDescent="0.3">
      <c r="A2525" s="1">
        <v>43466</v>
      </c>
      <c r="B2525" s="8" t="s">
        <v>6</v>
      </c>
      <c r="C2525" t="s">
        <v>7</v>
      </c>
      <c r="D2525" t="s">
        <v>628</v>
      </c>
      <c r="E2525" t="s">
        <v>10</v>
      </c>
      <c r="F2525" s="9">
        <v>16972.75</v>
      </c>
      <c r="G2525" s="6">
        <v>939000</v>
      </c>
      <c r="H2525" s="8">
        <f t="shared" si="39"/>
        <v>939</v>
      </c>
      <c r="I2525" s="10">
        <v>1</v>
      </c>
    </row>
    <row r="2526" spans="1:9" ht="15.75" thickBot="1" x14ac:dyDescent="0.3">
      <c r="A2526" s="1">
        <v>43466</v>
      </c>
      <c r="B2526" s="8" t="s">
        <v>6</v>
      </c>
      <c r="C2526" t="s">
        <v>7</v>
      </c>
      <c r="D2526" t="s">
        <v>629</v>
      </c>
      <c r="E2526" t="s">
        <v>9</v>
      </c>
      <c r="F2526" s="9">
        <v>974.24</v>
      </c>
      <c r="G2526" s="4">
        <v>32</v>
      </c>
      <c r="H2526" s="8">
        <f t="shared" si="39"/>
        <v>32</v>
      </c>
      <c r="I2526" s="10">
        <v>1</v>
      </c>
    </row>
    <row r="2527" spans="1:9" ht="15.75" thickBot="1" x14ac:dyDescent="0.3">
      <c r="A2527" s="1">
        <v>43466</v>
      </c>
      <c r="B2527" s="8" t="s">
        <v>6</v>
      </c>
      <c r="C2527" t="s">
        <v>7</v>
      </c>
      <c r="D2527" t="s">
        <v>629</v>
      </c>
      <c r="E2527" t="s">
        <v>15</v>
      </c>
      <c r="F2527" s="9">
        <v>100</v>
      </c>
      <c r="G2527" s="4">
        <v>0</v>
      </c>
      <c r="H2527" s="8">
        <f t="shared" si="39"/>
        <v>0</v>
      </c>
      <c r="I2527" s="10">
        <v>1</v>
      </c>
    </row>
    <row r="2528" spans="1:9" ht="15.75" thickBot="1" x14ac:dyDescent="0.3">
      <c r="A2528" s="1">
        <v>43800</v>
      </c>
      <c r="B2528" s="8" t="s">
        <v>6</v>
      </c>
      <c r="C2528" t="s">
        <v>7</v>
      </c>
      <c r="D2528" t="s">
        <v>629</v>
      </c>
      <c r="E2528" t="s">
        <v>10</v>
      </c>
      <c r="F2528" s="9">
        <v>157476.09</v>
      </c>
      <c r="G2528" s="6">
        <v>5028977.01</v>
      </c>
      <c r="H2528" s="8">
        <f t="shared" si="39"/>
        <v>5028.9770099999996</v>
      </c>
      <c r="I2528" s="10">
        <v>545</v>
      </c>
    </row>
    <row r="2529" spans="1:9" ht="15.75" thickBot="1" x14ac:dyDescent="0.3">
      <c r="A2529" s="1">
        <v>43800</v>
      </c>
      <c r="B2529" s="8" t="s">
        <v>6</v>
      </c>
      <c r="C2529" t="s">
        <v>7</v>
      </c>
      <c r="D2529" t="s">
        <v>629</v>
      </c>
      <c r="E2529" t="s">
        <v>17</v>
      </c>
      <c r="F2529" s="9">
        <v>1635.84</v>
      </c>
      <c r="G2529" s="4">
        <v>37</v>
      </c>
      <c r="H2529" s="8">
        <f t="shared" si="39"/>
        <v>37</v>
      </c>
      <c r="I2529" s="10">
        <v>1</v>
      </c>
    </row>
    <row r="2530" spans="1:9" ht="15.75" thickBot="1" x14ac:dyDescent="0.3">
      <c r="A2530" s="1">
        <v>43800</v>
      </c>
      <c r="B2530" s="8" t="s">
        <v>6</v>
      </c>
      <c r="C2530" t="s">
        <v>7</v>
      </c>
      <c r="D2530" t="s">
        <v>629</v>
      </c>
      <c r="E2530" t="s">
        <v>11</v>
      </c>
      <c r="F2530" s="9">
        <v>15559.97</v>
      </c>
      <c r="G2530" s="7">
        <v>292233</v>
      </c>
      <c r="H2530" s="8">
        <f t="shared" si="39"/>
        <v>292233</v>
      </c>
      <c r="I2530" s="10">
        <v>16</v>
      </c>
    </row>
    <row r="2531" spans="1:9" ht="15.75" thickBot="1" x14ac:dyDescent="0.3">
      <c r="A2531" s="1">
        <v>43800</v>
      </c>
      <c r="B2531" s="8" t="s">
        <v>6</v>
      </c>
      <c r="C2531" t="s">
        <v>7</v>
      </c>
      <c r="D2531" t="s">
        <v>629</v>
      </c>
      <c r="E2531" t="s">
        <v>13</v>
      </c>
      <c r="F2531" s="9">
        <v>2133.87</v>
      </c>
      <c r="G2531" s="6">
        <v>67000</v>
      </c>
      <c r="H2531" s="8">
        <f t="shared" si="39"/>
        <v>67000</v>
      </c>
      <c r="I2531" s="10">
        <v>7</v>
      </c>
    </row>
    <row r="2532" spans="1:9" ht="15.75" thickBot="1" x14ac:dyDescent="0.3">
      <c r="A2532" s="1">
        <v>43466</v>
      </c>
      <c r="B2532" s="8" t="s">
        <v>6</v>
      </c>
      <c r="C2532" t="s">
        <v>7</v>
      </c>
      <c r="D2532" t="s">
        <v>630</v>
      </c>
      <c r="E2532" t="s">
        <v>9</v>
      </c>
      <c r="F2532" s="9">
        <v>237917.68</v>
      </c>
      <c r="G2532" s="4">
        <v>6524</v>
      </c>
      <c r="H2532" s="8">
        <f t="shared" si="39"/>
        <v>6524</v>
      </c>
      <c r="I2532" s="10">
        <v>143</v>
      </c>
    </row>
    <row r="2533" spans="1:9" ht="15.75" thickBot="1" x14ac:dyDescent="0.3">
      <c r="A2533" s="1">
        <v>43466</v>
      </c>
      <c r="B2533" s="8" t="s">
        <v>6</v>
      </c>
      <c r="C2533" t="s">
        <v>7</v>
      </c>
      <c r="D2533" t="s">
        <v>630</v>
      </c>
      <c r="E2533" t="s">
        <v>15</v>
      </c>
      <c r="F2533" s="9">
        <v>25249.51</v>
      </c>
      <c r="G2533" s="4">
        <v>815</v>
      </c>
      <c r="H2533" s="8">
        <f t="shared" si="39"/>
        <v>815</v>
      </c>
      <c r="I2533" s="10">
        <v>14</v>
      </c>
    </row>
    <row r="2534" spans="1:9" ht="15.75" thickBot="1" x14ac:dyDescent="0.3">
      <c r="A2534" s="1">
        <v>43466</v>
      </c>
      <c r="B2534" s="8" t="s">
        <v>6</v>
      </c>
      <c r="C2534" t="s">
        <v>7</v>
      </c>
      <c r="D2534" t="s">
        <v>630</v>
      </c>
      <c r="E2534" t="s">
        <v>10</v>
      </c>
      <c r="F2534" s="9">
        <v>261510.49</v>
      </c>
      <c r="G2534" s="7">
        <v>8483655.3149999995</v>
      </c>
      <c r="H2534" s="8">
        <f t="shared" si="39"/>
        <v>8483.655315</v>
      </c>
      <c r="I2534" s="10">
        <v>597</v>
      </c>
    </row>
    <row r="2535" spans="1:9" ht="15.75" thickBot="1" x14ac:dyDescent="0.3">
      <c r="A2535" s="1">
        <v>43800</v>
      </c>
      <c r="B2535" s="8" t="s">
        <v>6</v>
      </c>
      <c r="C2535" t="s">
        <v>7</v>
      </c>
      <c r="D2535" t="s">
        <v>630</v>
      </c>
      <c r="E2535" t="s">
        <v>17</v>
      </c>
      <c r="F2535" s="9">
        <v>4294.93</v>
      </c>
      <c r="G2535" s="4">
        <v>93</v>
      </c>
      <c r="H2535" s="8">
        <f t="shared" si="39"/>
        <v>93</v>
      </c>
      <c r="I2535" s="10">
        <v>7</v>
      </c>
    </row>
    <row r="2536" spans="1:9" ht="15.75" thickBot="1" x14ac:dyDescent="0.3">
      <c r="A2536" s="1">
        <v>43800</v>
      </c>
      <c r="B2536" s="8" t="s">
        <v>6</v>
      </c>
      <c r="C2536" t="s">
        <v>7</v>
      </c>
      <c r="D2536" t="s">
        <v>630</v>
      </c>
      <c r="E2536" t="s">
        <v>11</v>
      </c>
      <c r="F2536" s="9">
        <v>52009.95</v>
      </c>
      <c r="G2536" s="7">
        <v>776669.26199999999</v>
      </c>
      <c r="H2536" s="8">
        <f t="shared" si="39"/>
        <v>776669.26199999999</v>
      </c>
      <c r="I2536" s="10">
        <v>48</v>
      </c>
    </row>
    <row r="2537" spans="1:9" ht="15.75" thickBot="1" x14ac:dyDescent="0.3">
      <c r="A2537" s="1">
        <v>43800</v>
      </c>
      <c r="B2537" s="8" t="s">
        <v>6</v>
      </c>
      <c r="C2537" t="s">
        <v>7</v>
      </c>
      <c r="D2537" t="s">
        <v>630</v>
      </c>
      <c r="E2537" t="s">
        <v>13</v>
      </c>
      <c r="F2537" s="9">
        <v>3226.5</v>
      </c>
      <c r="G2537" s="7">
        <v>47042</v>
      </c>
      <c r="H2537" s="8">
        <f t="shared" si="39"/>
        <v>47042</v>
      </c>
      <c r="I2537" s="10">
        <v>12</v>
      </c>
    </row>
    <row r="2538" spans="1:9" ht="15.75" thickBot="1" x14ac:dyDescent="0.3">
      <c r="A2538" s="1">
        <v>43800</v>
      </c>
      <c r="B2538" s="8" t="s">
        <v>6</v>
      </c>
      <c r="C2538" t="s">
        <v>7</v>
      </c>
      <c r="D2538" t="s">
        <v>631</v>
      </c>
      <c r="E2538" t="s">
        <v>9</v>
      </c>
      <c r="F2538" s="9">
        <v>28163.22</v>
      </c>
      <c r="G2538" s="4">
        <v>743</v>
      </c>
      <c r="H2538" s="8">
        <f t="shared" si="39"/>
        <v>743</v>
      </c>
      <c r="I2538" s="10">
        <v>34</v>
      </c>
    </row>
    <row r="2539" spans="1:9" ht="15.75" thickBot="1" x14ac:dyDescent="0.3">
      <c r="A2539" s="1">
        <v>43466</v>
      </c>
      <c r="B2539" s="8" t="s">
        <v>6</v>
      </c>
      <c r="C2539" t="s">
        <v>7</v>
      </c>
      <c r="D2539" t="s">
        <v>631</v>
      </c>
      <c r="E2539" t="s">
        <v>15</v>
      </c>
      <c r="F2539" s="9">
        <v>100</v>
      </c>
      <c r="G2539" s="4">
        <v>0</v>
      </c>
      <c r="H2539" s="8">
        <f t="shared" si="39"/>
        <v>0</v>
      </c>
      <c r="I2539" s="10">
        <v>1</v>
      </c>
    </row>
    <row r="2540" spans="1:9" ht="15.75" thickBot="1" x14ac:dyDescent="0.3">
      <c r="A2540" s="1">
        <v>43466</v>
      </c>
      <c r="B2540" s="8" t="s">
        <v>6</v>
      </c>
      <c r="C2540" t="s">
        <v>7</v>
      </c>
      <c r="D2540" t="s">
        <v>631</v>
      </c>
      <c r="E2540" t="s">
        <v>10</v>
      </c>
      <c r="F2540" s="9">
        <v>14878.25</v>
      </c>
      <c r="G2540" s="7">
        <v>209168</v>
      </c>
      <c r="H2540" s="8">
        <f t="shared" si="39"/>
        <v>209.16800000000001</v>
      </c>
      <c r="I2540" s="10">
        <v>22</v>
      </c>
    </row>
    <row r="2541" spans="1:9" ht="15.75" thickBot="1" x14ac:dyDescent="0.3">
      <c r="A2541" s="1">
        <v>43466</v>
      </c>
      <c r="B2541" s="8" t="s">
        <v>6</v>
      </c>
      <c r="C2541" t="s">
        <v>7</v>
      </c>
      <c r="D2541" t="s">
        <v>631</v>
      </c>
      <c r="E2541" t="s">
        <v>17</v>
      </c>
      <c r="F2541" s="9">
        <v>33799.480000000003</v>
      </c>
      <c r="G2541" s="4">
        <v>838</v>
      </c>
      <c r="H2541" s="8">
        <f t="shared" si="39"/>
        <v>838</v>
      </c>
      <c r="I2541" s="10">
        <v>26</v>
      </c>
    </row>
    <row r="2542" spans="1:9" ht="15.75" thickBot="1" x14ac:dyDescent="0.3">
      <c r="A2542" s="1">
        <v>43800</v>
      </c>
      <c r="B2542" s="8" t="s">
        <v>6</v>
      </c>
      <c r="C2542" t="s">
        <v>7</v>
      </c>
      <c r="D2542" t="s">
        <v>631</v>
      </c>
      <c r="E2542" t="s">
        <v>11</v>
      </c>
      <c r="F2542" s="9">
        <v>3088.65</v>
      </c>
      <c r="G2542" s="7">
        <v>40037</v>
      </c>
      <c r="H2542" s="8">
        <f t="shared" si="39"/>
        <v>40037</v>
      </c>
      <c r="I2542" s="10">
        <v>7</v>
      </c>
    </row>
    <row r="2543" spans="1:9" ht="15.75" thickBot="1" x14ac:dyDescent="0.3">
      <c r="A2543" s="1">
        <v>43800</v>
      </c>
      <c r="B2543" s="8" t="s">
        <v>6</v>
      </c>
      <c r="C2543" t="s">
        <v>7</v>
      </c>
      <c r="D2543" t="s">
        <v>632</v>
      </c>
      <c r="E2543" t="s">
        <v>9</v>
      </c>
      <c r="F2543" s="9">
        <v>7118.64</v>
      </c>
      <c r="G2543" s="4">
        <v>202</v>
      </c>
      <c r="H2543" s="8">
        <f t="shared" si="39"/>
        <v>202</v>
      </c>
      <c r="I2543" s="10">
        <v>1</v>
      </c>
    </row>
    <row r="2544" spans="1:9" ht="15.75" thickBot="1" x14ac:dyDescent="0.3">
      <c r="A2544" s="1">
        <v>43800</v>
      </c>
      <c r="B2544" s="8" t="s">
        <v>6</v>
      </c>
      <c r="C2544" t="s">
        <v>7</v>
      </c>
      <c r="D2544" t="s">
        <v>632</v>
      </c>
      <c r="E2544" t="s">
        <v>10</v>
      </c>
      <c r="F2544" s="9">
        <v>163.13999999999999</v>
      </c>
      <c r="G2544" s="5">
        <v>0</v>
      </c>
      <c r="H2544" s="8">
        <f t="shared" si="39"/>
        <v>0</v>
      </c>
      <c r="I2544" s="10">
        <v>2</v>
      </c>
    </row>
    <row r="2545" spans="1:9" ht="15.75" thickBot="1" x14ac:dyDescent="0.3">
      <c r="A2545" s="1">
        <v>43800</v>
      </c>
      <c r="B2545" s="8" t="s">
        <v>6</v>
      </c>
      <c r="C2545" t="s">
        <v>7</v>
      </c>
      <c r="D2545" t="s">
        <v>633</v>
      </c>
      <c r="E2545" t="s">
        <v>15</v>
      </c>
      <c r="F2545" s="9">
        <v>4794.88</v>
      </c>
      <c r="G2545" s="4">
        <v>84</v>
      </c>
      <c r="H2545" s="8">
        <f t="shared" si="39"/>
        <v>84</v>
      </c>
      <c r="I2545" s="10">
        <v>1</v>
      </c>
    </row>
    <row r="2546" spans="1:9" ht="15.75" thickBot="1" x14ac:dyDescent="0.3">
      <c r="A2546" s="1">
        <v>43466</v>
      </c>
      <c r="B2546" s="8" t="s">
        <v>6</v>
      </c>
      <c r="C2546" t="s">
        <v>7</v>
      </c>
      <c r="D2546" t="s">
        <v>633</v>
      </c>
      <c r="E2546" t="s">
        <v>10</v>
      </c>
      <c r="F2546" s="9">
        <v>1922.92</v>
      </c>
      <c r="G2546" s="6">
        <v>52000</v>
      </c>
      <c r="H2546" s="8">
        <f t="shared" si="39"/>
        <v>52</v>
      </c>
      <c r="I2546" s="10">
        <v>8</v>
      </c>
    </row>
    <row r="2547" spans="1:9" ht="15.75" thickBot="1" x14ac:dyDescent="0.3">
      <c r="A2547" s="1">
        <v>43466</v>
      </c>
      <c r="B2547" s="8" t="s">
        <v>6</v>
      </c>
      <c r="C2547" t="s">
        <v>7</v>
      </c>
      <c r="D2547" t="s">
        <v>634</v>
      </c>
      <c r="E2547" t="s">
        <v>9</v>
      </c>
      <c r="F2547" s="9">
        <v>7360.56</v>
      </c>
      <c r="G2547" s="4">
        <v>258</v>
      </c>
      <c r="H2547" s="8">
        <f t="shared" si="39"/>
        <v>258</v>
      </c>
      <c r="I2547" s="10">
        <v>4</v>
      </c>
    </row>
    <row r="2548" spans="1:9" ht="15.75" thickBot="1" x14ac:dyDescent="0.3">
      <c r="A2548" s="1">
        <v>43466</v>
      </c>
      <c r="B2548" s="8" t="s">
        <v>6</v>
      </c>
      <c r="C2548" t="s">
        <v>7</v>
      </c>
      <c r="D2548" t="s">
        <v>634</v>
      </c>
      <c r="E2548" t="s">
        <v>15</v>
      </c>
      <c r="F2548" s="9">
        <v>125.21</v>
      </c>
      <c r="G2548" s="4">
        <v>1</v>
      </c>
      <c r="H2548" s="8">
        <f t="shared" si="39"/>
        <v>1</v>
      </c>
      <c r="I2548" s="10">
        <v>1</v>
      </c>
    </row>
    <row r="2549" spans="1:9" ht="15.75" thickBot="1" x14ac:dyDescent="0.3">
      <c r="A2549" s="1">
        <v>43800</v>
      </c>
      <c r="B2549" s="8" t="s">
        <v>6</v>
      </c>
      <c r="C2549" t="s">
        <v>7</v>
      </c>
      <c r="D2549" t="s">
        <v>634</v>
      </c>
      <c r="E2549" t="s">
        <v>10</v>
      </c>
      <c r="F2549" s="9">
        <v>90004.77</v>
      </c>
      <c r="G2549" s="6">
        <v>3087665.45</v>
      </c>
      <c r="H2549" s="8">
        <f t="shared" si="39"/>
        <v>3087.66545</v>
      </c>
      <c r="I2549" s="10">
        <v>245</v>
      </c>
    </row>
    <row r="2550" spans="1:9" ht="15.75" thickBot="1" x14ac:dyDescent="0.3">
      <c r="A2550" s="1">
        <v>43800</v>
      </c>
      <c r="B2550" s="8" t="s">
        <v>6</v>
      </c>
      <c r="C2550" t="s">
        <v>7</v>
      </c>
      <c r="D2550" t="s">
        <v>634</v>
      </c>
      <c r="E2550" t="s">
        <v>11</v>
      </c>
      <c r="F2550" s="9">
        <v>3244.13</v>
      </c>
      <c r="G2550" s="4">
        <v>108</v>
      </c>
      <c r="H2550" s="8">
        <f t="shared" si="39"/>
        <v>108</v>
      </c>
      <c r="I2550" s="10">
        <v>4</v>
      </c>
    </row>
    <row r="2551" spans="1:9" ht="15.75" thickBot="1" x14ac:dyDescent="0.3">
      <c r="A2551" s="1">
        <v>43800</v>
      </c>
      <c r="B2551" s="8" t="s">
        <v>6</v>
      </c>
      <c r="C2551" t="s">
        <v>7</v>
      </c>
      <c r="D2551" t="s">
        <v>634</v>
      </c>
      <c r="E2551" t="s">
        <v>13</v>
      </c>
      <c r="F2551" s="9">
        <v>231.28</v>
      </c>
      <c r="G2551" s="6">
        <v>8000</v>
      </c>
      <c r="H2551" s="8">
        <f t="shared" si="39"/>
        <v>8000</v>
      </c>
      <c r="I2551" s="10">
        <v>2</v>
      </c>
    </row>
    <row r="2552" spans="1:9" ht="15.75" thickBot="1" x14ac:dyDescent="0.3">
      <c r="A2552" s="1">
        <v>43800</v>
      </c>
      <c r="B2552" s="8" t="s">
        <v>6</v>
      </c>
      <c r="C2552" t="s">
        <v>7</v>
      </c>
      <c r="D2552" t="s">
        <v>635</v>
      </c>
      <c r="E2552" t="s">
        <v>9</v>
      </c>
      <c r="F2552" s="9">
        <v>47327.72</v>
      </c>
      <c r="G2552" s="4">
        <v>1696</v>
      </c>
      <c r="H2552" s="8">
        <f t="shared" si="39"/>
        <v>1696</v>
      </c>
      <c r="I2552" s="10">
        <v>4</v>
      </c>
    </row>
    <row r="2553" spans="1:9" ht="15.75" thickBot="1" x14ac:dyDescent="0.3">
      <c r="A2553" s="1">
        <v>43466</v>
      </c>
      <c r="B2553" s="8" t="s">
        <v>6</v>
      </c>
      <c r="C2553" t="s">
        <v>7</v>
      </c>
      <c r="D2553" t="s">
        <v>635</v>
      </c>
      <c r="E2553" t="s">
        <v>15</v>
      </c>
      <c r="F2553" s="9">
        <v>500</v>
      </c>
      <c r="G2553" s="4">
        <v>0</v>
      </c>
      <c r="H2553" s="8">
        <f t="shared" si="39"/>
        <v>0</v>
      </c>
      <c r="I2553" s="10">
        <v>2</v>
      </c>
    </row>
    <row r="2554" spans="1:9" ht="15.75" thickBot="1" x14ac:dyDescent="0.3">
      <c r="A2554" s="1">
        <v>43466</v>
      </c>
      <c r="B2554" s="8" t="s">
        <v>6</v>
      </c>
      <c r="C2554" t="s">
        <v>7</v>
      </c>
      <c r="D2554" t="s">
        <v>635</v>
      </c>
      <c r="E2554" t="s">
        <v>10</v>
      </c>
      <c r="F2554" s="9">
        <v>223812.91</v>
      </c>
      <c r="G2554" s="6">
        <v>7480338.0640000002</v>
      </c>
      <c r="H2554" s="8">
        <f t="shared" si="39"/>
        <v>7480.3380640000005</v>
      </c>
      <c r="I2554" s="10">
        <v>752</v>
      </c>
    </row>
    <row r="2555" spans="1:9" ht="15.75" thickBot="1" x14ac:dyDescent="0.3">
      <c r="A2555" s="1">
        <v>43466</v>
      </c>
      <c r="B2555" s="8" t="s">
        <v>6</v>
      </c>
      <c r="C2555" t="s">
        <v>7</v>
      </c>
      <c r="D2555" t="s">
        <v>635</v>
      </c>
      <c r="E2555" t="s">
        <v>11</v>
      </c>
      <c r="F2555" s="9">
        <v>1674.28</v>
      </c>
      <c r="G2555" s="7">
        <v>45001</v>
      </c>
      <c r="H2555" s="8">
        <f t="shared" si="39"/>
        <v>45001</v>
      </c>
      <c r="I2555" s="10">
        <v>7</v>
      </c>
    </row>
    <row r="2556" spans="1:9" ht="15.75" thickBot="1" x14ac:dyDescent="0.3">
      <c r="A2556" s="1">
        <v>43800</v>
      </c>
      <c r="B2556" s="8" t="s">
        <v>6</v>
      </c>
      <c r="C2556" t="s">
        <v>7</v>
      </c>
      <c r="D2556" t="s">
        <v>635</v>
      </c>
      <c r="E2556" t="s">
        <v>13</v>
      </c>
      <c r="F2556" s="9">
        <v>1730.82</v>
      </c>
      <c r="G2556" s="6">
        <v>62000</v>
      </c>
      <c r="H2556" s="8">
        <f t="shared" si="39"/>
        <v>62000</v>
      </c>
      <c r="I2556" s="10">
        <v>6</v>
      </c>
    </row>
    <row r="2557" spans="1:9" ht="15.75" thickBot="1" x14ac:dyDescent="0.3">
      <c r="A2557" s="1">
        <v>43800</v>
      </c>
      <c r="B2557" s="8" t="s">
        <v>6</v>
      </c>
      <c r="C2557" t="s">
        <v>7</v>
      </c>
      <c r="D2557" t="s">
        <v>636</v>
      </c>
      <c r="E2557" t="s">
        <v>15</v>
      </c>
      <c r="F2557" s="9">
        <v>13543.1</v>
      </c>
      <c r="G2557" s="4">
        <v>361</v>
      </c>
      <c r="H2557" s="8">
        <f t="shared" si="39"/>
        <v>361</v>
      </c>
      <c r="I2557" s="10">
        <v>4</v>
      </c>
    </row>
    <row r="2558" spans="1:9" ht="15.75" thickBot="1" x14ac:dyDescent="0.3">
      <c r="A2558" s="1">
        <v>43800</v>
      </c>
      <c r="B2558" s="8" t="s">
        <v>6</v>
      </c>
      <c r="C2558" t="s">
        <v>7</v>
      </c>
      <c r="D2558" t="s">
        <v>636</v>
      </c>
      <c r="E2558" t="s">
        <v>10</v>
      </c>
      <c r="F2558" s="9">
        <v>150926.98000000001</v>
      </c>
      <c r="G2558" s="6">
        <v>5059833.074</v>
      </c>
      <c r="H2558" s="8">
        <f t="shared" si="39"/>
        <v>5059.8330740000001</v>
      </c>
      <c r="I2558" s="10">
        <v>421</v>
      </c>
    </row>
    <row r="2559" spans="1:9" ht="15.75" thickBot="1" x14ac:dyDescent="0.3">
      <c r="A2559" s="1">
        <v>43800</v>
      </c>
      <c r="B2559" s="8" t="s">
        <v>6</v>
      </c>
      <c r="C2559" t="s">
        <v>7</v>
      </c>
      <c r="D2559" t="s">
        <v>636</v>
      </c>
      <c r="E2559" t="s">
        <v>11</v>
      </c>
      <c r="F2559" s="9">
        <v>3174.16</v>
      </c>
      <c r="G2559" s="6">
        <v>148000</v>
      </c>
      <c r="H2559" s="8">
        <f t="shared" si="39"/>
        <v>148000</v>
      </c>
      <c r="I2559" s="10">
        <v>1</v>
      </c>
    </row>
    <row r="2560" spans="1:9" ht="15.75" thickBot="1" x14ac:dyDescent="0.3">
      <c r="A2560" s="1">
        <v>43466</v>
      </c>
      <c r="B2560" s="8" t="s">
        <v>6</v>
      </c>
      <c r="C2560" t="s">
        <v>7</v>
      </c>
      <c r="D2560" t="s">
        <v>636</v>
      </c>
      <c r="E2560" t="s">
        <v>13</v>
      </c>
      <c r="F2560" s="9">
        <v>1599.25</v>
      </c>
      <c r="G2560" s="6">
        <v>51000</v>
      </c>
      <c r="H2560" s="8">
        <f t="shared" si="39"/>
        <v>51000</v>
      </c>
      <c r="I2560" s="10">
        <v>3</v>
      </c>
    </row>
    <row r="2561" spans="1:9" ht="15.75" thickBot="1" x14ac:dyDescent="0.3">
      <c r="A2561" s="1">
        <v>43466</v>
      </c>
      <c r="B2561" s="8" t="s">
        <v>6</v>
      </c>
      <c r="C2561" t="s">
        <v>7</v>
      </c>
      <c r="D2561" t="s">
        <v>637</v>
      </c>
      <c r="E2561" t="s">
        <v>9</v>
      </c>
      <c r="F2561" s="9">
        <v>4636.4799999999996</v>
      </c>
      <c r="G2561" s="4">
        <v>164</v>
      </c>
      <c r="H2561" s="8">
        <f t="shared" si="39"/>
        <v>164</v>
      </c>
      <c r="I2561" s="10">
        <v>2</v>
      </c>
    </row>
    <row r="2562" spans="1:9" ht="15.75" thickBot="1" x14ac:dyDescent="0.3">
      <c r="A2562" s="1">
        <v>43466</v>
      </c>
      <c r="B2562" s="8" t="s">
        <v>6</v>
      </c>
      <c r="C2562" t="s">
        <v>7</v>
      </c>
      <c r="D2562" t="s">
        <v>637</v>
      </c>
      <c r="E2562" t="s">
        <v>15</v>
      </c>
      <c r="F2562" s="9">
        <v>1136.3399999999999</v>
      </c>
      <c r="G2562" s="4">
        <v>23</v>
      </c>
      <c r="H2562" s="8">
        <f t="shared" ref="H2562:H2625" si="40">IF(ISNUMBER(SEARCH("Domestic customer", E2562)),G2562/1000,G2562)</f>
        <v>23</v>
      </c>
      <c r="I2562" s="10">
        <v>3</v>
      </c>
    </row>
    <row r="2563" spans="1:9" ht="15.75" thickBot="1" x14ac:dyDescent="0.3">
      <c r="A2563" s="1">
        <v>43800</v>
      </c>
      <c r="B2563" s="8" t="s">
        <v>6</v>
      </c>
      <c r="C2563" t="s">
        <v>7</v>
      </c>
      <c r="D2563" t="s">
        <v>637</v>
      </c>
      <c r="E2563" t="s">
        <v>10</v>
      </c>
      <c r="F2563" s="9">
        <v>99558.09</v>
      </c>
      <c r="G2563" s="6">
        <v>3624092.0410000002</v>
      </c>
      <c r="H2563" s="8">
        <f t="shared" si="40"/>
        <v>3624.0920410000003</v>
      </c>
      <c r="I2563" s="10">
        <v>351</v>
      </c>
    </row>
    <row r="2564" spans="1:9" ht="15.75" thickBot="1" x14ac:dyDescent="0.3">
      <c r="A2564" s="1">
        <v>43800</v>
      </c>
      <c r="B2564" s="8" t="s">
        <v>6</v>
      </c>
      <c r="C2564" t="s">
        <v>7</v>
      </c>
      <c r="D2564" t="s">
        <v>637</v>
      </c>
      <c r="E2564" t="s">
        <v>13</v>
      </c>
      <c r="F2564" s="9">
        <v>481.88</v>
      </c>
      <c r="G2564" s="6">
        <v>18000</v>
      </c>
      <c r="H2564" s="8">
        <f t="shared" si="40"/>
        <v>18000</v>
      </c>
      <c r="I2564" s="10">
        <v>1</v>
      </c>
    </row>
    <row r="2565" spans="1:9" ht="15.75" thickBot="1" x14ac:dyDescent="0.3">
      <c r="A2565" s="1">
        <v>43800</v>
      </c>
      <c r="B2565" s="8" t="s">
        <v>6</v>
      </c>
      <c r="C2565" t="s">
        <v>7</v>
      </c>
      <c r="D2565" t="s">
        <v>638</v>
      </c>
      <c r="E2565" t="s">
        <v>9</v>
      </c>
      <c r="F2565" s="9">
        <v>6092.68</v>
      </c>
      <c r="G2565" s="4">
        <v>199</v>
      </c>
      <c r="H2565" s="8">
        <f t="shared" si="40"/>
        <v>199</v>
      </c>
      <c r="I2565" s="10">
        <v>4</v>
      </c>
    </row>
    <row r="2566" spans="1:9" ht="15.75" thickBot="1" x14ac:dyDescent="0.3">
      <c r="A2566" s="1">
        <v>43800</v>
      </c>
      <c r="B2566" s="8" t="s">
        <v>6</v>
      </c>
      <c r="C2566" t="s">
        <v>7</v>
      </c>
      <c r="D2566" t="s">
        <v>638</v>
      </c>
      <c r="E2566" t="s">
        <v>15</v>
      </c>
      <c r="F2566" s="9">
        <v>256</v>
      </c>
      <c r="G2566" s="4">
        <v>0</v>
      </c>
      <c r="H2566" s="8">
        <f t="shared" si="40"/>
        <v>0</v>
      </c>
      <c r="I2566" s="10">
        <v>2</v>
      </c>
    </row>
    <row r="2567" spans="1:9" ht="15.75" thickBot="1" x14ac:dyDescent="0.3">
      <c r="A2567" s="1">
        <v>43466</v>
      </c>
      <c r="B2567" s="8" t="s">
        <v>6</v>
      </c>
      <c r="C2567" t="s">
        <v>7</v>
      </c>
      <c r="D2567" t="s">
        <v>638</v>
      </c>
      <c r="E2567" t="s">
        <v>10</v>
      </c>
      <c r="F2567" s="9">
        <v>49047.51</v>
      </c>
      <c r="G2567" s="6">
        <v>1575859.0149999999</v>
      </c>
      <c r="H2567" s="8">
        <f t="shared" si="40"/>
        <v>1575.859015</v>
      </c>
      <c r="I2567" s="10">
        <v>120</v>
      </c>
    </row>
    <row r="2568" spans="1:9" ht="15.75" thickBot="1" x14ac:dyDescent="0.3">
      <c r="A2568" s="1">
        <v>43466</v>
      </c>
      <c r="B2568" s="8" t="s">
        <v>6</v>
      </c>
      <c r="C2568" t="s">
        <v>7</v>
      </c>
      <c r="D2568" t="s">
        <v>638</v>
      </c>
      <c r="E2568" t="s">
        <v>11</v>
      </c>
      <c r="F2568" s="9">
        <v>81.569999999999993</v>
      </c>
      <c r="G2568" s="5">
        <v>0</v>
      </c>
      <c r="H2568" s="8">
        <f t="shared" si="40"/>
        <v>0</v>
      </c>
      <c r="I2568" s="10">
        <v>1</v>
      </c>
    </row>
    <row r="2569" spans="1:9" ht="15.75" thickBot="1" x14ac:dyDescent="0.3">
      <c r="A2569" s="1">
        <v>43466</v>
      </c>
      <c r="B2569" s="8" t="s">
        <v>6</v>
      </c>
      <c r="C2569" t="s">
        <v>7</v>
      </c>
      <c r="D2569" t="s">
        <v>638</v>
      </c>
      <c r="E2569" t="s">
        <v>13</v>
      </c>
      <c r="F2569" s="9">
        <v>366.66</v>
      </c>
      <c r="G2569" s="6">
        <v>13000</v>
      </c>
      <c r="H2569" s="8">
        <f t="shared" si="40"/>
        <v>13000</v>
      </c>
      <c r="I2569" s="10">
        <v>1</v>
      </c>
    </row>
    <row r="2570" spans="1:9" ht="15.75" thickBot="1" x14ac:dyDescent="0.3">
      <c r="A2570" s="1">
        <v>43800</v>
      </c>
      <c r="B2570" s="8" t="s">
        <v>6</v>
      </c>
      <c r="C2570" t="s">
        <v>7</v>
      </c>
      <c r="D2570" t="s">
        <v>639</v>
      </c>
      <c r="E2570" t="s">
        <v>15</v>
      </c>
      <c r="F2570" s="9">
        <v>632.53</v>
      </c>
      <c r="G2570" s="4">
        <v>23</v>
      </c>
      <c r="H2570" s="8">
        <f t="shared" si="40"/>
        <v>23</v>
      </c>
      <c r="I2570" s="10">
        <v>1</v>
      </c>
    </row>
    <row r="2571" spans="1:9" ht="15.75" thickBot="1" x14ac:dyDescent="0.3">
      <c r="A2571" s="1">
        <v>43800</v>
      </c>
      <c r="B2571" s="8" t="s">
        <v>6</v>
      </c>
      <c r="C2571" t="s">
        <v>7</v>
      </c>
      <c r="D2571" t="s">
        <v>639</v>
      </c>
      <c r="E2571" t="s">
        <v>10</v>
      </c>
      <c r="F2571" s="9">
        <v>185156.32</v>
      </c>
      <c r="G2571" s="6">
        <v>6386926.273</v>
      </c>
      <c r="H2571" s="8">
        <f t="shared" si="40"/>
        <v>6386.926273</v>
      </c>
      <c r="I2571" s="10">
        <v>451</v>
      </c>
    </row>
    <row r="2572" spans="1:9" ht="15.75" thickBot="1" x14ac:dyDescent="0.3">
      <c r="A2572" s="1">
        <v>43800</v>
      </c>
      <c r="B2572" s="8" t="s">
        <v>6</v>
      </c>
      <c r="C2572" t="s">
        <v>7</v>
      </c>
      <c r="D2572" t="s">
        <v>639</v>
      </c>
      <c r="E2572" t="s">
        <v>11</v>
      </c>
      <c r="F2572" s="9">
        <v>81.569999999999993</v>
      </c>
      <c r="G2572" s="5">
        <v>0</v>
      </c>
      <c r="H2572" s="8">
        <f t="shared" si="40"/>
        <v>0</v>
      </c>
      <c r="I2572" s="10">
        <v>1</v>
      </c>
    </row>
    <row r="2573" spans="1:9" ht="15.75" thickBot="1" x14ac:dyDescent="0.3">
      <c r="A2573" s="1">
        <v>43800</v>
      </c>
      <c r="B2573" s="8" t="s">
        <v>6</v>
      </c>
      <c r="C2573" t="s">
        <v>7</v>
      </c>
      <c r="D2573" t="s">
        <v>639</v>
      </c>
      <c r="E2573" t="s">
        <v>13</v>
      </c>
      <c r="F2573" s="9">
        <v>1115.05</v>
      </c>
      <c r="G2573" s="6">
        <v>43000</v>
      </c>
      <c r="H2573" s="8">
        <f t="shared" si="40"/>
        <v>43000</v>
      </c>
      <c r="I2573" s="10">
        <v>3</v>
      </c>
    </row>
    <row r="2574" spans="1:9" ht="15.75" thickBot="1" x14ac:dyDescent="0.3">
      <c r="A2574" s="1">
        <v>43466</v>
      </c>
      <c r="B2574" s="8" t="s">
        <v>6</v>
      </c>
      <c r="C2574" t="s">
        <v>7</v>
      </c>
      <c r="D2574" t="s">
        <v>640</v>
      </c>
      <c r="E2574" t="s">
        <v>9</v>
      </c>
      <c r="F2574" s="9">
        <v>41332.36</v>
      </c>
      <c r="G2574" s="4">
        <v>1372</v>
      </c>
      <c r="H2574" s="8">
        <f t="shared" si="40"/>
        <v>1372</v>
      </c>
      <c r="I2574" s="10">
        <v>2</v>
      </c>
    </row>
    <row r="2575" spans="1:9" ht="15.75" thickBot="1" x14ac:dyDescent="0.3">
      <c r="A2575" s="1">
        <v>43466</v>
      </c>
      <c r="B2575" s="8" t="s">
        <v>6</v>
      </c>
      <c r="C2575" t="s">
        <v>7</v>
      </c>
      <c r="D2575" t="s">
        <v>640</v>
      </c>
      <c r="E2575" t="s">
        <v>15</v>
      </c>
      <c r="F2575" s="9">
        <v>1731.84</v>
      </c>
      <c r="G2575" s="4">
        <v>5</v>
      </c>
      <c r="H2575" s="8">
        <f t="shared" si="40"/>
        <v>5</v>
      </c>
      <c r="I2575" s="10">
        <v>5</v>
      </c>
    </row>
    <row r="2576" spans="1:9" ht="15.75" thickBot="1" x14ac:dyDescent="0.3">
      <c r="A2576" s="1">
        <v>43466</v>
      </c>
      <c r="B2576" s="8" t="s">
        <v>6</v>
      </c>
      <c r="C2576" t="s">
        <v>7</v>
      </c>
      <c r="D2576" t="s">
        <v>640</v>
      </c>
      <c r="E2576" t="s">
        <v>10</v>
      </c>
      <c r="F2576" s="9">
        <v>581376.29</v>
      </c>
      <c r="G2576" s="6">
        <v>23923978.463</v>
      </c>
      <c r="H2576" s="8">
        <f t="shared" si="40"/>
        <v>23923.978462999999</v>
      </c>
      <c r="I2576" s="10">
        <v>786</v>
      </c>
    </row>
    <row r="2577" spans="1:9" ht="15.75" thickBot="1" x14ac:dyDescent="0.3">
      <c r="A2577" s="1">
        <v>43800</v>
      </c>
      <c r="B2577" s="8" t="s">
        <v>6</v>
      </c>
      <c r="C2577" t="s">
        <v>7</v>
      </c>
      <c r="D2577" t="s">
        <v>640</v>
      </c>
      <c r="E2577" t="s">
        <v>11</v>
      </c>
      <c r="F2577" s="9">
        <v>56575.61</v>
      </c>
      <c r="G2577" s="7">
        <v>202992.50099999999</v>
      </c>
      <c r="H2577" s="8">
        <f t="shared" si="40"/>
        <v>202992.50099999999</v>
      </c>
      <c r="I2577" s="10">
        <v>27</v>
      </c>
    </row>
    <row r="2578" spans="1:9" ht="15.75" thickBot="1" x14ac:dyDescent="0.3">
      <c r="A2578" s="1">
        <v>43800</v>
      </c>
      <c r="B2578" s="8" t="s">
        <v>6</v>
      </c>
      <c r="C2578" t="s">
        <v>7</v>
      </c>
      <c r="D2578" t="s">
        <v>640</v>
      </c>
      <c r="E2578" t="s">
        <v>13</v>
      </c>
      <c r="F2578" s="9">
        <v>7265.13</v>
      </c>
      <c r="G2578" s="6">
        <v>286176.57</v>
      </c>
      <c r="H2578" s="8">
        <f t="shared" si="40"/>
        <v>286176.57</v>
      </c>
      <c r="I2578" s="10">
        <v>6</v>
      </c>
    </row>
    <row r="2579" spans="1:9" ht="15.75" thickBot="1" x14ac:dyDescent="0.3">
      <c r="A2579" s="1">
        <v>43800</v>
      </c>
      <c r="B2579" s="8" t="s">
        <v>6</v>
      </c>
      <c r="C2579" t="s">
        <v>7</v>
      </c>
      <c r="D2579" t="s">
        <v>641</v>
      </c>
      <c r="E2579" t="s">
        <v>9</v>
      </c>
      <c r="F2579" s="9">
        <v>30392.799999999999</v>
      </c>
      <c r="G2579" s="4">
        <v>956</v>
      </c>
      <c r="H2579" s="8">
        <f t="shared" si="40"/>
        <v>956</v>
      </c>
      <c r="I2579" s="10">
        <v>27</v>
      </c>
    </row>
    <row r="2580" spans="1:9" ht="15.75" thickBot="1" x14ac:dyDescent="0.3">
      <c r="A2580" s="1">
        <v>43800</v>
      </c>
      <c r="B2580" s="8" t="s">
        <v>6</v>
      </c>
      <c r="C2580" t="s">
        <v>7</v>
      </c>
      <c r="D2580" t="s">
        <v>641</v>
      </c>
      <c r="E2580" t="s">
        <v>15</v>
      </c>
      <c r="F2580" s="9">
        <v>17923.689999999999</v>
      </c>
      <c r="G2580" s="4">
        <v>578</v>
      </c>
      <c r="H2580" s="8">
        <f t="shared" si="40"/>
        <v>578</v>
      </c>
      <c r="I2580" s="10">
        <v>11</v>
      </c>
    </row>
    <row r="2581" spans="1:9" ht="15.75" thickBot="1" x14ac:dyDescent="0.3">
      <c r="A2581" s="1">
        <v>43466</v>
      </c>
      <c r="B2581" s="8" t="s">
        <v>6</v>
      </c>
      <c r="C2581" t="s">
        <v>7</v>
      </c>
      <c r="D2581" t="s">
        <v>641</v>
      </c>
      <c r="E2581" t="s">
        <v>10</v>
      </c>
      <c r="F2581" s="9">
        <v>499853.67</v>
      </c>
      <c r="G2581" s="7">
        <v>17471313.184</v>
      </c>
      <c r="H2581" s="8">
        <f t="shared" si="40"/>
        <v>17471.313183999999</v>
      </c>
      <c r="I2581" s="10">
        <v>1545</v>
      </c>
    </row>
    <row r="2582" spans="1:9" ht="15.75" thickBot="1" x14ac:dyDescent="0.3">
      <c r="A2582" s="1">
        <v>43466</v>
      </c>
      <c r="B2582" s="8" t="s">
        <v>6</v>
      </c>
      <c r="C2582" t="s">
        <v>7</v>
      </c>
      <c r="D2582" t="s">
        <v>641</v>
      </c>
      <c r="E2582" t="s">
        <v>17</v>
      </c>
      <c r="F2582" s="9">
        <v>42368.639999999999</v>
      </c>
      <c r="G2582" s="4">
        <v>1286</v>
      </c>
      <c r="H2582" s="8">
        <f t="shared" si="40"/>
        <v>1286</v>
      </c>
      <c r="I2582" s="10">
        <v>6</v>
      </c>
    </row>
    <row r="2583" spans="1:9" ht="15.75" thickBot="1" x14ac:dyDescent="0.3">
      <c r="A2583" s="1">
        <v>43466</v>
      </c>
      <c r="B2583" s="8" t="s">
        <v>6</v>
      </c>
      <c r="C2583" t="s">
        <v>7</v>
      </c>
      <c r="D2583" t="s">
        <v>641</v>
      </c>
      <c r="E2583" t="s">
        <v>11</v>
      </c>
      <c r="F2583" s="9">
        <v>19243.09</v>
      </c>
      <c r="G2583" s="7">
        <v>48510.800999999999</v>
      </c>
      <c r="H2583" s="8">
        <f t="shared" si="40"/>
        <v>48510.800999999999</v>
      </c>
      <c r="I2583" s="10">
        <v>19</v>
      </c>
    </row>
    <row r="2584" spans="1:9" ht="15.75" thickBot="1" x14ac:dyDescent="0.3">
      <c r="A2584" s="1">
        <v>43800</v>
      </c>
      <c r="B2584" s="8" t="s">
        <v>6</v>
      </c>
      <c r="C2584" t="s">
        <v>7</v>
      </c>
      <c r="D2584" t="s">
        <v>641</v>
      </c>
      <c r="E2584" t="s">
        <v>13</v>
      </c>
      <c r="F2584" s="9">
        <v>4155.34</v>
      </c>
      <c r="G2584" s="6">
        <v>144558.9</v>
      </c>
      <c r="H2584" s="8">
        <f t="shared" si="40"/>
        <v>144558.9</v>
      </c>
      <c r="I2584" s="10">
        <v>11</v>
      </c>
    </row>
    <row r="2585" spans="1:9" ht="15.75" thickBot="1" x14ac:dyDescent="0.3">
      <c r="A2585" s="1">
        <v>43800</v>
      </c>
      <c r="B2585" s="8" t="s">
        <v>6</v>
      </c>
      <c r="C2585" t="s">
        <v>7</v>
      </c>
      <c r="D2585" t="s">
        <v>642</v>
      </c>
      <c r="E2585" t="s">
        <v>9</v>
      </c>
      <c r="F2585" s="9">
        <v>1002.92</v>
      </c>
      <c r="G2585" s="4">
        <v>31</v>
      </c>
      <c r="H2585" s="8">
        <f t="shared" si="40"/>
        <v>31</v>
      </c>
      <c r="I2585" s="10">
        <v>1</v>
      </c>
    </row>
    <row r="2586" spans="1:9" ht="15.75" thickBot="1" x14ac:dyDescent="0.3">
      <c r="A2586" s="1">
        <v>43800</v>
      </c>
      <c r="B2586" s="8" t="s">
        <v>6</v>
      </c>
      <c r="C2586" t="s">
        <v>7</v>
      </c>
      <c r="D2586" t="s">
        <v>642</v>
      </c>
      <c r="E2586" t="s">
        <v>15</v>
      </c>
      <c r="F2586" s="9">
        <v>400</v>
      </c>
      <c r="G2586" s="6">
        <v>0</v>
      </c>
      <c r="H2586" s="8">
        <f t="shared" si="40"/>
        <v>0</v>
      </c>
      <c r="I2586" s="10">
        <v>1</v>
      </c>
    </row>
    <row r="2587" spans="1:9" ht="15.75" thickBot="1" x14ac:dyDescent="0.3">
      <c r="A2587" s="1">
        <v>43800</v>
      </c>
      <c r="B2587" s="8" t="s">
        <v>6</v>
      </c>
      <c r="C2587" t="s">
        <v>7</v>
      </c>
      <c r="D2587" t="s">
        <v>642</v>
      </c>
      <c r="E2587" t="s">
        <v>10</v>
      </c>
      <c r="F2587" s="9">
        <v>115920.38</v>
      </c>
      <c r="G2587" s="6">
        <v>3967829.37</v>
      </c>
      <c r="H2587" s="8">
        <f t="shared" si="40"/>
        <v>3967.8293699999999</v>
      </c>
      <c r="I2587" s="10">
        <v>349</v>
      </c>
    </row>
    <row r="2588" spans="1:9" ht="15.75" thickBot="1" x14ac:dyDescent="0.3">
      <c r="A2588" s="1">
        <v>43466</v>
      </c>
      <c r="B2588" s="8" t="s">
        <v>6</v>
      </c>
      <c r="C2588" t="s">
        <v>7</v>
      </c>
      <c r="D2588" t="s">
        <v>642</v>
      </c>
      <c r="E2588" t="s">
        <v>13</v>
      </c>
      <c r="F2588" s="9">
        <v>664.69</v>
      </c>
      <c r="G2588" s="6">
        <v>26000</v>
      </c>
      <c r="H2588" s="8">
        <f t="shared" si="40"/>
        <v>26000</v>
      </c>
      <c r="I2588" s="10">
        <v>3</v>
      </c>
    </row>
    <row r="2589" spans="1:9" ht="15.75" thickBot="1" x14ac:dyDescent="0.3">
      <c r="A2589" s="1">
        <v>43466</v>
      </c>
      <c r="B2589" s="8" t="s">
        <v>6</v>
      </c>
      <c r="C2589" t="s">
        <v>7</v>
      </c>
      <c r="D2589" t="s">
        <v>643</v>
      </c>
      <c r="E2589" t="s">
        <v>10</v>
      </c>
      <c r="F2589" s="9">
        <v>66160.149999999994</v>
      </c>
      <c r="G2589" s="6">
        <v>1788631.5789999999</v>
      </c>
      <c r="H2589" s="8">
        <f t="shared" si="40"/>
        <v>1788.6315789999999</v>
      </c>
      <c r="I2589" s="10">
        <v>117</v>
      </c>
    </row>
    <row r="2590" spans="1:9" ht="15.75" thickBot="1" x14ac:dyDescent="0.3">
      <c r="A2590" s="1">
        <v>43466</v>
      </c>
      <c r="B2590" s="8" t="s">
        <v>6</v>
      </c>
      <c r="C2590" t="s">
        <v>7</v>
      </c>
      <c r="D2590" t="s">
        <v>643</v>
      </c>
      <c r="E2590" t="s">
        <v>11</v>
      </c>
      <c r="F2590" s="9">
        <v>310.64</v>
      </c>
      <c r="G2590" s="4">
        <v>2</v>
      </c>
      <c r="H2590" s="8">
        <f t="shared" si="40"/>
        <v>2</v>
      </c>
      <c r="I2590" s="10">
        <v>2</v>
      </c>
    </row>
    <row r="2591" spans="1:9" ht="15.75" thickBot="1" x14ac:dyDescent="0.3">
      <c r="A2591" s="1">
        <v>43800</v>
      </c>
      <c r="B2591" s="8" t="s">
        <v>6</v>
      </c>
      <c r="C2591" t="s">
        <v>7</v>
      </c>
      <c r="D2591" t="s">
        <v>643</v>
      </c>
      <c r="E2591" t="s">
        <v>13</v>
      </c>
      <c r="F2591" s="9">
        <v>766.84</v>
      </c>
      <c r="G2591" s="6">
        <v>26000</v>
      </c>
      <c r="H2591" s="8">
        <f t="shared" si="40"/>
        <v>26000</v>
      </c>
      <c r="I2591" s="10">
        <v>1</v>
      </c>
    </row>
    <row r="2592" spans="1:9" ht="15.75" thickBot="1" x14ac:dyDescent="0.3">
      <c r="A2592" s="1">
        <v>43800</v>
      </c>
      <c r="B2592" s="8" t="s">
        <v>6</v>
      </c>
      <c r="C2592" t="s">
        <v>7</v>
      </c>
      <c r="D2592" t="s">
        <v>644</v>
      </c>
      <c r="E2592" t="s">
        <v>9</v>
      </c>
      <c r="F2592" s="9">
        <v>18860.560000000001</v>
      </c>
      <c r="G2592" s="4">
        <v>658</v>
      </c>
      <c r="H2592" s="8">
        <f t="shared" si="40"/>
        <v>658</v>
      </c>
      <c r="I2592" s="10">
        <v>14</v>
      </c>
    </row>
    <row r="2593" spans="1:9" ht="15.75" thickBot="1" x14ac:dyDescent="0.3">
      <c r="A2593" s="1">
        <v>43800</v>
      </c>
      <c r="B2593" s="8" t="s">
        <v>6</v>
      </c>
      <c r="C2593" t="s">
        <v>7</v>
      </c>
      <c r="D2593" t="s">
        <v>644</v>
      </c>
      <c r="E2593" t="s">
        <v>15</v>
      </c>
      <c r="F2593" s="9">
        <v>1092.46</v>
      </c>
      <c r="G2593" s="4">
        <v>5</v>
      </c>
      <c r="H2593" s="8">
        <f t="shared" si="40"/>
        <v>5</v>
      </c>
      <c r="I2593" s="10">
        <v>5</v>
      </c>
    </row>
    <row r="2594" spans="1:9" ht="15.75" thickBot="1" x14ac:dyDescent="0.3">
      <c r="A2594" s="1">
        <v>43800</v>
      </c>
      <c r="B2594" s="8" t="s">
        <v>6</v>
      </c>
      <c r="C2594" t="s">
        <v>7</v>
      </c>
      <c r="D2594" t="s">
        <v>644</v>
      </c>
      <c r="E2594" t="s">
        <v>10</v>
      </c>
      <c r="F2594" s="9">
        <v>66886.12</v>
      </c>
      <c r="G2594" s="6">
        <v>2773036.8050000002</v>
      </c>
      <c r="H2594" s="8">
        <f t="shared" si="40"/>
        <v>2773.0368050000002</v>
      </c>
      <c r="I2594" s="10">
        <v>126</v>
      </c>
    </row>
    <row r="2595" spans="1:9" ht="15.75" thickBot="1" x14ac:dyDescent="0.3">
      <c r="A2595" s="1">
        <v>43466</v>
      </c>
      <c r="B2595" s="8" t="s">
        <v>6</v>
      </c>
      <c r="C2595" t="s">
        <v>7</v>
      </c>
      <c r="D2595" t="s">
        <v>644</v>
      </c>
      <c r="E2595" t="s">
        <v>17</v>
      </c>
      <c r="F2595" s="9">
        <v>2131.1999999999998</v>
      </c>
      <c r="G2595" s="4">
        <v>60</v>
      </c>
      <c r="H2595" s="8">
        <f t="shared" si="40"/>
        <v>60</v>
      </c>
      <c r="I2595" s="10">
        <v>7</v>
      </c>
    </row>
    <row r="2596" spans="1:9" ht="15.75" thickBot="1" x14ac:dyDescent="0.3">
      <c r="A2596" s="1">
        <v>43466</v>
      </c>
      <c r="B2596" s="8" t="s">
        <v>6</v>
      </c>
      <c r="C2596" t="s">
        <v>7</v>
      </c>
      <c r="D2596" t="s">
        <v>644</v>
      </c>
      <c r="E2596" t="s">
        <v>11</v>
      </c>
      <c r="F2596" s="9">
        <v>2378.39</v>
      </c>
      <c r="G2596" s="4">
        <v>74</v>
      </c>
      <c r="H2596" s="8">
        <f t="shared" si="40"/>
        <v>74</v>
      </c>
      <c r="I2596" s="10">
        <v>5</v>
      </c>
    </row>
    <row r="2597" spans="1:9" ht="15.75" thickBot="1" x14ac:dyDescent="0.3">
      <c r="A2597" s="1">
        <v>43466</v>
      </c>
      <c r="B2597" s="8" t="s">
        <v>6</v>
      </c>
      <c r="C2597" t="s">
        <v>7</v>
      </c>
      <c r="D2597" t="s">
        <v>645</v>
      </c>
      <c r="E2597" t="s">
        <v>10</v>
      </c>
      <c r="F2597" s="9">
        <v>4923.5600000000004</v>
      </c>
      <c r="G2597" s="6">
        <v>55124.999000000003</v>
      </c>
      <c r="H2597" s="8">
        <f t="shared" si="40"/>
        <v>55.124999000000003</v>
      </c>
      <c r="I2597" s="10">
        <v>1</v>
      </c>
    </row>
    <row r="2598" spans="1:9" ht="15.75" thickBot="1" x14ac:dyDescent="0.3">
      <c r="A2598" s="1">
        <v>43800</v>
      </c>
      <c r="B2598" s="8" t="s">
        <v>6</v>
      </c>
      <c r="C2598" t="s">
        <v>7</v>
      </c>
      <c r="D2598" t="s">
        <v>646</v>
      </c>
      <c r="E2598" t="s">
        <v>15</v>
      </c>
      <c r="F2598" s="9">
        <v>3832.67</v>
      </c>
      <c r="G2598" s="4">
        <v>115</v>
      </c>
      <c r="H2598" s="8">
        <f t="shared" si="40"/>
        <v>115</v>
      </c>
      <c r="I2598" s="10">
        <v>5</v>
      </c>
    </row>
    <row r="2599" spans="1:9" ht="15.75" thickBot="1" x14ac:dyDescent="0.3">
      <c r="A2599" s="1">
        <v>43800</v>
      </c>
      <c r="B2599" s="8" t="s">
        <v>6</v>
      </c>
      <c r="C2599" t="s">
        <v>7</v>
      </c>
      <c r="D2599" t="s">
        <v>646</v>
      </c>
      <c r="E2599" t="s">
        <v>10</v>
      </c>
      <c r="F2599" s="9">
        <v>115911.37</v>
      </c>
      <c r="G2599" s="6">
        <v>4618355.5549999997</v>
      </c>
      <c r="H2599" s="8">
        <f t="shared" si="40"/>
        <v>4618.3555550000001</v>
      </c>
      <c r="I2599" s="10">
        <v>375</v>
      </c>
    </row>
    <row r="2600" spans="1:9" ht="15.75" thickBot="1" x14ac:dyDescent="0.3">
      <c r="A2600" s="1">
        <v>43800</v>
      </c>
      <c r="B2600" s="8" t="s">
        <v>6</v>
      </c>
      <c r="C2600" t="s">
        <v>7</v>
      </c>
      <c r="D2600" t="s">
        <v>646</v>
      </c>
      <c r="E2600" t="s">
        <v>11</v>
      </c>
      <c r="F2600" s="9">
        <v>26520.71</v>
      </c>
      <c r="G2600" s="4">
        <v>550</v>
      </c>
      <c r="H2600" s="8">
        <f t="shared" si="40"/>
        <v>550</v>
      </c>
      <c r="I2600" s="10">
        <v>4</v>
      </c>
    </row>
    <row r="2601" spans="1:9" ht="15.75" thickBot="1" x14ac:dyDescent="0.3">
      <c r="A2601" s="1">
        <v>43800</v>
      </c>
      <c r="B2601" s="8" t="s">
        <v>6</v>
      </c>
      <c r="C2601" t="s">
        <v>7</v>
      </c>
      <c r="D2601" t="s">
        <v>646</v>
      </c>
      <c r="E2601" t="s">
        <v>13</v>
      </c>
      <c r="F2601" s="9">
        <v>6934.45</v>
      </c>
      <c r="G2601" s="6">
        <v>253000</v>
      </c>
      <c r="H2601" s="8">
        <f t="shared" si="40"/>
        <v>253000</v>
      </c>
      <c r="I2601" s="10">
        <v>3</v>
      </c>
    </row>
    <row r="2602" spans="1:9" ht="15.75" thickBot="1" x14ac:dyDescent="0.3">
      <c r="A2602" s="1">
        <v>43466</v>
      </c>
      <c r="B2602" s="8" t="s">
        <v>6</v>
      </c>
      <c r="C2602" t="s">
        <v>7</v>
      </c>
      <c r="D2602" t="s">
        <v>647</v>
      </c>
      <c r="E2602" t="s">
        <v>9</v>
      </c>
      <c r="F2602" s="9">
        <v>10385.200000000001</v>
      </c>
      <c r="G2602" s="7">
        <v>118116</v>
      </c>
      <c r="H2602" s="8">
        <f t="shared" si="40"/>
        <v>118116</v>
      </c>
      <c r="I2602" s="10">
        <v>3</v>
      </c>
    </row>
    <row r="2603" spans="1:9" ht="15.75" thickBot="1" x14ac:dyDescent="0.3">
      <c r="A2603" s="1">
        <v>43466</v>
      </c>
      <c r="B2603" s="8" t="s">
        <v>6</v>
      </c>
      <c r="C2603" t="s">
        <v>7</v>
      </c>
      <c r="D2603" t="s">
        <v>647</v>
      </c>
      <c r="E2603" t="s">
        <v>15</v>
      </c>
      <c r="F2603" s="9">
        <v>283.32</v>
      </c>
      <c r="G2603" s="4">
        <v>1</v>
      </c>
      <c r="H2603" s="8">
        <f t="shared" si="40"/>
        <v>1</v>
      </c>
      <c r="I2603" s="10">
        <v>2</v>
      </c>
    </row>
    <row r="2604" spans="1:9" ht="15.75" thickBot="1" x14ac:dyDescent="0.3">
      <c r="A2604" s="1">
        <v>43466</v>
      </c>
      <c r="B2604" s="8" t="s">
        <v>6</v>
      </c>
      <c r="C2604" t="s">
        <v>7</v>
      </c>
      <c r="D2604" t="s">
        <v>647</v>
      </c>
      <c r="E2604" t="s">
        <v>10</v>
      </c>
      <c r="F2604" s="9">
        <v>93440.95</v>
      </c>
      <c r="G2604" s="6">
        <v>2771296.3190000001</v>
      </c>
      <c r="H2604" s="8">
        <f t="shared" si="40"/>
        <v>2771.296319</v>
      </c>
      <c r="I2604" s="10">
        <v>223</v>
      </c>
    </row>
    <row r="2605" spans="1:9" ht="15.75" thickBot="1" x14ac:dyDescent="0.3">
      <c r="A2605" s="1">
        <v>43800</v>
      </c>
      <c r="B2605" s="8" t="s">
        <v>6</v>
      </c>
      <c r="C2605" t="s">
        <v>7</v>
      </c>
      <c r="D2605" t="s">
        <v>647</v>
      </c>
      <c r="E2605" t="s">
        <v>11</v>
      </c>
      <c r="F2605" s="9">
        <v>4157.04</v>
      </c>
      <c r="G2605" s="7">
        <v>15109.636</v>
      </c>
      <c r="H2605" s="8">
        <f t="shared" si="40"/>
        <v>15109.636</v>
      </c>
      <c r="I2605" s="10">
        <v>9</v>
      </c>
    </row>
    <row r="2606" spans="1:9" ht="15.75" thickBot="1" x14ac:dyDescent="0.3">
      <c r="A2606" s="1">
        <v>43800</v>
      </c>
      <c r="B2606" s="8" t="s">
        <v>6</v>
      </c>
      <c r="C2606" t="s">
        <v>7</v>
      </c>
      <c r="D2606" t="s">
        <v>648</v>
      </c>
      <c r="E2606" t="s">
        <v>9</v>
      </c>
      <c r="F2606" s="9">
        <v>9783.2800000000007</v>
      </c>
      <c r="G2606" s="4">
        <v>354</v>
      </c>
      <c r="H2606" s="8">
        <f t="shared" si="40"/>
        <v>354</v>
      </c>
      <c r="I2606" s="10">
        <v>2</v>
      </c>
    </row>
    <row r="2607" spans="1:9" ht="15.75" thickBot="1" x14ac:dyDescent="0.3">
      <c r="A2607" s="1">
        <v>43800</v>
      </c>
      <c r="B2607" s="8" t="s">
        <v>6</v>
      </c>
      <c r="C2607" t="s">
        <v>7</v>
      </c>
      <c r="D2607" t="s">
        <v>648</v>
      </c>
      <c r="E2607" t="s">
        <v>15</v>
      </c>
      <c r="F2607" s="9">
        <v>612</v>
      </c>
      <c r="G2607" s="4">
        <v>0</v>
      </c>
      <c r="H2607" s="8">
        <f t="shared" si="40"/>
        <v>0</v>
      </c>
      <c r="I2607" s="10">
        <v>3</v>
      </c>
    </row>
    <row r="2608" spans="1:9" ht="15.75" thickBot="1" x14ac:dyDescent="0.3">
      <c r="A2608" s="1">
        <v>43800</v>
      </c>
      <c r="B2608" s="8" t="s">
        <v>6</v>
      </c>
      <c r="C2608" t="s">
        <v>7</v>
      </c>
      <c r="D2608" t="s">
        <v>648</v>
      </c>
      <c r="E2608" t="s">
        <v>10</v>
      </c>
      <c r="F2608" s="9">
        <v>59839.35</v>
      </c>
      <c r="G2608" s="6">
        <v>2493363.9580000001</v>
      </c>
      <c r="H2608" s="8">
        <f t="shared" si="40"/>
        <v>2493.3639579999999</v>
      </c>
      <c r="I2608" s="10">
        <v>112</v>
      </c>
    </row>
    <row r="2609" spans="1:9" ht="15.75" thickBot="1" x14ac:dyDescent="0.3">
      <c r="A2609" s="1">
        <v>43466</v>
      </c>
      <c r="B2609" s="8" t="s">
        <v>6</v>
      </c>
      <c r="C2609" t="s">
        <v>7</v>
      </c>
      <c r="D2609" t="s">
        <v>648</v>
      </c>
      <c r="E2609" t="s">
        <v>17</v>
      </c>
      <c r="F2609" s="9">
        <v>10549.72</v>
      </c>
      <c r="G2609" s="4">
        <v>221</v>
      </c>
      <c r="H2609" s="8">
        <f t="shared" si="40"/>
        <v>221</v>
      </c>
      <c r="I2609" s="10">
        <v>2</v>
      </c>
    </row>
    <row r="2610" spans="1:9" ht="15.75" thickBot="1" x14ac:dyDescent="0.3">
      <c r="A2610" s="1">
        <v>43466</v>
      </c>
      <c r="B2610" s="8" t="s">
        <v>6</v>
      </c>
      <c r="C2610" t="s">
        <v>7</v>
      </c>
      <c r="D2610" t="s">
        <v>648</v>
      </c>
      <c r="E2610" t="s">
        <v>11</v>
      </c>
      <c r="F2610" s="9">
        <v>745.28</v>
      </c>
      <c r="G2610" s="4">
        <v>8</v>
      </c>
      <c r="H2610" s="8">
        <f t="shared" si="40"/>
        <v>8</v>
      </c>
      <c r="I2610" s="10">
        <v>3</v>
      </c>
    </row>
    <row r="2611" spans="1:9" ht="15.75" thickBot="1" x14ac:dyDescent="0.3">
      <c r="A2611" s="1">
        <v>43466</v>
      </c>
      <c r="B2611" s="8" t="s">
        <v>6</v>
      </c>
      <c r="C2611" t="s">
        <v>7</v>
      </c>
      <c r="D2611" t="s">
        <v>648</v>
      </c>
      <c r="E2611" t="s">
        <v>13</v>
      </c>
      <c r="F2611" s="9">
        <v>602.36</v>
      </c>
      <c r="G2611" s="6">
        <v>22000</v>
      </c>
      <c r="H2611" s="8">
        <f t="shared" si="40"/>
        <v>22000</v>
      </c>
      <c r="I2611" s="10">
        <v>1</v>
      </c>
    </row>
    <row r="2612" spans="1:9" ht="15.75" thickBot="1" x14ac:dyDescent="0.3">
      <c r="A2612" s="1">
        <v>43800</v>
      </c>
      <c r="B2612" s="8" t="s">
        <v>6</v>
      </c>
      <c r="C2612" t="s">
        <v>7</v>
      </c>
      <c r="D2612" t="s">
        <v>649</v>
      </c>
      <c r="E2612" t="s">
        <v>9</v>
      </c>
      <c r="F2612" s="9">
        <v>40248.379999999997</v>
      </c>
      <c r="G2612" s="4">
        <v>1286</v>
      </c>
      <c r="H2612" s="8">
        <f t="shared" si="40"/>
        <v>1286</v>
      </c>
      <c r="I2612" s="10">
        <v>23</v>
      </c>
    </row>
    <row r="2613" spans="1:9" ht="15.75" thickBot="1" x14ac:dyDescent="0.3">
      <c r="A2613" s="1">
        <v>43800</v>
      </c>
      <c r="B2613" s="8" t="s">
        <v>6</v>
      </c>
      <c r="C2613" t="s">
        <v>7</v>
      </c>
      <c r="D2613" t="s">
        <v>649</v>
      </c>
      <c r="E2613" t="s">
        <v>15</v>
      </c>
      <c r="F2613" s="9">
        <v>43898.92</v>
      </c>
      <c r="G2613" s="7">
        <v>37624.731</v>
      </c>
      <c r="H2613" s="8">
        <f t="shared" si="40"/>
        <v>37624.731</v>
      </c>
      <c r="I2613" s="10">
        <v>41</v>
      </c>
    </row>
    <row r="2614" spans="1:9" ht="15.75" thickBot="1" x14ac:dyDescent="0.3">
      <c r="A2614" s="1">
        <v>43800</v>
      </c>
      <c r="B2614" s="8" t="s">
        <v>6</v>
      </c>
      <c r="C2614" t="s">
        <v>7</v>
      </c>
      <c r="D2614" t="s">
        <v>649</v>
      </c>
      <c r="E2614" t="s">
        <v>10</v>
      </c>
      <c r="F2614" s="9">
        <v>700725.12</v>
      </c>
      <c r="G2614" s="7">
        <v>43736598.954999998</v>
      </c>
      <c r="H2614" s="8">
        <f t="shared" si="40"/>
        <v>43736.598955000001</v>
      </c>
      <c r="I2614" s="10">
        <v>3930</v>
      </c>
    </row>
    <row r="2615" spans="1:9" ht="15.75" thickBot="1" x14ac:dyDescent="0.3">
      <c r="A2615" s="1">
        <v>43800</v>
      </c>
      <c r="B2615" s="8" t="s">
        <v>6</v>
      </c>
      <c r="C2615" t="s">
        <v>7</v>
      </c>
      <c r="D2615" t="s">
        <v>649</v>
      </c>
      <c r="E2615" t="s">
        <v>17</v>
      </c>
      <c r="F2615" s="9">
        <v>298.2</v>
      </c>
      <c r="G2615" s="4">
        <v>7</v>
      </c>
      <c r="H2615" s="8">
        <f t="shared" si="40"/>
        <v>7</v>
      </c>
      <c r="I2615" s="10">
        <v>1</v>
      </c>
    </row>
    <row r="2616" spans="1:9" ht="15.75" thickBot="1" x14ac:dyDescent="0.3">
      <c r="A2616" s="1">
        <v>43466</v>
      </c>
      <c r="B2616" s="8" t="s">
        <v>6</v>
      </c>
      <c r="C2616" t="s">
        <v>7</v>
      </c>
      <c r="D2616" t="s">
        <v>649</v>
      </c>
      <c r="E2616" t="s">
        <v>11</v>
      </c>
      <c r="F2616" s="9">
        <v>47885.87</v>
      </c>
      <c r="G2616" s="7">
        <v>19776.315999999999</v>
      </c>
      <c r="H2616" s="8">
        <f t="shared" si="40"/>
        <v>19776.315999999999</v>
      </c>
      <c r="I2616" s="10">
        <v>44</v>
      </c>
    </row>
    <row r="2617" spans="1:9" ht="15.75" thickBot="1" x14ac:dyDescent="0.3">
      <c r="A2617" s="1">
        <v>43466</v>
      </c>
      <c r="B2617" s="8" t="s">
        <v>6</v>
      </c>
      <c r="C2617" t="s">
        <v>7</v>
      </c>
      <c r="D2617" t="s">
        <v>649</v>
      </c>
      <c r="E2617" t="s">
        <v>13</v>
      </c>
      <c r="F2617" s="9">
        <v>4417.22</v>
      </c>
      <c r="G2617" s="7">
        <v>229521.90900000001</v>
      </c>
      <c r="H2617" s="8">
        <f t="shared" si="40"/>
        <v>229521.90900000001</v>
      </c>
      <c r="I2617" s="10">
        <v>23</v>
      </c>
    </row>
    <row r="2618" spans="1:9" ht="15.75" thickBot="1" x14ac:dyDescent="0.3">
      <c r="A2618" s="1">
        <v>43466</v>
      </c>
      <c r="B2618" s="8" t="s">
        <v>6</v>
      </c>
      <c r="C2618" t="s">
        <v>7</v>
      </c>
      <c r="D2618" t="s">
        <v>650</v>
      </c>
      <c r="E2618" t="s">
        <v>9</v>
      </c>
      <c r="F2618" s="9">
        <v>2422.1999999999998</v>
      </c>
      <c r="G2618" s="4">
        <v>85</v>
      </c>
      <c r="H2618" s="8">
        <f t="shared" si="40"/>
        <v>85</v>
      </c>
      <c r="I2618" s="10">
        <v>1</v>
      </c>
    </row>
    <row r="2619" spans="1:9" ht="15.75" thickBot="1" x14ac:dyDescent="0.3">
      <c r="A2619" s="1">
        <v>43800</v>
      </c>
      <c r="B2619" s="8" t="s">
        <v>6</v>
      </c>
      <c r="C2619" t="s">
        <v>7</v>
      </c>
      <c r="D2619" t="s">
        <v>650</v>
      </c>
      <c r="E2619" t="s">
        <v>10</v>
      </c>
      <c r="F2619" s="9">
        <v>24160.19</v>
      </c>
      <c r="G2619" s="6">
        <v>630800</v>
      </c>
      <c r="H2619" s="8">
        <f t="shared" si="40"/>
        <v>630.79999999999995</v>
      </c>
      <c r="I2619" s="10">
        <v>51</v>
      </c>
    </row>
    <row r="2620" spans="1:9" ht="15.75" thickBot="1" x14ac:dyDescent="0.3">
      <c r="A2620" s="1">
        <v>43800</v>
      </c>
      <c r="B2620" s="8" t="s">
        <v>6</v>
      </c>
      <c r="C2620" t="s">
        <v>7</v>
      </c>
      <c r="D2620" t="s">
        <v>650</v>
      </c>
      <c r="E2620" t="s">
        <v>13</v>
      </c>
      <c r="F2620" s="9">
        <v>3337.13</v>
      </c>
      <c r="G2620" s="6">
        <v>107000</v>
      </c>
      <c r="H2620" s="8">
        <f t="shared" si="40"/>
        <v>107000</v>
      </c>
      <c r="I2620" s="10">
        <v>2</v>
      </c>
    </row>
    <row r="2621" spans="1:9" ht="15.75" thickBot="1" x14ac:dyDescent="0.3">
      <c r="A2621" s="1">
        <v>43800</v>
      </c>
      <c r="B2621" s="8" t="s">
        <v>6</v>
      </c>
      <c r="C2621" t="s">
        <v>7</v>
      </c>
      <c r="D2621" t="s">
        <v>651</v>
      </c>
      <c r="E2621" t="s">
        <v>9</v>
      </c>
      <c r="F2621" s="9">
        <v>14400.1</v>
      </c>
      <c r="G2621" s="4">
        <v>427</v>
      </c>
      <c r="H2621" s="8">
        <f t="shared" si="40"/>
        <v>427</v>
      </c>
      <c r="I2621" s="10">
        <v>8</v>
      </c>
    </row>
    <row r="2622" spans="1:9" ht="15.75" thickBot="1" x14ac:dyDescent="0.3">
      <c r="A2622" s="1">
        <v>43800</v>
      </c>
      <c r="B2622" s="8" t="s">
        <v>6</v>
      </c>
      <c r="C2622" t="s">
        <v>7</v>
      </c>
      <c r="D2622" t="s">
        <v>651</v>
      </c>
      <c r="E2622" t="s">
        <v>15</v>
      </c>
      <c r="F2622" s="9">
        <v>13055.91</v>
      </c>
      <c r="G2622" s="4">
        <v>12</v>
      </c>
      <c r="H2622" s="8">
        <f t="shared" si="40"/>
        <v>12</v>
      </c>
      <c r="I2622" s="10">
        <v>13</v>
      </c>
    </row>
    <row r="2623" spans="1:9" ht="15.75" thickBot="1" x14ac:dyDescent="0.3">
      <c r="A2623" s="1">
        <v>43466</v>
      </c>
      <c r="B2623" s="8" t="s">
        <v>6</v>
      </c>
      <c r="C2623" t="s">
        <v>7</v>
      </c>
      <c r="D2623" t="s">
        <v>651</v>
      </c>
      <c r="E2623" t="s">
        <v>10</v>
      </c>
      <c r="F2623" s="9">
        <v>262295.89</v>
      </c>
      <c r="G2623" s="6">
        <v>9357830.6899999995</v>
      </c>
      <c r="H2623" s="8">
        <f t="shared" si="40"/>
        <v>9357.8306899999989</v>
      </c>
      <c r="I2623" s="10">
        <v>731</v>
      </c>
    </row>
    <row r="2624" spans="1:9" ht="15.75" thickBot="1" x14ac:dyDescent="0.3">
      <c r="A2624" s="1">
        <v>43466</v>
      </c>
      <c r="B2624" s="8" t="s">
        <v>6</v>
      </c>
      <c r="C2624" t="s">
        <v>7</v>
      </c>
      <c r="D2624" t="s">
        <v>651</v>
      </c>
      <c r="E2624" t="s">
        <v>11</v>
      </c>
      <c r="F2624" s="9">
        <v>244.71</v>
      </c>
      <c r="G2624" s="5">
        <v>0</v>
      </c>
      <c r="H2624" s="8">
        <f t="shared" si="40"/>
        <v>0</v>
      </c>
      <c r="I2624" s="10">
        <v>3</v>
      </c>
    </row>
    <row r="2625" spans="1:9" ht="15.75" thickBot="1" x14ac:dyDescent="0.3">
      <c r="A2625" s="1">
        <v>43466</v>
      </c>
      <c r="B2625" s="8" t="s">
        <v>6</v>
      </c>
      <c r="C2625" t="s">
        <v>7</v>
      </c>
      <c r="D2625" t="s">
        <v>651</v>
      </c>
      <c r="E2625" t="s">
        <v>13</v>
      </c>
      <c r="F2625" s="9">
        <v>1983.53</v>
      </c>
      <c r="G2625" s="6">
        <v>69000</v>
      </c>
      <c r="H2625" s="8">
        <f t="shared" si="40"/>
        <v>69000</v>
      </c>
      <c r="I2625" s="10">
        <v>4</v>
      </c>
    </row>
    <row r="2626" spans="1:9" ht="15.75" thickBot="1" x14ac:dyDescent="0.3">
      <c r="A2626" s="1">
        <v>43800</v>
      </c>
      <c r="B2626" s="8" t="s">
        <v>6</v>
      </c>
      <c r="C2626" t="s">
        <v>7</v>
      </c>
      <c r="D2626" t="s">
        <v>652</v>
      </c>
      <c r="E2626" t="s">
        <v>9</v>
      </c>
      <c r="F2626" s="9">
        <v>6385.6</v>
      </c>
      <c r="G2626" s="4">
        <v>80</v>
      </c>
      <c r="H2626" s="8">
        <f t="shared" ref="H2626:H2689" si="41">IF(ISNUMBER(SEARCH("Domestic customer", E2626)),G2626/1000,G2626)</f>
        <v>80</v>
      </c>
      <c r="I2626" s="10">
        <v>3</v>
      </c>
    </row>
    <row r="2627" spans="1:9" ht="15.75" thickBot="1" x14ac:dyDescent="0.3">
      <c r="A2627" s="1">
        <v>43800</v>
      </c>
      <c r="B2627" s="8" t="s">
        <v>6</v>
      </c>
      <c r="C2627" t="s">
        <v>7</v>
      </c>
      <c r="D2627" t="s">
        <v>652</v>
      </c>
      <c r="E2627" t="s">
        <v>10</v>
      </c>
      <c r="F2627" s="9">
        <v>6130.16</v>
      </c>
      <c r="G2627" s="6">
        <v>171299.99900000001</v>
      </c>
      <c r="H2627" s="8">
        <f t="shared" si="41"/>
        <v>171.29999900000001</v>
      </c>
      <c r="I2627" s="10">
        <v>20</v>
      </c>
    </row>
    <row r="2628" spans="1:9" ht="15.75" thickBot="1" x14ac:dyDescent="0.3">
      <c r="A2628" s="1">
        <v>43800</v>
      </c>
      <c r="B2628" s="8" t="s">
        <v>6</v>
      </c>
      <c r="C2628" t="s">
        <v>7</v>
      </c>
      <c r="D2628" t="s">
        <v>652</v>
      </c>
      <c r="E2628" t="s">
        <v>17</v>
      </c>
      <c r="F2628" s="9">
        <v>2929.01</v>
      </c>
      <c r="G2628" s="4">
        <v>42</v>
      </c>
      <c r="H2628" s="8">
        <f t="shared" si="41"/>
        <v>42</v>
      </c>
      <c r="I2628" s="10">
        <v>3</v>
      </c>
    </row>
    <row r="2629" spans="1:9" ht="15.75" thickBot="1" x14ac:dyDescent="0.3">
      <c r="A2629" s="1">
        <v>43800</v>
      </c>
      <c r="B2629" s="8" t="s">
        <v>6</v>
      </c>
      <c r="C2629" t="s">
        <v>7</v>
      </c>
      <c r="D2629" t="s">
        <v>652</v>
      </c>
      <c r="E2629" t="s">
        <v>11</v>
      </c>
      <c r="F2629" s="9">
        <v>18506.669999999998</v>
      </c>
      <c r="G2629" s="4">
        <v>549</v>
      </c>
      <c r="H2629" s="8">
        <f t="shared" si="41"/>
        <v>549</v>
      </c>
      <c r="I2629" s="10">
        <v>15</v>
      </c>
    </row>
    <row r="2630" spans="1:9" ht="15.75" thickBot="1" x14ac:dyDescent="0.3">
      <c r="A2630" s="1">
        <v>43466</v>
      </c>
      <c r="B2630" s="8" t="s">
        <v>6</v>
      </c>
      <c r="C2630" t="s">
        <v>7</v>
      </c>
      <c r="D2630" t="s">
        <v>653</v>
      </c>
      <c r="E2630" t="s">
        <v>11</v>
      </c>
      <c r="F2630" s="9">
        <v>6999.54</v>
      </c>
      <c r="G2630" s="7">
        <v>15356.13</v>
      </c>
      <c r="H2630" s="8">
        <f t="shared" si="41"/>
        <v>15356.13</v>
      </c>
      <c r="I2630" s="10">
        <v>3</v>
      </c>
    </row>
    <row r="2631" spans="1:9" ht="15.75" thickBot="1" x14ac:dyDescent="0.3">
      <c r="A2631" s="1">
        <v>43466</v>
      </c>
      <c r="B2631" s="8" t="s">
        <v>6</v>
      </c>
      <c r="C2631" t="s">
        <v>7</v>
      </c>
      <c r="D2631" t="s">
        <v>654</v>
      </c>
      <c r="E2631" t="s">
        <v>10</v>
      </c>
      <c r="F2631" s="9">
        <v>21813.02</v>
      </c>
      <c r="G2631" s="6">
        <v>921000</v>
      </c>
      <c r="H2631" s="8">
        <f t="shared" si="41"/>
        <v>921</v>
      </c>
      <c r="I2631" s="10">
        <v>4</v>
      </c>
    </row>
    <row r="2632" spans="1:9" ht="15.75" thickBot="1" x14ac:dyDescent="0.3">
      <c r="A2632" s="1">
        <v>43466</v>
      </c>
      <c r="B2632" s="8" t="s">
        <v>6</v>
      </c>
      <c r="C2632" t="s">
        <v>7</v>
      </c>
      <c r="D2632" t="s">
        <v>654</v>
      </c>
      <c r="E2632" t="s">
        <v>11</v>
      </c>
      <c r="F2632" s="9">
        <v>10067.290000000001</v>
      </c>
      <c r="G2632" s="7">
        <v>25263.385999999999</v>
      </c>
      <c r="H2632" s="8">
        <f t="shared" si="41"/>
        <v>25263.385999999999</v>
      </c>
      <c r="I2632" s="10">
        <v>29</v>
      </c>
    </row>
    <row r="2633" spans="1:9" ht="15.75" thickBot="1" x14ac:dyDescent="0.3">
      <c r="A2633" s="1">
        <v>43800</v>
      </c>
      <c r="B2633" s="8" t="s">
        <v>6</v>
      </c>
      <c r="C2633" t="s">
        <v>7</v>
      </c>
      <c r="D2633" t="s">
        <v>655</v>
      </c>
      <c r="E2633" t="s">
        <v>9</v>
      </c>
      <c r="F2633" s="9">
        <v>7093.92</v>
      </c>
      <c r="G2633" s="4">
        <v>256</v>
      </c>
      <c r="H2633" s="8">
        <f t="shared" si="41"/>
        <v>256</v>
      </c>
      <c r="I2633" s="10">
        <v>2</v>
      </c>
    </row>
    <row r="2634" spans="1:9" ht="15.75" thickBot="1" x14ac:dyDescent="0.3">
      <c r="A2634" s="1">
        <v>43800</v>
      </c>
      <c r="B2634" s="8" t="s">
        <v>6</v>
      </c>
      <c r="C2634" t="s">
        <v>7</v>
      </c>
      <c r="D2634" t="s">
        <v>655</v>
      </c>
      <c r="E2634" t="s">
        <v>10</v>
      </c>
      <c r="F2634" s="9">
        <v>1250</v>
      </c>
      <c r="G2634" s="6">
        <v>0</v>
      </c>
      <c r="H2634" s="8">
        <f t="shared" si="41"/>
        <v>0</v>
      </c>
      <c r="I2634" s="10">
        <v>1</v>
      </c>
    </row>
    <row r="2635" spans="1:9" ht="15.75" thickBot="1" x14ac:dyDescent="0.3">
      <c r="A2635" s="1">
        <v>43800</v>
      </c>
      <c r="B2635" s="8" t="s">
        <v>6</v>
      </c>
      <c r="C2635" t="s">
        <v>7</v>
      </c>
      <c r="D2635" t="s">
        <v>655</v>
      </c>
      <c r="E2635" t="s">
        <v>11</v>
      </c>
      <c r="F2635" s="9">
        <v>3232.09</v>
      </c>
      <c r="G2635" s="4">
        <v>4</v>
      </c>
      <c r="H2635" s="8">
        <f t="shared" si="41"/>
        <v>4</v>
      </c>
      <c r="I2635" s="10">
        <v>3</v>
      </c>
    </row>
    <row r="2636" spans="1:9" ht="15.75" thickBot="1" x14ac:dyDescent="0.3">
      <c r="A2636" s="1">
        <v>43800</v>
      </c>
      <c r="B2636" s="8" t="s">
        <v>6</v>
      </c>
      <c r="C2636" t="s">
        <v>7</v>
      </c>
      <c r="D2636" t="s">
        <v>656</v>
      </c>
      <c r="E2636" t="s">
        <v>9</v>
      </c>
      <c r="F2636" s="9">
        <v>1822.52</v>
      </c>
      <c r="G2636" s="4">
        <v>61</v>
      </c>
      <c r="H2636" s="8">
        <f t="shared" si="41"/>
        <v>61</v>
      </c>
      <c r="I2636" s="10">
        <v>1</v>
      </c>
    </row>
    <row r="2637" spans="1:9" ht="15.75" thickBot="1" x14ac:dyDescent="0.3">
      <c r="A2637" s="1">
        <v>43466</v>
      </c>
      <c r="B2637" s="8" t="s">
        <v>6</v>
      </c>
      <c r="C2637" t="s">
        <v>7</v>
      </c>
      <c r="D2637" t="s">
        <v>656</v>
      </c>
      <c r="E2637" t="s">
        <v>10</v>
      </c>
      <c r="F2637" s="9">
        <v>93483.28</v>
      </c>
      <c r="G2637" s="7">
        <v>3069131.3470000001</v>
      </c>
      <c r="H2637" s="8">
        <f t="shared" si="41"/>
        <v>3069.131347</v>
      </c>
      <c r="I2637" s="10">
        <v>355</v>
      </c>
    </row>
    <row r="2638" spans="1:9" ht="15.75" thickBot="1" x14ac:dyDescent="0.3">
      <c r="A2638" s="1">
        <v>43466</v>
      </c>
      <c r="B2638" s="8" t="s">
        <v>6</v>
      </c>
      <c r="C2638" t="s">
        <v>7</v>
      </c>
      <c r="D2638" t="s">
        <v>656</v>
      </c>
      <c r="E2638" t="s">
        <v>11</v>
      </c>
      <c r="F2638" s="9">
        <v>1552.94</v>
      </c>
      <c r="G2638" s="6">
        <v>26000</v>
      </c>
      <c r="H2638" s="8">
        <f t="shared" si="41"/>
        <v>26000</v>
      </c>
      <c r="I2638" s="10">
        <v>15</v>
      </c>
    </row>
    <row r="2639" spans="1:9" ht="15.75" thickBot="1" x14ac:dyDescent="0.3">
      <c r="A2639" s="1">
        <v>43466</v>
      </c>
      <c r="B2639" s="8" t="s">
        <v>6</v>
      </c>
      <c r="C2639" t="s">
        <v>7</v>
      </c>
      <c r="D2639" t="s">
        <v>656</v>
      </c>
      <c r="E2639" t="s">
        <v>13</v>
      </c>
      <c r="F2639" s="9">
        <v>480.44</v>
      </c>
      <c r="G2639" s="6">
        <v>14000</v>
      </c>
      <c r="H2639" s="8">
        <f t="shared" si="41"/>
        <v>14000</v>
      </c>
      <c r="I2639" s="10">
        <v>3</v>
      </c>
    </row>
    <row r="2640" spans="1:9" ht="15.75" thickBot="1" x14ac:dyDescent="0.3">
      <c r="A2640" s="1">
        <v>43800</v>
      </c>
      <c r="B2640" s="8" t="s">
        <v>6</v>
      </c>
      <c r="C2640" t="s">
        <v>7</v>
      </c>
      <c r="D2640" t="s">
        <v>657</v>
      </c>
      <c r="E2640" t="s">
        <v>9</v>
      </c>
      <c r="F2640" s="9">
        <v>4507.8</v>
      </c>
      <c r="G2640" s="4">
        <v>165</v>
      </c>
      <c r="H2640" s="8">
        <f t="shared" si="41"/>
        <v>165</v>
      </c>
      <c r="I2640" s="10">
        <v>1</v>
      </c>
    </row>
    <row r="2641" spans="1:9" ht="15.75" thickBot="1" x14ac:dyDescent="0.3">
      <c r="A2641" s="1">
        <v>43800</v>
      </c>
      <c r="B2641" s="8" t="s">
        <v>6</v>
      </c>
      <c r="C2641" t="s">
        <v>7</v>
      </c>
      <c r="D2641" t="s">
        <v>657</v>
      </c>
      <c r="E2641" t="s">
        <v>15</v>
      </c>
      <c r="F2641" s="9">
        <v>0</v>
      </c>
      <c r="G2641" s="4">
        <v>0</v>
      </c>
      <c r="H2641" s="8">
        <f t="shared" si="41"/>
        <v>0</v>
      </c>
      <c r="I2641" s="10">
        <v>2</v>
      </c>
    </row>
    <row r="2642" spans="1:9" ht="15.75" thickBot="1" x14ac:dyDescent="0.3">
      <c r="A2642" s="1">
        <v>43800</v>
      </c>
      <c r="B2642" s="8" t="s">
        <v>6</v>
      </c>
      <c r="C2642" t="s">
        <v>7</v>
      </c>
      <c r="D2642" t="s">
        <v>657</v>
      </c>
      <c r="E2642" t="s">
        <v>10</v>
      </c>
      <c r="F2642" s="9">
        <v>101264.8</v>
      </c>
      <c r="G2642" s="6">
        <v>4790802.0779999997</v>
      </c>
      <c r="H2642" s="8">
        <f t="shared" si="41"/>
        <v>4790.8020779999997</v>
      </c>
      <c r="I2642" s="10">
        <v>405</v>
      </c>
    </row>
    <row r="2643" spans="1:9" ht="15.75" thickBot="1" x14ac:dyDescent="0.3">
      <c r="A2643" s="1">
        <v>43800</v>
      </c>
      <c r="B2643" s="8" t="s">
        <v>6</v>
      </c>
      <c r="C2643" t="s">
        <v>7</v>
      </c>
      <c r="D2643" t="s">
        <v>657</v>
      </c>
      <c r="E2643" t="s">
        <v>13</v>
      </c>
      <c r="F2643" s="9">
        <v>1053.8699999999999</v>
      </c>
      <c r="G2643" s="6">
        <v>47000</v>
      </c>
      <c r="H2643" s="8">
        <f t="shared" si="41"/>
        <v>47000</v>
      </c>
      <c r="I2643" s="10">
        <v>3</v>
      </c>
    </row>
    <row r="2644" spans="1:9" ht="15.75" thickBot="1" x14ac:dyDescent="0.3">
      <c r="A2644" s="1">
        <v>43466</v>
      </c>
      <c r="B2644" s="8" t="s">
        <v>6</v>
      </c>
      <c r="C2644" t="s">
        <v>7</v>
      </c>
      <c r="D2644" t="s">
        <v>658</v>
      </c>
      <c r="E2644" t="s">
        <v>9</v>
      </c>
      <c r="F2644" s="9">
        <v>22660.6</v>
      </c>
      <c r="G2644" s="4">
        <v>705</v>
      </c>
      <c r="H2644" s="8">
        <f t="shared" si="41"/>
        <v>705</v>
      </c>
      <c r="I2644" s="10">
        <v>2</v>
      </c>
    </row>
    <row r="2645" spans="1:9" ht="15.75" thickBot="1" x14ac:dyDescent="0.3">
      <c r="A2645" s="1">
        <v>43466</v>
      </c>
      <c r="B2645" s="8" t="s">
        <v>6</v>
      </c>
      <c r="C2645" t="s">
        <v>7</v>
      </c>
      <c r="D2645" t="s">
        <v>658</v>
      </c>
      <c r="E2645" t="s">
        <v>10</v>
      </c>
      <c r="F2645" s="9">
        <v>160350.91</v>
      </c>
      <c r="G2645" s="6">
        <v>5486053.5360000003</v>
      </c>
      <c r="H2645" s="8">
        <f t="shared" si="41"/>
        <v>5486.0535360000003</v>
      </c>
      <c r="I2645" s="10">
        <v>322</v>
      </c>
    </row>
    <row r="2646" spans="1:9" ht="15.75" thickBot="1" x14ac:dyDescent="0.3">
      <c r="A2646" s="1">
        <v>43466</v>
      </c>
      <c r="B2646" s="8" t="s">
        <v>6</v>
      </c>
      <c r="C2646" t="s">
        <v>7</v>
      </c>
      <c r="D2646" t="s">
        <v>658</v>
      </c>
      <c r="E2646" t="s">
        <v>11</v>
      </c>
      <c r="F2646" s="9">
        <v>26312.93</v>
      </c>
      <c r="G2646" s="4">
        <v>873</v>
      </c>
      <c r="H2646" s="8">
        <f t="shared" si="41"/>
        <v>873</v>
      </c>
      <c r="I2646" s="10">
        <v>4</v>
      </c>
    </row>
    <row r="2647" spans="1:9" ht="15.75" thickBot="1" x14ac:dyDescent="0.3">
      <c r="A2647" s="1">
        <v>43800</v>
      </c>
      <c r="B2647" s="8" t="s">
        <v>6</v>
      </c>
      <c r="C2647" t="s">
        <v>7</v>
      </c>
      <c r="D2647" t="s">
        <v>658</v>
      </c>
      <c r="E2647" t="s">
        <v>13</v>
      </c>
      <c r="F2647" s="9">
        <v>517.26</v>
      </c>
      <c r="G2647" s="6">
        <v>18000</v>
      </c>
      <c r="H2647" s="8">
        <f t="shared" si="41"/>
        <v>18000</v>
      </c>
      <c r="I2647" s="10">
        <v>1</v>
      </c>
    </row>
    <row r="2648" spans="1:9" ht="15.75" thickBot="1" x14ac:dyDescent="0.3">
      <c r="A2648" s="1">
        <v>43800</v>
      </c>
      <c r="B2648" s="8" t="s">
        <v>6</v>
      </c>
      <c r="C2648" t="s">
        <v>7</v>
      </c>
      <c r="D2648" t="s">
        <v>659</v>
      </c>
      <c r="E2648" t="s">
        <v>9</v>
      </c>
      <c r="F2648" s="9">
        <v>2417</v>
      </c>
      <c r="G2648" s="4">
        <v>75</v>
      </c>
      <c r="H2648" s="8">
        <f t="shared" si="41"/>
        <v>75</v>
      </c>
      <c r="I2648" s="10">
        <v>3</v>
      </c>
    </row>
    <row r="2649" spans="1:9" ht="15.75" thickBot="1" x14ac:dyDescent="0.3">
      <c r="A2649" s="1">
        <v>43800</v>
      </c>
      <c r="B2649" s="8" t="s">
        <v>6</v>
      </c>
      <c r="C2649" t="s">
        <v>7</v>
      </c>
      <c r="D2649" t="s">
        <v>659</v>
      </c>
      <c r="E2649" t="s">
        <v>15</v>
      </c>
      <c r="F2649" s="9">
        <v>1052.32</v>
      </c>
      <c r="G2649" s="4">
        <v>1</v>
      </c>
      <c r="H2649" s="8">
        <f t="shared" si="41"/>
        <v>1</v>
      </c>
      <c r="I2649" s="10">
        <v>2</v>
      </c>
    </row>
    <row r="2650" spans="1:9" ht="15.75" thickBot="1" x14ac:dyDescent="0.3">
      <c r="A2650" s="1">
        <v>43800</v>
      </c>
      <c r="B2650" s="8" t="s">
        <v>6</v>
      </c>
      <c r="C2650" t="s">
        <v>7</v>
      </c>
      <c r="D2650" t="s">
        <v>659</v>
      </c>
      <c r="E2650" t="s">
        <v>10</v>
      </c>
      <c r="F2650" s="9">
        <v>10589.68</v>
      </c>
      <c r="G2650" s="6">
        <v>523098.05</v>
      </c>
      <c r="H2650" s="8">
        <f t="shared" si="41"/>
        <v>523.09804999999994</v>
      </c>
      <c r="I2650" s="10">
        <v>5</v>
      </c>
    </row>
    <row r="2651" spans="1:9" ht="15.75" thickBot="1" x14ac:dyDescent="0.3">
      <c r="A2651" s="1">
        <v>43466</v>
      </c>
      <c r="B2651" s="8" t="s">
        <v>6</v>
      </c>
      <c r="C2651" t="s">
        <v>7</v>
      </c>
      <c r="D2651" t="s">
        <v>660</v>
      </c>
      <c r="E2651" t="s">
        <v>11</v>
      </c>
      <c r="F2651" s="9">
        <v>192478.83</v>
      </c>
      <c r="G2651" s="4">
        <v>6653</v>
      </c>
      <c r="H2651" s="8">
        <f t="shared" si="41"/>
        <v>6653</v>
      </c>
      <c r="I2651" s="10">
        <v>2</v>
      </c>
    </row>
    <row r="2652" spans="1:9" ht="15.75" thickBot="1" x14ac:dyDescent="0.3">
      <c r="A2652" s="1">
        <v>43466</v>
      </c>
      <c r="B2652" s="8" t="s">
        <v>6</v>
      </c>
      <c r="C2652" t="s">
        <v>7</v>
      </c>
      <c r="D2652" t="s">
        <v>661</v>
      </c>
      <c r="E2652" t="s">
        <v>9</v>
      </c>
      <c r="F2652" s="9">
        <v>683860.66</v>
      </c>
      <c r="G2652" s="4">
        <v>21138</v>
      </c>
      <c r="H2652" s="8">
        <f t="shared" si="41"/>
        <v>21138</v>
      </c>
      <c r="I2652" s="10">
        <v>232</v>
      </c>
    </row>
    <row r="2653" spans="1:9" ht="15.75" thickBot="1" x14ac:dyDescent="0.3">
      <c r="A2653" s="1">
        <v>43466</v>
      </c>
      <c r="B2653" s="8" t="s">
        <v>6</v>
      </c>
      <c r="C2653" t="s">
        <v>7</v>
      </c>
      <c r="D2653" t="s">
        <v>661</v>
      </c>
      <c r="E2653" t="s">
        <v>15</v>
      </c>
      <c r="F2653" s="9">
        <v>654.76</v>
      </c>
      <c r="G2653" s="4">
        <v>1</v>
      </c>
      <c r="H2653" s="8">
        <f t="shared" si="41"/>
        <v>1</v>
      </c>
      <c r="I2653" s="10">
        <v>1</v>
      </c>
    </row>
    <row r="2654" spans="1:9" ht="15.75" thickBot="1" x14ac:dyDescent="0.3">
      <c r="A2654" s="1">
        <v>43800</v>
      </c>
      <c r="B2654" s="8" t="s">
        <v>6</v>
      </c>
      <c r="C2654" t="s">
        <v>7</v>
      </c>
      <c r="D2654" t="s">
        <v>661</v>
      </c>
      <c r="E2654" t="s">
        <v>10</v>
      </c>
      <c r="F2654" s="9">
        <v>16521.939999999999</v>
      </c>
      <c r="G2654" s="7">
        <v>269629.97200000001</v>
      </c>
      <c r="H2654" s="8">
        <f t="shared" si="41"/>
        <v>269.62997200000001</v>
      </c>
      <c r="I2654" s="10">
        <v>19</v>
      </c>
    </row>
    <row r="2655" spans="1:9" ht="15.75" thickBot="1" x14ac:dyDescent="0.3">
      <c r="A2655" s="1">
        <v>43800</v>
      </c>
      <c r="B2655" s="8" t="s">
        <v>6</v>
      </c>
      <c r="C2655" t="s">
        <v>7</v>
      </c>
      <c r="D2655" t="s">
        <v>661</v>
      </c>
      <c r="E2655" t="s">
        <v>17</v>
      </c>
      <c r="F2655" s="9">
        <v>35954.92</v>
      </c>
      <c r="G2655" s="4">
        <v>833</v>
      </c>
      <c r="H2655" s="8">
        <f t="shared" si="41"/>
        <v>833</v>
      </c>
      <c r="I2655" s="10">
        <v>17</v>
      </c>
    </row>
    <row r="2656" spans="1:9" ht="15.75" thickBot="1" x14ac:dyDescent="0.3">
      <c r="A2656" s="1">
        <v>43800</v>
      </c>
      <c r="B2656" s="8" t="s">
        <v>6</v>
      </c>
      <c r="C2656" t="s">
        <v>7</v>
      </c>
      <c r="D2656" t="s">
        <v>661</v>
      </c>
      <c r="E2656" t="s">
        <v>11</v>
      </c>
      <c r="F2656" s="9">
        <v>86028.2</v>
      </c>
      <c r="G2656" s="7">
        <v>23715.839</v>
      </c>
      <c r="H2656" s="8">
        <f t="shared" si="41"/>
        <v>23715.839</v>
      </c>
      <c r="I2656" s="10">
        <v>28</v>
      </c>
    </row>
    <row r="2657" spans="1:9" ht="15.75" thickBot="1" x14ac:dyDescent="0.3">
      <c r="A2657" s="1">
        <v>43800</v>
      </c>
      <c r="B2657" s="8" t="s">
        <v>6</v>
      </c>
      <c r="C2657" t="s">
        <v>7</v>
      </c>
      <c r="D2657" t="s">
        <v>661</v>
      </c>
      <c r="E2657" t="s">
        <v>13</v>
      </c>
      <c r="F2657" s="9">
        <v>18238.93</v>
      </c>
      <c r="G2657" s="4">
        <v>465</v>
      </c>
      <c r="H2657" s="8">
        <f t="shared" si="41"/>
        <v>465</v>
      </c>
      <c r="I2657" s="10">
        <v>8</v>
      </c>
    </row>
    <row r="2658" spans="1:9" ht="15.75" thickBot="1" x14ac:dyDescent="0.3">
      <c r="A2658" s="1">
        <v>43466</v>
      </c>
      <c r="B2658" s="8" t="s">
        <v>6</v>
      </c>
      <c r="C2658" t="s">
        <v>7</v>
      </c>
      <c r="D2658" t="s">
        <v>662</v>
      </c>
      <c r="E2658" t="s">
        <v>9</v>
      </c>
      <c r="F2658" s="9">
        <v>241880.95</v>
      </c>
      <c r="G2658" s="7">
        <v>367172.28</v>
      </c>
      <c r="H2658" s="8">
        <f t="shared" si="41"/>
        <v>367172.28</v>
      </c>
      <c r="I2658" s="10">
        <v>203</v>
      </c>
    </row>
    <row r="2659" spans="1:9" ht="15.75" thickBot="1" x14ac:dyDescent="0.3">
      <c r="A2659" s="1">
        <v>43466</v>
      </c>
      <c r="B2659" s="8" t="s">
        <v>6</v>
      </c>
      <c r="C2659" t="s">
        <v>7</v>
      </c>
      <c r="D2659" t="s">
        <v>662</v>
      </c>
      <c r="E2659" t="s">
        <v>15</v>
      </c>
      <c r="F2659" s="9">
        <v>180727.83</v>
      </c>
      <c r="G2659" s="7">
        <v>691133.42099999997</v>
      </c>
      <c r="H2659" s="8">
        <f t="shared" si="41"/>
        <v>691133.42099999997</v>
      </c>
      <c r="I2659" s="10">
        <v>38</v>
      </c>
    </row>
    <row r="2660" spans="1:9" ht="15.75" thickBot="1" x14ac:dyDescent="0.3">
      <c r="A2660" s="1">
        <v>43466</v>
      </c>
      <c r="B2660" s="8" t="s">
        <v>6</v>
      </c>
      <c r="C2660" t="s">
        <v>7</v>
      </c>
      <c r="D2660" t="s">
        <v>662</v>
      </c>
      <c r="E2660" t="s">
        <v>10</v>
      </c>
      <c r="F2660" s="9">
        <v>2110458.86</v>
      </c>
      <c r="G2660" s="7">
        <v>90450143.094999999</v>
      </c>
      <c r="H2660" s="8">
        <f t="shared" si="41"/>
        <v>90450.143094999992</v>
      </c>
      <c r="I2660" s="10">
        <v>6607</v>
      </c>
    </row>
    <row r="2661" spans="1:9" ht="15.75" thickBot="1" x14ac:dyDescent="0.3">
      <c r="A2661" s="1">
        <v>43800</v>
      </c>
      <c r="B2661" s="8" t="s">
        <v>6</v>
      </c>
      <c r="C2661" t="s">
        <v>7</v>
      </c>
      <c r="D2661" t="s">
        <v>662</v>
      </c>
      <c r="E2661" t="s">
        <v>17</v>
      </c>
      <c r="F2661" s="9">
        <v>21622.18</v>
      </c>
      <c r="G2661" s="4">
        <v>781</v>
      </c>
      <c r="H2661" s="8">
        <f t="shared" si="41"/>
        <v>781</v>
      </c>
      <c r="I2661" s="10">
        <v>20</v>
      </c>
    </row>
    <row r="2662" spans="1:9" ht="15.75" thickBot="1" x14ac:dyDescent="0.3">
      <c r="A2662" s="1">
        <v>43800</v>
      </c>
      <c r="B2662" s="8" t="s">
        <v>6</v>
      </c>
      <c r="C2662" t="s">
        <v>7</v>
      </c>
      <c r="D2662" t="s">
        <v>662</v>
      </c>
      <c r="E2662" t="s">
        <v>11</v>
      </c>
      <c r="F2662" s="9">
        <v>328004.03999999998</v>
      </c>
      <c r="G2662" s="7">
        <v>4101817.773</v>
      </c>
      <c r="H2662" s="8">
        <f t="shared" si="41"/>
        <v>4101817.773</v>
      </c>
      <c r="I2662" s="10">
        <v>134</v>
      </c>
    </row>
    <row r="2663" spans="1:9" ht="15.75" thickBot="1" x14ac:dyDescent="0.3">
      <c r="A2663" s="1">
        <v>43800</v>
      </c>
      <c r="B2663" s="8" t="s">
        <v>6</v>
      </c>
      <c r="C2663" t="s">
        <v>7</v>
      </c>
      <c r="D2663" t="s">
        <v>662</v>
      </c>
      <c r="E2663" t="s">
        <v>13</v>
      </c>
      <c r="F2663" s="9">
        <v>38004.58</v>
      </c>
      <c r="G2663" s="7">
        <v>1588087</v>
      </c>
      <c r="H2663" s="8">
        <f t="shared" si="41"/>
        <v>1588087</v>
      </c>
      <c r="I2663" s="10">
        <v>82</v>
      </c>
    </row>
    <row r="2664" spans="1:9" ht="15.75" thickBot="1" x14ac:dyDescent="0.3">
      <c r="A2664" s="1">
        <v>43800</v>
      </c>
      <c r="B2664" s="8" t="s">
        <v>6</v>
      </c>
      <c r="C2664" t="s">
        <v>7</v>
      </c>
      <c r="D2664" t="s">
        <v>663</v>
      </c>
      <c r="E2664" t="s">
        <v>9</v>
      </c>
      <c r="F2664" s="9">
        <v>154.63999999999999</v>
      </c>
      <c r="G2664" s="4">
        <v>2</v>
      </c>
      <c r="H2664" s="8">
        <f t="shared" si="41"/>
        <v>2</v>
      </c>
      <c r="I2664" s="10">
        <v>1</v>
      </c>
    </row>
    <row r="2665" spans="1:9" ht="15.75" thickBot="1" x14ac:dyDescent="0.3">
      <c r="A2665" s="1">
        <v>43466</v>
      </c>
      <c r="B2665" s="8" t="s">
        <v>6</v>
      </c>
      <c r="C2665" t="s">
        <v>7</v>
      </c>
      <c r="D2665" t="s">
        <v>664</v>
      </c>
      <c r="E2665" t="s">
        <v>9</v>
      </c>
      <c r="F2665" s="9">
        <v>70810.759999999995</v>
      </c>
      <c r="G2665" s="4">
        <v>1848</v>
      </c>
      <c r="H2665" s="8">
        <f t="shared" si="41"/>
        <v>1848</v>
      </c>
      <c r="I2665" s="10">
        <v>76</v>
      </c>
    </row>
    <row r="2666" spans="1:9" ht="15.75" thickBot="1" x14ac:dyDescent="0.3">
      <c r="A2666" s="1">
        <v>43466</v>
      </c>
      <c r="B2666" s="8" t="s">
        <v>6</v>
      </c>
      <c r="C2666" t="s">
        <v>7</v>
      </c>
      <c r="D2666" t="s">
        <v>664</v>
      </c>
      <c r="E2666" t="s">
        <v>10</v>
      </c>
      <c r="F2666" s="9">
        <v>1996.85</v>
      </c>
      <c r="G2666" s="6">
        <v>46950</v>
      </c>
      <c r="H2666" s="8">
        <f t="shared" si="41"/>
        <v>46.95</v>
      </c>
      <c r="I2666" s="10">
        <v>12</v>
      </c>
    </row>
    <row r="2667" spans="1:9" ht="15.75" thickBot="1" x14ac:dyDescent="0.3">
      <c r="A2667" s="1">
        <v>43466</v>
      </c>
      <c r="B2667" s="8" t="s">
        <v>6</v>
      </c>
      <c r="C2667" t="s">
        <v>7</v>
      </c>
      <c r="D2667" t="s">
        <v>664</v>
      </c>
      <c r="E2667" t="s">
        <v>17</v>
      </c>
      <c r="F2667" s="9">
        <v>78959.42</v>
      </c>
      <c r="G2667" s="4">
        <v>2510</v>
      </c>
      <c r="H2667" s="8">
        <f t="shared" si="41"/>
        <v>2510</v>
      </c>
      <c r="I2667" s="10">
        <v>30</v>
      </c>
    </row>
    <row r="2668" spans="1:9" ht="15.75" thickBot="1" x14ac:dyDescent="0.3">
      <c r="A2668" s="1">
        <v>43800</v>
      </c>
      <c r="B2668" s="8" t="s">
        <v>6</v>
      </c>
      <c r="C2668" t="s">
        <v>7</v>
      </c>
      <c r="D2668" t="s">
        <v>664</v>
      </c>
      <c r="E2668" t="s">
        <v>11</v>
      </c>
      <c r="F2668" s="9">
        <v>3858.14</v>
      </c>
      <c r="G2668" s="4">
        <v>46</v>
      </c>
      <c r="H2668" s="8">
        <f t="shared" si="41"/>
        <v>46</v>
      </c>
      <c r="I2668" s="10">
        <v>8</v>
      </c>
    </row>
    <row r="2669" spans="1:9" ht="15.75" thickBot="1" x14ac:dyDescent="0.3">
      <c r="A2669" s="1">
        <v>43800</v>
      </c>
      <c r="B2669" s="8" t="s">
        <v>6</v>
      </c>
      <c r="C2669" t="s">
        <v>7</v>
      </c>
      <c r="D2669" t="s">
        <v>664</v>
      </c>
      <c r="E2669" t="s">
        <v>13</v>
      </c>
      <c r="F2669" s="9">
        <v>8658.68</v>
      </c>
      <c r="G2669" s="4">
        <v>249</v>
      </c>
      <c r="H2669" s="8">
        <f t="shared" si="41"/>
        <v>249</v>
      </c>
      <c r="I2669" s="10">
        <v>1</v>
      </c>
    </row>
    <row r="2670" spans="1:9" ht="15.75" thickBot="1" x14ac:dyDescent="0.3">
      <c r="A2670" s="1">
        <v>43800</v>
      </c>
      <c r="B2670" s="8" t="s">
        <v>6</v>
      </c>
      <c r="C2670" t="s">
        <v>7</v>
      </c>
      <c r="D2670" t="s">
        <v>665</v>
      </c>
      <c r="E2670" t="s">
        <v>9</v>
      </c>
      <c r="F2670" s="9">
        <v>42466.34</v>
      </c>
      <c r="G2670" s="4">
        <v>1098</v>
      </c>
      <c r="H2670" s="8">
        <f t="shared" si="41"/>
        <v>1098</v>
      </c>
      <c r="I2670" s="10">
        <v>44</v>
      </c>
    </row>
    <row r="2671" spans="1:9" ht="15.75" thickBot="1" x14ac:dyDescent="0.3">
      <c r="A2671" s="1">
        <v>43800</v>
      </c>
      <c r="B2671" s="8" t="s">
        <v>6</v>
      </c>
      <c r="C2671" t="s">
        <v>7</v>
      </c>
      <c r="D2671" t="s">
        <v>665</v>
      </c>
      <c r="E2671" t="s">
        <v>15</v>
      </c>
      <c r="F2671" s="9">
        <v>28217.96</v>
      </c>
      <c r="G2671" s="7">
        <v>2102.8229999999999</v>
      </c>
      <c r="H2671" s="8">
        <f t="shared" si="41"/>
        <v>2102.8229999999999</v>
      </c>
      <c r="I2671" s="10">
        <v>32</v>
      </c>
    </row>
    <row r="2672" spans="1:9" ht="15.75" thickBot="1" x14ac:dyDescent="0.3">
      <c r="A2672" s="1">
        <v>43466</v>
      </c>
      <c r="B2672" s="8" t="s">
        <v>6</v>
      </c>
      <c r="C2672" t="s">
        <v>7</v>
      </c>
      <c r="D2672" t="s">
        <v>665</v>
      </c>
      <c r="E2672" t="s">
        <v>10</v>
      </c>
      <c r="F2672" s="9">
        <v>1786414.07</v>
      </c>
      <c r="G2672" s="6">
        <v>59307459.112000003</v>
      </c>
      <c r="H2672" s="8">
        <f t="shared" si="41"/>
        <v>59307.459112000004</v>
      </c>
      <c r="I2672" s="10">
        <v>6114</v>
      </c>
    </row>
    <row r="2673" spans="1:9" ht="15.75" thickBot="1" x14ac:dyDescent="0.3">
      <c r="A2673" s="1">
        <v>43466</v>
      </c>
      <c r="B2673" s="8" t="s">
        <v>6</v>
      </c>
      <c r="C2673" t="s">
        <v>7</v>
      </c>
      <c r="D2673" t="s">
        <v>665</v>
      </c>
      <c r="E2673" t="s">
        <v>11</v>
      </c>
      <c r="F2673" s="9">
        <v>37747.33</v>
      </c>
      <c r="G2673" s="7">
        <v>1912.0940000000001</v>
      </c>
      <c r="H2673" s="8">
        <f t="shared" si="41"/>
        <v>1912.0940000000001</v>
      </c>
      <c r="I2673" s="10">
        <v>47</v>
      </c>
    </row>
    <row r="2674" spans="1:9" ht="15.75" thickBot="1" x14ac:dyDescent="0.3">
      <c r="A2674" s="1">
        <v>43466</v>
      </c>
      <c r="B2674" s="8" t="s">
        <v>6</v>
      </c>
      <c r="C2674" t="s">
        <v>7</v>
      </c>
      <c r="D2674" t="s">
        <v>665</v>
      </c>
      <c r="E2674" t="s">
        <v>13</v>
      </c>
      <c r="F2674" s="9">
        <v>6661.58</v>
      </c>
      <c r="G2674" s="7">
        <v>217415.5</v>
      </c>
      <c r="H2674" s="8">
        <f t="shared" si="41"/>
        <v>217415.5</v>
      </c>
      <c r="I2674" s="10">
        <v>31</v>
      </c>
    </row>
    <row r="2675" spans="1:9" ht="15.75" thickBot="1" x14ac:dyDescent="0.3">
      <c r="A2675" s="1">
        <v>43800</v>
      </c>
      <c r="B2675" s="8" t="s">
        <v>6</v>
      </c>
      <c r="C2675" t="s">
        <v>7</v>
      </c>
      <c r="D2675" t="s">
        <v>666</v>
      </c>
      <c r="E2675" t="s">
        <v>9</v>
      </c>
      <c r="F2675" s="9">
        <v>591.76</v>
      </c>
      <c r="G2675" s="4">
        <v>18</v>
      </c>
      <c r="H2675" s="8">
        <f t="shared" si="41"/>
        <v>18</v>
      </c>
      <c r="I2675" s="10">
        <v>1</v>
      </c>
    </row>
    <row r="2676" spans="1:9" ht="15.75" thickBot="1" x14ac:dyDescent="0.3">
      <c r="A2676" s="1">
        <v>43800</v>
      </c>
      <c r="B2676" s="8" t="s">
        <v>6</v>
      </c>
      <c r="C2676" t="s">
        <v>7</v>
      </c>
      <c r="D2676" t="s">
        <v>666</v>
      </c>
      <c r="E2676" t="s">
        <v>10</v>
      </c>
      <c r="F2676" s="9">
        <v>54454.05</v>
      </c>
      <c r="G2676" s="6">
        <v>1770125.65</v>
      </c>
      <c r="H2676" s="8">
        <f t="shared" si="41"/>
        <v>1770.12565</v>
      </c>
      <c r="I2676" s="10">
        <v>206</v>
      </c>
    </row>
    <row r="2677" spans="1:9" ht="15.75" thickBot="1" x14ac:dyDescent="0.3">
      <c r="A2677" s="1">
        <v>43800</v>
      </c>
      <c r="B2677" s="8" t="s">
        <v>6</v>
      </c>
      <c r="C2677" t="s">
        <v>7</v>
      </c>
      <c r="D2677" t="s">
        <v>666</v>
      </c>
      <c r="E2677" t="s">
        <v>11</v>
      </c>
      <c r="F2677" s="9">
        <v>14903.28</v>
      </c>
      <c r="G2677" s="4">
        <v>454</v>
      </c>
      <c r="H2677" s="8">
        <f t="shared" si="41"/>
        <v>454</v>
      </c>
      <c r="I2677" s="10">
        <v>1</v>
      </c>
    </row>
    <row r="2678" spans="1:9" ht="15.75" thickBot="1" x14ac:dyDescent="0.3">
      <c r="A2678" s="1">
        <v>43800</v>
      </c>
      <c r="B2678" s="8" t="s">
        <v>6</v>
      </c>
      <c r="C2678" t="s">
        <v>7</v>
      </c>
      <c r="D2678" t="s">
        <v>666</v>
      </c>
      <c r="E2678" t="s">
        <v>13</v>
      </c>
      <c r="F2678" s="9">
        <v>213.43</v>
      </c>
      <c r="G2678" s="6">
        <v>9000</v>
      </c>
      <c r="H2678" s="8">
        <f t="shared" si="41"/>
        <v>9000</v>
      </c>
      <c r="I2678" s="10">
        <v>1</v>
      </c>
    </row>
    <row r="2679" spans="1:9" ht="15.75" thickBot="1" x14ac:dyDescent="0.3">
      <c r="A2679" s="1">
        <v>43466</v>
      </c>
      <c r="B2679" s="8" t="s">
        <v>6</v>
      </c>
      <c r="C2679" t="s">
        <v>7</v>
      </c>
      <c r="D2679" t="s">
        <v>667</v>
      </c>
      <c r="E2679" t="s">
        <v>9</v>
      </c>
      <c r="F2679" s="9">
        <v>8517.2000000000007</v>
      </c>
      <c r="G2679" s="4">
        <v>110</v>
      </c>
      <c r="H2679" s="8">
        <f t="shared" si="41"/>
        <v>110</v>
      </c>
      <c r="I2679" s="10">
        <v>6</v>
      </c>
    </row>
    <row r="2680" spans="1:9" ht="15.75" thickBot="1" x14ac:dyDescent="0.3">
      <c r="A2680" s="1">
        <v>43466</v>
      </c>
      <c r="B2680" s="8" t="s">
        <v>6</v>
      </c>
      <c r="C2680" t="s">
        <v>7</v>
      </c>
      <c r="D2680" t="s">
        <v>667</v>
      </c>
      <c r="E2680" t="s">
        <v>10</v>
      </c>
      <c r="F2680" s="9">
        <v>52202.48</v>
      </c>
      <c r="G2680" s="6">
        <v>1711534</v>
      </c>
      <c r="H2680" s="8">
        <f t="shared" si="41"/>
        <v>1711.5340000000001</v>
      </c>
      <c r="I2680" s="10">
        <v>136</v>
      </c>
    </row>
    <row r="2681" spans="1:9" ht="15.75" thickBot="1" x14ac:dyDescent="0.3">
      <c r="A2681" s="1">
        <v>43466</v>
      </c>
      <c r="B2681" s="8" t="s">
        <v>6</v>
      </c>
      <c r="C2681" t="s">
        <v>7</v>
      </c>
      <c r="D2681" t="s">
        <v>667</v>
      </c>
      <c r="E2681" t="s">
        <v>11</v>
      </c>
      <c r="F2681" s="9">
        <v>6530.87</v>
      </c>
      <c r="G2681" s="7">
        <v>131019</v>
      </c>
      <c r="H2681" s="8">
        <f t="shared" si="41"/>
        <v>131019</v>
      </c>
      <c r="I2681" s="10">
        <v>4</v>
      </c>
    </row>
    <row r="2682" spans="1:9" ht="15.75" thickBot="1" x14ac:dyDescent="0.3">
      <c r="A2682" s="1">
        <v>43800</v>
      </c>
      <c r="B2682" s="8" t="s">
        <v>6</v>
      </c>
      <c r="C2682" t="s">
        <v>7</v>
      </c>
      <c r="D2682" t="s">
        <v>667</v>
      </c>
      <c r="E2682" t="s">
        <v>13</v>
      </c>
      <c r="F2682" s="9">
        <v>215.01</v>
      </c>
      <c r="G2682" s="6">
        <v>7000</v>
      </c>
      <c r="H2682" s="8">
        <f t="shared" si="41"/>
        <v>7000</v>
      </c>
      <c r="I2682" s="10">
        <v>1</v>
      </c>
    </row>
    <row r="2683" spans="1:9" ht="15.75" thickBot="1" x14ac:dyDescent="0.3">
      <c r="A2683" s="1">
        <v>43800</v>
      </c>
      <c r="B2683" s="8" t="s">
        <v>6</v>
      </c>
      <c r="C2683" t="s">
        <v>7</v>
      </c>
      <c r="D2683" t="s">
        <v>668</v>
      </c>
      <c r="E2683" t="s">
        <v>9</v>
      </c>
      <c r="F2683" s="9">
        <v>4181.32</v>
      </c>
      <c r="G2683" s="4">
        <v>151</v>
      </c>
      <c r="H2683" s="8">
        <f t="shared" si="41"/>
        <v>151</v>
      </c>
      <c r="I2683" s="10">
        <v>1</v>
      </c>
    </row>
    <row r="2684" spans="1:9" ht="15.75" thickBot="1" x14ac:dyDescent="0.3">
      <c r="A2684" s="1">
        <v>43800</v>
      </c>
      <c r="B2684" s="8" t="s">
        <v>6</v>
      </c>
      <c r="C2684" t="s">
        <v>7</v>
      </c>
      <c r="D2684" t="s">
        <v>668</v>
      </c>
      <c r="E2684" t="s">
        <v>15</v>
      </c>
      <c r="F2684" s="9">
        <v>4644.12</v>
      </c>
      <c r="G2684" s="4">
        <v>78</v>
      </c>
      <c r="H2684" s="8">
        <f t="shared" si="41"/>
        <v>78</v>
      </c>
      <c r="I2684" s="10">
        <v>4</v>
      </c>
    </row>
    <row r="2685" spans="1:9" ht="15.75" thickBot="1" x14ac:dyDescent="0.3">
      <c r="A2685" s="1">
        <v>43800</v>
      </c>
      <c r="B2685" s="8" t="s">
        <v>6</v>
      </c>
      <c r="C2685" t="s">
        <v>7</v>
      </c>
      <c r="D2685" t="s">
        <v>668</v>
      </c>
      <c r="E2685" t="s">
        <v>10</v>
      </c>
      <c r="F2685" s="9">
        <v>388134.27</v>
      </c>
      <c r="G2685" s="6">
        <v>14030808.954</v>
      </c>
      <c r="H2685" s="8">
        <f t="shared" si="41"/>
        <v>14030.808954</v>
      </c>
      <c r="I2685" s="10">
        <v>1531</v>
      </c>
    </row>
    <row r="2686" spans="1:9" ht="15.75" thickBot="1" x14ac:dyDescent="0.3">
      <c r="A2686" s="1">
        <v>43466</v>
      </c>
      <c r="B2686" s="8" t="s">
        <v>6</v>
      </c>
      <c r="C2686" t="s">
        <v>7</v>
      </c>
      <c r="D2686" t="s">
        <v>668</v>
      </c>
      <c r="E2686" t="s">
        <v>11</v>
      </c>
      <c r="F2686" s="9">
        <v>1539.65</v>
      </c>
      <c r="G2686" s="4">
        <v>44</v>
      </c>
      <c r="H2686" s="8">
        <f t="shared" si="41"/>
        <v>44</v>
      </c>
      <c r="I2686" s="10">
        <v>3</v>
      </c>
    </row>
    <row r="2687" spans="1:9" ht="15.75" thickBot="1" x14ac:dyDescent="0.3">
      <c r="A2687" s="1">
        <v>43466</v>
      </c>
      <c r="B2687" s="8" t="s">
        <v>6</v>
      </c>
      <c r="C2687" t="s">
        <v>7</v>
      </c>
      <c r="D2687" t="s">
        <v>668</v>
      </c>
      <c r="E2687" t="s">
        <v>13</v>
      </c>
      <c r="F2687" s="9">
        <v>3958.7</v>
      </c>
      <c r="G2687" s="7">
        <v>53089</v>
      </c>
      <c r="H2687" s="8">
        <f t="shared" si="41"/>
        <v>53089</v>
      </c>
      <c r="I2687" s="10">
        <v>8</v>
      </c>
    </row>
    <row r="2688" spans="1:9" ht="15.75" thickBot="1" x14ac:dyDescent="0.3">
      <c r="A2688" s="1">
        <v>43466</v>
      </c>
      <c r="B2688" s="8" t="s">
        <v>6</v>
      </c>
      <c r="C2688" t="s">
        <v>7</v>
      </c>
      <c r="D2688" t="s">
        <v>669</v>
      </c>
      <c r="E2688" t="s">
        <v>10</v>
      </c>
      <c r="F2688" s="9">
        <v>10124.780000000001</v>
      </c>
      <c r="G2688" s="6">
        <v>377000</v>
      </c>
      <c r="H2688" s="8">
        <f t="shared" si="41"/>
        <v>377</v>
      </c>
      <c r="I2688" s="10">
        <v>42</v>
      </c>
    </row>
    <row r="2689" spans="1:9" ht="15.75" thickBot="1" x14ac:dyDescent="0.3">
      <c r="A2689" s="1">
        <v>43800</v>
      </c>
      <c r="B2689" s="8" t="s">
        <v>6</v>
      </c>
      <c r="C2689" t="s">
        <v>7</v>
      </c>
      <c r="D2689" t="s">
        <v>669</v>
      </c>
      <c r="E2689" t="s">
        <v>17</v>
      </c>
      <c r="F2689" s="9">
        <v>190.11</v>
      </c>
      <c r="G2689" s="4">
        <v>5</v>
      </c>
      <c r="H2689" s="8">
        <f t="shared" si="41"/>
        <v>5</v>
      </c>
      <c r="I2689" s="10">
        <v>1</v>
      </c>
    </row>
    <row r="2690" spans="1:9" ht="15.75" thickBot="1" x14ac:dyDescent="0.3">
      <c r="A2690" s="1">
        <v>43800</v>
      </c>
      <c r="B2690" s="8" t="s">
        <v>6</v>
      </c>
      <c r="C2690" t="s">
        <v>7</v>
      </c>
      <c r="D2690" t="s">
        <v>670</v>
      </c>
      <c r="E2690" t="s">
        <v>9</v>
      </c>
      <c r="F2690" s="9">
        <v>2830.17</v>
      </c>
      <c r="G2690" s="4">
        <v>91</v>
      </c>
      <c r="H2690" s="8">
        <f t="shared" ref="H2690:H2753" si="42">IF(ISNUMBER(SEARCH("Domestic customer", E2690)),G2690/1000,G2690)</f>
        <v>91</v>
      </c>
      <c r="I2690" s="10">
        <v>2</v>
      </c>
    </row>
    <row r="2691" spans="1:9" ht="15.75" thickBot="1" x14ac:dyDescent="0.3">
      <c r="A2691" s="1">
        <v>43800</v>
      </c>
      <c r="B2691" s="8" t="s">
        <v>6</v>
      </c>
      <c r="C2691" t="s">
        <v>7</v>
      </c>
      <c r="D2691" t="s">
        <v>670</v>
      </c>
      <c r="E2691" t="s">
        <v>15</v>
      </c>
      <c r="F2691" s="9">
        <v>0</v>
      </c>
      <c r="G2691" s="4">
        <v>91</v>
      </c>
      <c r="H2691" s="8">
        <f t="shared" si="42"/>
        <v>91</v>
      </c>
      <c r="I2691" s="10">
        <v>2</v>
      </c>
    </row>
    <row r="2692" spans="1:9" ht="15.75" thickBot="1" x14ac:dyDescent="0.3">
      <c r="A2692" s="1">
        <v>43800</v>
      </c>
      <c r="B2692" s="8" t="s">
        <v>6</v>
      </c>
      <c r="C2692" t="s">
        <v>7</v>
      </c>
      <c r="D2692" t="s">
        <v>670</v>
      </c>
      <c r="E2692" t="s">
        <v>10</v>
      </c>
      <c r="F2692" s="9">
        <v>10091.120000000001</v>
      </c>
      <c r="G2692" s="7">
        <v>4405805.6220000004</v>
      </c>
      <c r="H2692" s="8">
        <f t="shared" si="42"/>
        <v>4405.8056220000008</v>
      </c>
      <c r="I2692" s="10">
        <v>574</v>
      </c>
    </row>
    <row r="2693" spans="1:9" ht="15.75" thickBot="1" x14ac:dyDescent="0.3">
      <c r="A2693" s="1">
        <v>43466</v>
      </c>
      <c r="B2693" s="8" t="s">
        <v>6</v>
      </c>
      <c r="C2693" t="s">
        <v>7</v>
      </c>
      <c r="D2693" t="s">
        <v>671</v>
      </c>
      <c r="E2693" t="s">
        <v>15</v>
      </c>
      <c r="F2693" s="9">
        <v>56</v>
      </c>
      <c r="G2693" s="4">
        <v>0</v>
      </c>
      <c r="H2693" s="8">
        <f t="shared" si="42"/>
        <v>0</v>
      </c>
      <c r="I2693" s="10">
        <v>1</v>
      </c>
    </row>
    <row r="2694" spans="1:9" ht="15.75" thickBot="1" x14ac:dyDescent="0.3">
      <c r="A2694" s="1">
        <v>43466</v>
      </c>
      <c r="B2694" s="8" t="s">
        <v>6</v>
      </c>
      <c r="C2694" t="s">
        <v>7</v>
      </c>
      <c r="D2694" t="s">
        <v>671</v>
      </c>
      <c r="E2694" t="s">
        <v>10</v>
      </c>
      <c r="F2694" s="9">
        <v>161729.97</v>
      </c>
      <c r="G2694" s="6">
        <v>5888218.341</v>
      </c>
      <c r="H2694" s="8">
        <f t="shared" si="42"/>
        <v>5888.2183409999998</v>
      </c>
      <c r="I2694" s="10">
        <v>563</v>
      </c>
    </row>
    <row r="2695" spans="1:9" ht="15.75" thickBot="1" x14ac:dyDescent="0.3">
      <c r="A2695" s="1">
        <v>43466</v>
      </c>
      <c r="B2695" s="8" t="s">
        <v>6</v>
      </c>
      <c r="C2695" t="s">
        <v>7</v>
      </c>
      <c r="D2695" t="s">
        <v>671</v>
      </c>
      <c r="E2695" t="s">
        <v>11</v>
      </c>
      <c r="F2695" s="9">
        <v>336.52</v>
      </c>
      <c r="G2695" s="6">
        <v>9000</v>
      </c>
      <c r="H2695" s="8">
        <f t="shared" si="42"/>
        <v>9000</v>
      </c>
      <c r="I2695" s="10">
        <v>2</v>
      </c>
    </row>
    <row r="2696" spans="1:9" ht="15.75" thickBot="1" x14ac:dyDescent="0.3">
      <c r="A2696" s="1">
        <v>43800</v>
      </c>
      <c r="B2696" s="8" t="s">
        <v>6</v>
      </c>
      <c r="C2696" t="s">
        <v>7</v>
      </c>
      <c r="D2696" t="s">
        <v>671</v>
      </c>
      <c r="E2696" t="s">
        <v>13</v>
      </c>
      <c r="F2696" s="9">
        <v>637.28</v>
      </c>
      <c r="G2696" s="6">
        <v>23000</v>
      </c>
      <c r="H2696" s="8">
        <f t="shared" si="42"/>
        <v>23000</v>
      </c>
      <c r="I2696" s="10">
        <v>2</v>
      </c>
    </row>
    <row r="2697" spans="1:9" ht="15.75" thickBot="1" x14ac:dyDescent="0.3">
      <c r="A2697" s="1">
        <v>43800</v>
      </c>
      <c r="B2697" s="8" t="s">
        <v>6</v>
      </c>
      <c r="C2697" t="s">
        <v>7</v>
      </c>
      <c r="D2697" t="s">
        <v>672</v>
      </c>
      <c r="E2697" t="s">
        <v>9</v>
      </c>
      <c r="F2697" s="9">
        <v>128564.29</v>
      </c>
      <c r="G2697" s="4">
        <v>4172</v>
      </c>
      <c r="H2697" s="8">
        <f t="shared" si="42"/>
        <v>4172</v>
      </c>
      <c r="I2697" s="10">
        <v>5</v>
      </c>
    </row>
    <row r="2698" spans="1:9" ht="15.75" thickBot="1" x14ac:dyDescent="0.3">
      <c r="A2698" s="1">
        <v>43800</v>
      </c>
      <c r="B2698" s="8" t="s">
        <v>6</v>
      </c>
      <c r="C2698" t="s">
        <v>7</v>
      </c>
      <c r="D2698" t="s">
        <v>672</v>
      </c>
      <c r="E2698" t="s">
        <v>15</v>
      </c>
      <c r="F2698" s="9">
        <v>35508.76</v>
      </c>
      <c r="G2698" s="4">
        <v>873</v>
      </c>
      <c r="H2698" s="8">
        <f t="shared" si="42"/>
        <v>873</v>
      </c>
      <c r="I2698" s="10">
        <v>39</v>
      </c>
    </row>
    <row r="2699" spans="1:9" ht="15.75" thickBot="1" x14ac:dyDescent="0.3">
      <c r="A2699" s="1">
        <v>43800</v>
      </c>
      <c r="B2699" s="8" t="s">
        <v>6</v>
      </c>
      <c r="C2699" t="s">
        <v>7</v>
      </c>
      <c r="D2699" t="s">
        <v>672</v>
      </c>
      <c r="E2699" t="s">
        <v>10</v>
      </c>
      <c r="F2699" s="9">
        <v>753244.83</v>
      </c>
      <c r="G2699" s="6">
        <v>27572898.305</v>
      </c>
      <c r="H2699" s="8">
        <f t="shared" si="42"/>
        <v>27572.898304999999</v>
      </c>
      <c r="I2699" s="10">
        <v>3185</v>
      </c>
    </row>
    <row r="2700" spans="1:9" ht="15.75" thickBot="1" x14ac:dyDescent="0.3">
      <c r="A2700" s="1">
        <v>43466</v>
      </c>
      <c r="B2700" s="8" t="s">
        <v>6</v>
      </c>
      <c r="C2700" t="s">
        <v>7</v>
      </c>
      <c r="D2700" t="s">
        <v>672</v>
      </c>
      <c r="E2700" t="s">
        <v>17</v>
      </c>
      <c r="F2700" s="9">
        <v>3645.2</v>
      </c>
      <c r="G2700" s="4">
        <v>130</v>
      </c>
      <c r="H2700" s="8">
        <f t="shared" si="42"/>
        <v>130</v>
      </c>
      <c r="I2700" s="10">
        <v>1</v>
      </c>
    </row>
    <row r="2701" spans="1:9" ht="15.75" thickBot="1" x14ac:dyDescent="0.3">
      <c r="A2701" s="1">
        <v>43466</v>
      </c>
      <c r="B2701" s="8" t="s">
        <v>6</v>
      </c>
      <c r="C2701" t="s">
        <v>7</v>
      </c>
      <c r="D2701" t="s">
        <v>672</v>
      </c>
      <c r="E2701" t="s">
        <v>11</v>
      </c>
      <c r="F2701" s="9">
        <v>96756.14</v>
      </c>
      <c r="G2701" s="7">
        <v>588477</v>
      </c>
      <c r="H2701" s="8">
        <f t="shared" si="42"/>
        <v>588477</v>
      </c>
      <c r="I2701" s="10">
        <v>64</v>
      </c>
    </row>
    <row r="2702" spans="1:9" ht="15.75" thickBot="1" x14ac:dyDescent="0.3">
      <c r="A2702" s="1">
        <v>43466</v>
      </c>
      <c r="B2702" s="8" t="s">
        <v>6</v>
      </c>
      <c r="C2702" t="s">
        <v>7</v>
      </c>
      <c r="D2702" t="s">
        <v>672</v>
      </c>
      <c r="E2702" t="s">
        <v>13</v>
      </c>
      <c r="F2702" s="9">
        <v>5527.65</v>
      </c>
      <c r="G2702" s="6">
        <v>156000</v>
      </c>
      <c r="H2702" s="8">
        <f t="shared" si="42"/>
        <v>156000</v>
      </c>
      <c r="I2702" s="10">
        <v>24</v>
      </c>
    </row>
    <row r="2703" spans="1:9" ht="15.75" thickBot="1" x14ac:dyDescent="0.3">
      <c r="A2703" s="1">
        <v>43800</v>
      </c>
      <c r="B2703" s="8" t="s">
        <v>6</v>
      </c>
      <c r="C2703" t="s">
        <v>7</v>
      </c>
      <c r="D2703" t="s">
        <v>673</v>
      </c>
      <c r="E2703" t="s">
        <v>9</v>
      </c>
      <c r="F2703" s="9">
        <v>102195.04</v>
      </c>
      <c r="G2703" s="4">
        <v>3379</v>
      </c>
      <c r="H2703" s="8">
        <f t="shared" si="42"/>
        <v>3379</v>
      </c>
      <c r="I2703" s="10">
        <v>27</v>
      </c>
    </row>
    <row r="2704" spans="1:9" ht="15.75" thickBot="1" x14ac:dyDescent="0.3">
      <c r="A2704" s="1">
        <v>43800</v>
      </c>
      <c r="B2704" s="8" t="s">
        <v>6</v>
      </c>
      <c r="C2704" t="s">
        <v>7</v>
      </c>
      <c r="D2704" t="s">
        <v>673</v>
      </c>
      <c r="E2704" t="s">
        <v>15</v>
      </c>
      <c r="F2704" s="9">
        <v>107597.7</v>
      </c>
      <c r="G2704" s="7">
        <v>2523524.534</v>
      </c>
      <c r="H2704" s="8">
        <f t="shared" si="42"/>
        <v>2523524.534</v>
      </c>
      <c r="I2704" s="10">
        <v>61</v>
      </c>
    </row>
    <row r="2705" spans="1:9" ht="15.75" thickBot="1" x14ac:dyDescent="0.3">
      <c r="A2705" s="1">
        <v>43800</v>
      </c>
      <c r="B2705" s="8" t="s">
        <v>6</v>
      </c>
      <c r="C2705" t="s">
        <v>7</v>
      </c>
      <c r="D2705" t="s">
        <v>673</v>
      </c>
      <c r="E2705" t="s">
        <v>10</v>
      </c>
      <c r="F2705" s="9">
        <v>407210.56</v>
      </c>
      <c r="G2705" s="7">
        <v>30553965.666000001</v>
      </c>
      <c r="H2705" s="8">
        <f t="shared" si="42"/>
        <v>30553.965666</v>
      </c>
      <c r="I2705" s="10">
        <v>2004</v>
      </c>
    </row>
    <row r="2706" spans="1:9" ht="15.75" thickBot="1" x14ac:dyDescent="0.3">
      <c r="A2706" s="1">
        <v>43800</v>
      </c>
      <c r="B2706" s="8" t="s">
        <v>6</v>
      </c>
      <c r="C2706" t="s">
        <v>7</v>
      </c>
      <c r="D2706" t="s">
        <v>673</v>
      </c>
      <c r="E2706" t="s">
        <v>17</v>
      </c>
      <c r="F2706" s="9">
        <v>8568.18</v>
      </c>
      <c r="G2706" s="4">
        <v>190</v>
      </c>
      <c r="H2706" s="8">
        <f t="shared" si="42"/>
        <v>190</v>
      </c>
      <c r="I2706" s="10">
        <v>9</v>
      </c>
    </row>
    <row r="2707" spans="1:9" ht="15.75" thickBot="1" x14ac:dyDescent="0.3">
      <c r="A2707" s="1">
        <v>43466</v>
      </c>
      <c r="B2707" s="8" t="s">
        <v>6</v>
      </c>
      <c r="C2707" t="s">
        <v>7</v>
      </c>
      <c r="D2707" t="s">
        <v>673</v>
      </c>
      <c r="E2707" t="s">
        <v>11</v>
      </c>
      <c r="F2707" s="9">
        <v>39973.040000000001</v>
      </c>
      <c r="G2707" s="7">
        <v>49437.144999999997</v>
      </c>
      <c r="H2707" s="8">
        <f t="shared" si="42"/>
        <v>49437.144999999997</v>
      </c>
      <c r="I2707" s="10">
        <v>69</v>
      </c>
    </row>
    <row r="2708" spans="1:9" ht="15.75" thickBot="1" x14ac:dyDescent="0.3">
      <c r="A2708" s="1">
        <v>43466</v>
      </c>
      <c r="B2708" s="8" t="s">
        <v>6</v>
      </c>
      <c r="C2708" t="s">
        <v>7</v>
      </c>
      <c r="D2708" t="s">
        <v>673</v>
      </c>
      <c r="E2708" t="s">
        <v>13</v>
      </c>
      <c r="F2708" s="9">
        <v>940.34</v>
      </c>
      <c r="G2708" s="6">
        <v>127112.834</v>
      </c>
      <c r="H2708" s="8">
        <f t="shared" si="42"/>
        <v>127112.834</v>
      </c>
      <c r="I2708" s="10">
        <v>18</v>
      </c>
    </row>
    <row r="2709" spans="1:9" ht="15.75" thickBot="1" x14ac:dyDescent="0.3">
      <c r="A2709" s="1">
        <v>43466</v>
      </c>
      <c r="B2709" s="8" t="s">
        <v>6</v>
      </c>
      <c r="C2709" t="s">
        <v>7</v>
      </c>
      <c r="D2709" t="s">
        <v>674</v>
      </c>
      <c r="E2709" t="s">
        <v>15</v>
      </c>
      <c r="F2709" s="9">
        <v>12273.18</v>
      </c>
      <c r="G2709" s="4">
        <v>354</v>
      </c>
      <c r="H2709" s="8">
        <f t="shared" si="42"/>
        <v>354</v>
      </c>
      <c r="I2709" s="10">
        <v>4</v>
      </c>
    </row>
    <row r="2710" spans="1:9" ht="15.75" thickBot="1" x14ac:dyDescent="0.3">
      <c r="A2710" s="1">
        <v>43800</v>
      </c>
      <c r="B2710" s="8" t="s">
        <v>6</v>
      </c>
      <c r="C2710" t="s">
        <v>7</v>
      </c>
      <c r="D2710" t="s">
        <v>674</v>
      </c>
      <c r="E2710" t="s">
        <v>10</v>
      </c>
      <c r="F2710" s="9">
        <v>170457.28</v>
      </c>
      <c r="G2710" s="7">
        <v>6070382.8600000003</v>
      </c>
      <c r="H2710" s="8">
        <f t="shared" si="42"/>
        <v>6070.3828600000006</v>
      </c>
      <c r="I2710" s="10">
        <v>390</v>
      </c>
    </row>
    <row r="2711" spans="1:9" ht="15.75" thickBot="1" x14ac:dyDescent="0.3">
      <c r="A2711" s="1">
        <v>43800</v>
      </c>
      <c r="B2711" s="8" t="s">
        <v>6</v>
      </c>
      <c r="C2711" t="s">
        <v>7</v>
      </c>
      <c r="D2711" t="s">
        <v>674</v>
      </c>
      <c r="E2711" t="s">
        <v>11</v>
      </c>
      <c r="F2711" s="9">
        <v>1111.81</v>
      </c>
      <c r="G2711" s="4">
        <v>32</v>
      </c>
      <c r="H2711" s="8">
        <f t="shared" si="42"/>
        <v>32</v>
      </c>
      <c r="I2711" s="10">
        <v>3</v>
      </c>
    </row>
    <row r="2712" spans="1:9" ht="15.75" thickBot="1" x14ac:dyDescent="0.3">
      <c r="A2712" s="1">
        <v>43800</v>
      </c>
      <c r="B2712" s="8" t="s">
        <v>6</v>
      </c>
      <c r="C2712" t="s">
        <v>7</v>
      </c>
      <c r="D2712" t="s">
        <v>674</v>
      </c>
      <c r="E2712" t="s">
        <v>13</v>
      </c>
      <c r="F2712" s="9">
        <v>130.55000000000001</v>
      </c>
      <c r="G2712" s="6">
        <v>5000</v>
      </c>
      <c r="H2712" s="8">
        <f t="shared" si="42"/>
        <v>5000</v>
      </c>
      <c r="I2712" s="10">
        <v>1</v>
      </c>
    </row>
    <row r="2713" spans="1:9" ht="15.75" thickBot="1" x14ac:dyDescent="0.3">
      <c r="A2713" s="1">
        <v>43800</v>
      </c>
      <c r="B2713" s="8" t="s">
        <v>6</v>
      </c>
      <c r="C2713" t="s">
        <v>7</v>
      </c>
      <c r="D2713" t="s">
        <v>675</v>
      </c>
      <c r="E2713" t="s">
        <v>9</v>
      </c>
      <c r="F2713" s="9">
        <v>25081</v>
      </c>
      <c r="G2713" s="4">
        <v>825</v>
      </c>
      <c r="H2713" s="8">
        <f t="shared" si="42"/>
        <v>825</v>
      </c>
      <c r="I2713" s="10">
        <v>12</v>
      </c>
    </row>
    <row r="2714" spans="1:9" ht="15.75" thickBot="1" x14ac:dyDescent="0.3">
      <c r="A2714" s="1">
        <v>43466</v>
      </c>
      <c r="B2714" s="8" t="s">
        <v>6</v>
      </c>
      <c r="C2714" t="s">
        <v>7</v>
      </c>
      <c r="D2714" t="s">
        <v>675</v>
      </c>
      <c r="E2714" t="s">
        <v>15</v>
      </c>
      <c r="F2714" s="9">
        <v>1484.72</v>
      </c>
      <c r="G2714" s="4">
        <v>45</v>
      </c>
      <c r="H2714" s="8">
        <f t="shared" si="42"/>
        <v>45</v>
      </c>
      <c r="I2714" s="10">
        <v>2</v>
      </c>
    </row>
    <row r="2715" spans="1:9" ht="15.75" thickBot="1" x14ac:dyDescent="0.3">
      <c r="A2715" s="1">
        <v>43466</v>
      </c>
      <c r="B2715" s="8" t="s">
        <v>6</v>
      </c>
      <c r="C2715" t="s">
        <v>7</v>
      </c>
      <c r="D2715" t="s">
        <v>675</v>
      </c>
      <c r="E2715" t="s">
        <v>10</v>
      </c>
      <c r="F2715" s="9">
        <v>340631.92</v>
      </c>
      <c r="G2715" s="6">
        <v>9293506.9460000005</v>
      </c>
      <c r="H2715" s="8">
        <f t="shared" si="42"/>
        <v>9293.5069460000013</v>
      </c>
      <c r="I2715" s="10">
        <v>806</v>
      </c>
    </row>
    <row r="2716" spans="1:9" ht="15.75" thickBot="1" x14ac:dyDescent="0.3">
      <c r="A2716" s="1">
        <v>43466</v>
      </c>
      <c r="B2716" s="8" t="s">
        <v>6</v>
      </c>
      <c r="C2716" t="s">
        <v>7</v>
      </c>
      <c r="D2716" t="s">
        <v>675</v>
      </c>
      <c r="E2716" t="s">
        <v>11</v>
      </c>
      <c r="F2716" s="9">
        <v>1116.4100000000001</v>
      </c>
      <c r="G2716" s="7">
        <v>14020</v>
      </c>
      <c r="H2716" s="8">
        <f t="shared" si="42"/>
        <v>14020</v>
      </c>
      <c r="I2716" s="10">
        <v>2</v>
      </c>
    </row>
    <row r="2717" spans="1:9" ht="15.75" thickBot="1" x14ac:dyDescent="0.3">
      <c r="A2717" s="1">
        <v>43800</v>
      </c>
      <c r="B2717" s="8" t="s">
        <v>6</v>
      </c>
      <c r="C2717" t="s">
        <v>7</v>
      </c>
      <c r="D2717" t="s">
        <v>675</v>
      </c>
      <c r="E2717" t="s">
        <v>13</v>
      </c>
      <c r="F2717" s="9">
        <v>1036.82</v>
      </c>
      <c r="G2717" s="6">
        <v>28000</v>
      </c>
      <c r="H2717" s="8">
        <f t="shared" si="42"/>
        <v>28000</v>
      </c>
      <c r="I2717" s="10">
        <v>3</v>
      </c>
    </row>
    <row r="2718" spans="1:9" ht="15.75" thickBot="1" x14ac:dyDescent="0.3">
      <c r="A2718" s="1">
        <v>43800</v>
      </c>
      <c r="B2718" s="8" t="s">
        <v>6</v>
      </c>
      <c r="C2718" t="s">
        <v>7</v>
      </c>
      <c r="D2718" t="s">
        <v>676</v>
      </c>
      <c r="E2718" t="s">
        <v>9</v>
      </c>
      <c r="F2718" s="9">
        <v>852.08</v>
      </c>
      <c r="G2718" s="4">
        <v>22</v>
      </c>
      <c r="H2718" s="8">
        <f t="shared" si="42"/>
        <v>22</v>
      </c>
      <c r="I2718" s="10">
        <v>2</v>
      </c>
    </row>
    <row r="2719" spans="1:9" ht="15.75" thickBot="1" x14ac:dyDescent="0.3">
      <c r="A2719" s="1">
        <v>43800</v>
      </c>
      <c r="B2719" s="8" t="s">
        <v>6</v>
      </c>
      <c r="C2719" t="s">
        <v>7</v>
      </c>
      <c r="D2719" t="s">
        <v>676</v>
      </c>
      <c r="E2719" t="s">
        <v>10</v>
      </c>
      <c r="F2719" s="9">
        <v>141776.23000000001</v>
      </c>
      <c r="G2719" s="6">
        <v>4343725.9910000004</v>
      </c>
      <c r="H2719" s="8">
        <f t="shared" si="42"/>
        <v>4343.7259910000002</v>
      </c>
      <c r="I2719" s="10">
        <v>670</v>
      </c>
    </row>
    <row r="2720" spans="1:9" ht="15.75" thickBot="1" x14ac:dyDescent="0.3">
      <c r="A2720" s="1">
        <v>43800</v>
      </c>
      <c r="B2720" s="8" t="s">
        <v>6</v>
      </c>
      <c r="C2720" t="s">
        <v>7</v>
      </c>
      <c r="D2720" t="s">
        <v>676</v>
      </c>
      <c r="E2720" t="s">
        <v>11</v>
      </c>
      <c r="F2720" s="9">
        <v>26695.09</v>
      </c>
      <c r="G2720" s="4">
        <v>921</v>
      </c>
      <c r="H2720" s="8">
        <f t="shared" si="42"/>
        <v>921</v>
      </c>
      <c r="I2720" s="10">
        <v>3</v>
      </c>
    </row>
    <row r="2721" spans="1:9" ht="15.75" thickBot="1" x14ac:dyDescent="0.3">
      <c r="A2721" s="1">
        <v>43466</v>
      </c>
      <c r="B2721" s="8" t="s">
        <v>6</v>
      </c>
      <c r="C2721" t="s">
        <v>7</v>
      </c>
      <c r="D2721" t="s">
        <v>677</v>
      </c>
      <c r="E2721" t="s">
        <v>9</v>
      </c>
      <c r="F2721" s="9">
        <v>30280.73</v>
      </c>
      <c r="G2721" s="4">
        <v>1004</v>
      </c>
      <c r="H2721" s="8">
        <f t="shared" si="42"/>
        <v>1004</v>
      </c>
      <c r="I2721" s="10">
        <v>23</v>
      </c>
    </row>
    <row r="2722" spans="1:9" ht="15.75" thickBot="1" x14ac:dyDescent="0.3">
      <c r="A2722" s="1">
        <v>43466</v>
      </c>
      <c r="B2722" s="8" t="s">
        <v>6</v>
      </c>
      <c r="C2722" t="s">
        <v>7</v>
      </c>
      <c r="D2722" t="s">
        <v>677</v>
      </c>
      <c r="E2722" t="s">
        <v>15</v>
      </c>
      <c r="F2722" s="9">
        <v>247595.24</v>
      </c>
      <c r="G2722" s="7">
        <v>2144979.1880000001</v>
      </c>
      <c r="H2722" s="8">
        <f t="shared" si="42"/>
        <v>2144979.1880000001</v>
      </c>
      <c r="I2722" s="10">
        <v>21</v>
      </c>
    </row>
    <row r="2723" spans="1:9" ht="15.75" thickBot="1" x14ac:dyDescent="0.3">
      <c r="A2723" s="1">
        <v>43466</v>
      </c>
      <c r="B2723" s="8" t="s">
        <v>6</v>
      </c>
      <c r="C2723" t="s">
        <v>7</v>
      </c>
      <c r="D2723" t="s">
        <v>677</v>
      </c>
      <c r="E2723" t="s">
        <v>10</v>
      </c>
      <c r="F2723" s="9">
        <v>590120.54</v>
      </c>
      <c r="G2723" s="7">
        <v>19848968.305</v>
      </c>
      <c r="H2723" s="8">
        <f t="shared" si="42"/>
        <v>19848.968304999999</v>
      </c>
      <c r="I2723" s="10">
        <v>1451</v>
      </c>
    </row>
    <row r="2724" spans="1:9" ht="15.75" thickBot="1" x14ac:dyDescent="0.3">
      <c r="A2724" s="1">
        <v>43800</v>
      </c>
      <c r="B2724" s="8" t="s">
        <v>6</v>
      </c>
      <c r="C2724" t="s">
        <v>7</v>
      </c>
      <c r="D2724" t="s">
        <v>677</v>
      </c>
      <c r="E2724" t="s">
        <v>11</v>
      </c>
      <c r="F2724" s="9">
        <v>149413.22</v>
      </c>
      <c r="G2724" s="7">
        <v>218873.15</v>
      </c>
      <c r="H2724" s="8">
        <f t="shared" si="42"/>
        <v>218873.15</v>
      </c>
      <c r="I2724" s="10">
        <v>33</v>
      </c>
    </row>
    <row r="2725" spans="1:9" ht="15.75" thickBot="1" x14ac:dyDescent="0.3">
      <c r="A2725" s="1">
        <v>43800</v>
      </c>
      <c r="B2725" s="8" t="s">
        <v>6</v>
      </c>
      <c r="C2725" t="s">
        <v>7</v>
      </c>
      <c r="D2725" t="s">
        <v>677</v>
      </c>
      <c r="E2725" t="s">
        <v>13</v>
      </c>
      <c r="F2725" s="9">
        <v>5650.37</v>
      </c>
      <c r="G2725" s="6">
        <v>193084.21100000001</v>
      </c>
      <c r="H2725" s="8">
        <f t="shared" si="42"/>
        <v>193084.21100000001</v>
      </c>
      <c r="I2725" s="10">
        <v>13</v>
      </c>
    </row>
    <row r="2726" spans="1:9" ht="15.75" thickBot="1" x14ac:dyDescent="0.3">
      <c r="A2726" s="1">
        <v>43800</v>
      </c>
      <c r="B2726" s="8" t="s">
        <v>6</v>
      </c>
      <c r="C2726" t="s">
        <v>7</v>
      </c>
      <c r="D2726" t="s">
        <v>678</v>
      </c>
      <c r="E2726" t="s">
        <v>9</v>
      </c>
      <c r="F2726" s="9">
        <v>5236.04</v>
      </c>
      <c r="G2726" s="4">
        <v>150</v>
      </c>
      <c r="H2726" s="8">
        <f t="shared" si="42"/>
        <v>150</v>
      </c>
      <c r="I2726" s="10">
        <v>9</v>
      </c>
    </row>
    <row r="2727" spans="1:9" ht="15.75" thickBot="1" x14ac:dyDescent="0.3">
      <c r="A2727" s="1">
        <v>43800</v>
      </c>
      <c r="B2727" s="8" t="s">
        <v>6</v>
      </c>
      <c r="C2727" t="s">
        <v>7</v>
      </c>
      <c r="D2727" t="s">
        <v>678</v>
      </c>
      <c r="E2727" t="s">
        <v>15</v>
      </c>
      <c r="F2727" s="9">
        <v>655.24</v>
      </c>
      <c r="G2727" s="4">
        <v>1</v>
      </c>
      <c r="H2727" s="8">
        <f t="shared" si="42"/>
        <v>1</v>
      </c>
      <c r="I2727" s="10">
        <v>1</v>
      </c>
    </row>
    <row r="2728" spans="1:9" ht="15.75" thickBot="1" x14ac:dyDescent="0.3">
      <c r="A2728" s="1">
        <v>43466</v>
      </c>
      <c r="B2728" s="8" t="s">
        <v>6</v>
      </c>
      <c r="C2728" t="s">
        <v>7</v>
      </c>
      <c r="D2728" t="s">
        <v>678</v>
      </c>
      <c r="E2728" t="s">
        <v>10</v>
      </c>
      <c r="F2728" s="9">
        <v>134648.18</v>
      </c>
      <c r="G2728" s="7">
        <v>4361660.3609999996</v>
      </c>
      <c r="H2728" s="8">
        <f t="shared" si="42"/>
        <v>4361.6603609999993</v>
      </c>
      <c r="I2728" s="10">
        <v>380</v>
      </c>
    </row>
    <row r="2729" spans="1:9" ht="15.75" thickBot="1" x14ac:dyDescent="0.3">
      <c r="A2729" s="1">
        <v>43466</v>
      </c>
      <c r="B2729" s="8" t="s">
        <v>6</v>
      </c>
      <c r="C2729" t="s">
        <v>7</v>
      </c>
      <c r="D2729" t="s">
        <v>678</v>
      </c>
      <c r="E2729" t="s">
        <v>11</v>
      </c>
      <c r="F2729" s="9">
        <v>30174.89</v>
      </c>
      <c r="G2729" s="4">
        <v>1071</v>
      </c>
      <c r="H2729" s="8">
        <f t="shared" si="42"/>
        <v>1071</v>
      </c>
      <c r="I2729" s="10">
        <v>5</v>
      </c>
    </row>
    <row r="2730" spans="1:9" ht="15.75" thickBot="1" x14ac:dyDescent="0.3">
      <c r="A2730" s="1">
        <v>43466</v>
      </c>
      <c r="B2730" s="8" t="s">
        <v>6</v>
      </c>
      <c r="C2730" t="s">
        <v>7</v>
      </c>
      <c r="D2730" t="s">
        <v>678</v>
      </c>
      <c r="E2730" t="s">
        <v>13</v>
      </c>
      <c r="F2730" s="9">
        <v>2083.0500000000002</v>
      </c>
      <c r="G2730" s="6">
        <v>78000</v>
      </c>
      <c r="H2730" s="8">
        <f t="shared" si="42"/>
        <v>78000</v>
      </c>
      <c r="I2730" s="10">
        <v>5</v>
      </c>
    </row>
    <row r="2731" spans="1:9" ht="15.75" thickBot="1" x14ac:dyDescent="0.3">
      <c r="A2731" s="1">
        <v>43800</v>
      </c>
      <c r="B2731" s="8" t="s">
        <v>6</v>
      </c>
      <c r="C2731" t="s">
        <v>7</v>
      </c>
      <c r="D2731" t="s">
        <v>679</v>
      </c>
      <c r="E2731" t="s">
        <v>9</v>
      </c>
      <c r="F2731" s="9">
        <v>22296.15</v>
      </c>
      <c r="G2731" s="4">
        <v>633</v>
      </c>
      <c r="H2731" s="8">
        <f t="shared" si="42"/>
        <v>633</v>
      </c>
      <c r="I2731" s="10">
        <v>1</v>
      </c>
    </row>
    <row r="2732" spans="1:9" ht="15.75" thickBot="1" x14ac:dyDescent="0.3">
      <c r="A2732" s="1">
        <v>43800</v>
      </c>
      <c r="B2732" s="8" t="s">
        <v>6</v>
      </c>
      <c r="C2732" t="s">
        <v>7</v>
      </c>
      <c r="D2732" t="s">
        <v>679</v>
      </c>
      <c r="E2732" t="s">
        <v>10</v>
      </c>
      <c r="F2732" s="9">
        <v>81.569999999999993</v>
      </c>
      <c r="G2732" s="5">
        <v>0</v>
      </c>
      <c r="H2732" s="8">
        <f t="shared" si="42"/>
        <v>0</v>
      </c>
      <c r="I2732" s="10">
        <v>1</v>
      </c>
    </row>
    <row r="2733" spans="1:9" ht="15.75" thickBot="1" x14ac:dyDescent="0.3">
      <c r="A2733" s="1">
        <v>43800</v>
      </c>
      <c r="B2733" s="8" t="s">
        <v>6</v>
      </c>
      <c r="C2733" t="s">
        <v>7</v>
      </c>
      <c r="D2733" t="s">
        <v>679</v>
      </c>
      <c r="E2733" t="s">
        <v>11</v>
      </c>
      <c r="F2733" s="9">
        <v>3932.64</v>
      </c>
      <c r="G2733" s="7">
        <v>11060.67</v>
      </c>
      <c r="H2733" s="8">
        <f t="shared" si="42"/>
        <v>11060.67</v>
      </c>
      <c r="I2733" s="10">
        <v>5</v>
      </c>
    </row>
    <row r="2734" spans="1:9" ht="15.75" thickBot="1" x14ac:dyDescent="0.3">
      <c r="A2734" s="1">
        <v>43800</v>
      </c>
      <c r="B2734" s="8" t="s">
        <v>6</v>
      </c>
      <c r="C2734" t="s">
        <v>7</v>
      </c>
      <c r="D2734" t="s">
        <v>680</v>
      </c>
      <c r="E2734" t="s">
        <v>9</v>
      </c>
      <c r="F2734" s="9">
        <v>362802.04</v>
      </c>
      <c r="G2734" s="7">
        <v>37621.345999999998</v>
      </c>
      <c r="H2734" s="8">
        <f t="shared" si="42"/>
        <v>37621.345999999998</v>
      </c>
      <c r="I2734" s="10">
        <v>112</v>
      </c>
    </row>
    <row r="2735" spans="1:9" ht="15.75" thickBot="1" x14ac:dyDescent="0.3">
      <c r="A2735" s="1">
        <v>43466</v>
      </c>
      <c r="B2735" s="8" t="s">
        <v>6</v>
      </c>
      <c r="C2735" t="s">
        <v>7</v>
      </c>
      <c r="D2735" t="s">
        <v>680</v>
      </c>
      <c r="E2735" t="s">
        <v>15</v>
      </c>
      <c r="F2735" s="9">
        <v>19283.73</v>
      </c>
      <c r="G2735" s="4">
        <v>-522</v>
      </c>
      <c r="H2735" s="8">
        <f t="shared" si="42"/>
        <v>-522</v>
      </c>
      <c r="I2735" s="10">
        <v>27</v>
      </c>
    </row>
    <row r="2736" spans="1:9" ht="15.75" thickBot="1" x14ac:dyDescent="0.3">
      <c r="A2736" s="1">
        <v>43466</v>
      </c>
      <c r="B2736" s="8" t="s">
        <v>6</v>
      </c>
      <c r="C2736" t="s">
        <v>7</v>
      </c>
      <c r="D2736" t="s">
        <v>680</v>
      </c>
      <c r="E2736" t="s">
        <v>10</v>
      </c>
      <c r="F2736" s="9">
        <v>2041661.08</v>
      </c>
      <c r="G2736" s="7">
        <v>71553989.473000005</v>
      </c>
      <c r="H2736" s="8">
        <f t="shared" si="42"/>
        <v>71553.989473000009</v>
      </c>
      <c r="I2736" s="10">
        <v>4589</v>
      </c>
    </row>
    <row r="2737" spans="1:9" ht="15.75" thickBot="1" x14ac:dyDescent="0.3">
      <c r="A2737" s="1">
        <v>43466</v>
      </c>
      <c r="B2737" s="8" t="s">
        <v>6</v>
      </c>
      <c r="C2737" t="s">
        <v>7</v>
      </c>
      <c r="D2737" t="s">
        <v>680</v>
      </c>
      <c r="E2737" t="s">
        <v>17</v>
      </c>
      <c r="F2737" s="9">
        <v>1933</v>
      </c>
      <c r="G2737" s="4">
        <v>25</v>
      </c>
      <c r="H2737" s="8">
        <f t="shared" si="42"/>
        <v>25</v>
      </c>
      <c r="I2737" s="10">
        <v>2</v>
      </c>
    </row>
    <row r="2738" spans="1:9" ht="15.75" thickBot="1" x14ac:dyDescent="0.3">
      <c r="A2738" s="1">
        <v>43800</v>
      </c>
      <c r="B2738" s="8" t="s">
        <v>6</v>
      </c>
      <c r="C2738" t="s">
        <v>7</v>
      </c>
      <c r="D2738" t="s">
        <v>680</v>
      </c>
      <c r="E2738" t="s">
        <v>11</v>
      </c>
      <c r="F2738" s="9">
        <v>36615.769999999997</v>
      </c>
      <c r="G2738" s="7">
        <v>154093.024</v>
      </c>
      <c r="H2738" s="8">
        <f t="shared" si="42"/>
        <v>154093.024</v>
      </c>
      <c r="I2738" s="10">
        <v>32</v>
      </c>
    </row>
    <row r="2739" spans="1:9" ht="15.75" thickBot="1" x14ac:dyDescent="0.3">
      <c r="A2739" s="1">
        <v>43800</v>
      </c>
      <c r="B2739" s="8" t="s">
        <v>6</v>
      </c>
      <c r="C2739" t="s">
        <v>7</v>
      </c>
      <c r="D2739" t="s">
        <v>680</v>
      </c>
      <c r="E2739" t="s">
        <v>13</v>
      </c>
      <c r="F2739" s="9">
        <v>28460.29</v>
      </c>
      <c r="G2739" s="7">
        <v>367744.67200000002</v>
      </c>
      <c r="H2739" s="8">
        <f t="shared" si="42"/>
        <v>367744.67200000002</v>
      </c>
      <c r="I2739" s="10">
        <v>22</v>
      </c>
    </row>
    <row r="2740" spans="1:9" ht="15.75" thickBot="1" x14ac:dyDescent="0.3">
      <c r="A2740" s="1">
        <v>43800</v>
      </c>
      <c r="B2740" s="8" t="s">
        <v>6</v>
      </c>
      <c r="C2740" t="s">
        <v>7</v>
      </c>
      <c r="D2740" t="s">
        <v>681</v>
      </c>
      <c r="E2740" t="s">
        <v>9</v>
      </c>
      <c r="F2740" s="9">
        <v>10149.799999999999</v>
      </c>
      <c r="G2740" s="4">
        <v>240</v>
      </c>
      <c r="H2740" s="8">
        <f t="shared" si="42"/>
        <v>240</v>
      </c>
      <c r="I2740" s="10">
        <v>6</v>
      </c>
    </row>
    <row r="2741" spans="1:9" ht="15.75" thickBot="1" x14ac:dyDescent="0.3">
      <c r="A2741" s="1">
        <v>43800</v>
      </c>
      <c r="B2741" s="8" t="s">
        <v>6</v>
      </c>
      <c r="C2741" t="s">
        <v>7</v>
      </c>
      <c r="D2741" t="s">
        <v>681</v>
      </c>
      <c r="E2741" t="s">
        <v>15</v>
      </c>
      <c r="F2741" s="9">
        <v>114487.96</v>
      </c>
      <c r="G2741" s="7">
        <v>138831.72899999999</v>
      </c>
      <c r="H2741" s="8">
        <f t="shared" si="42"/>
        <v>138831.72899999999</v>
      </c>
      <c r="I2741" s="10">
        <v>50</v>
      </c>
    </row>
    <row r="2742" spans="1:9" ht="15.75" thickBot="1" x14ac:dyDescent="0.3">
      <c r="A2742" s="1">
        <v>43466</v>
      </c>
      <c r="B2742" s="8" t="s">
        <v>6</v>
      </c>
      <c r="C2742" t="s">
        <v>7</v>
      </c>
      <c r="D2742" t="s">
        <v>681</v>
      </c>
      <c r="E2742" t="s">
        <v>10</v>
      </c>
      <c r="F2742" s="9">
        <v>388656.75</v>
      </c>
      <c r="G2742" s="7">
        <v>97227257.708000004</v>
      </c>
      <c r="H2742" s="8">
        <f t="shared" si="42"/>
        <v>97227.257708000005</v>
      </c>
      <c r="I2742" s="10">
        <v>8975</v>
      </c>
    </row>
    <row r="2743" spans="1:9" ht="15.75" thickBot="1" x14ac:dyDescent="0.3">
      <c r="A2743" s="1">
        <v>43466</v>
      </c>
      <c r="B2743" s="8" t="s">
        <v>6</v>
      </c>
      <c r="C2743" t="s">
        <v>7</v>
      </c>
      <c r="D2743" t="s">
        <v>681</v>
      </c>
      <c r="E2743" t="s">
        <v>11</v>
      </c>
      <c r="F2743" s="9">
        <v>332903.15000000002</v>
      </c>
      <c r="G2743" s="7">
        <v>17252.269</v>
      </c>
      <c r="H2743" s="8">
        <f t="shared" si="42"/>
        <v>17252.269</v>
      </c>
      <c r="I2743" s="10">
        <v>40</v>
      </c>
    </row>
    <row r="2744" spans="1:9" ht="15.75" thickBot="1" x14ac:dyDescent="0.3">
      <c r="A2744" s="1">
        <v>43466</v>
      </c>
      <c r="B2744" s="8" t="s">
        <v>6</v>
      </c>
      <c r="C2744" t="s">
        <v>7</v>
      </c>
      <c r="D2744" t="s">
        <v>681</v>
      </c>
      <c r="E2744" t="s">
        <v>13</v>
      </c>
      <c r="F2744" s="9">
        <v>2745.18</v>
      </c>
      <c r="G2744" s="7">
        <v>369464.60499999998</v>
      </c>
      <c r="H2744" s="8">
        <f t="shared" si="42"/>
        <v>369464.60499999998</v>
      </c>
      <c r="I2744" s="10">
        <v>35</v>
      </c>
    </row>
    <row r="2745" spans="1:9" ht="15.75" thickBot="1" x14ac:dyDescent="0.3">
      <c r="A2745" s="1">
        <v>43800</v>
      </c>
      <c r="B2745" s="8" t="s">
        <v>6</v>
      </c>
      <c r="C2745" t="s">
        <v>7</v>
      </c>
      <c r="D2745" t="s">
        <v>682</v>
      </c>
      <c r="E2745" t="s">
        <v>9</v>
      </c>
      <c r="F2745" s="9">
        <v>73951.95</v>
      </c>
      <c r="G2745" s="4">
        <v>2352</v>
      </c>
      <c r="H2745" s="8">
        <f t="shared" si="42"/>
        <v>2352</v>
      </c>
      <c r="I2745" s="10">
        <v>14</v>
      </c>
    </row>
    <row r="2746" spans="1:9" ht="15.75" thickBot="1" x14ac:dyDescent="0.3">
      <c r="A2746" s="1">
        <v>43800</v>
      </c>
      <c r="B2746" s="8" t="s">
        <v>6</v>
      </c>
      <c r="C2746" t="s">
        <v>7</v>
      </c>
      <c r="D2746" t="s">
        <v>682</v>
      </c>
      <c r="E2746" t="s">
        <v>10</v>
      </c>
      <c r="F2746" s="9">
        <v>804638.1</v>
      </c>
      <c r="G2746" s="6">
        <v>22139982.550999999</v>
      </c>
      <c r="H2746" s="8">
        <f t="shared" si="42"/>
        <v>22139.982550999997</v>
      </c>
      <c r="I2746" s="10">
        <v>710</v>
      </c>
    </row>
    <row r="2747" spans="1:9" ht="15.75" thickBot="1" x14ac:dyDescent="0.3">
      <c r="A2747" s="1">
        <v>43800</v>
      </c>
      <c r="B2747" s="8" t="s">
        <v>6</v>
      </c>
      <c r="C2747" t="s">
        <v>7</v>
      </c>
      <c r="D2747" t="s">
        <v>682</v>
      </c>
      <c r="E2747" t="s">
        <v>17</v>
      </c>
      <c r="F2747" s="9">
        <v>2856.72</v>
      </c>
      <c r="G2747" s="4">
        <v>46</v>
      </c>
      <c r="H2747" s="8">
        <f t="shared" si="42"/>
        <v>46</v>
      </c>
      <c r="I2747" s="10">
        <v>1</v>
      </c>
    </row>
    <row r="2748" spans="1:9" ht="15.75" thickBot="1" x14ac:dyDescent="0.3">
      <c r="A2748" s="1">
        <v>43800</v>
      </c>
      <c r="B2748" s="8" t="s">
        <v>6</v>
      </c>
      <c r="C2748" t="s">
        <v>7</v>
      </c>
      <c r="D2748" t="s">
        <v>682</v>
      </c>
      <c r="E2748" t="s">
        <v>11</v>
      </c>
      <c r="F2748" s="9">
        <v>61565.45</v>
      </c>
      <c r="G2748" s="7">
        <v>442078.16800000001</v>
      </c>
      <c r="H2748" s="8">
        <f t="shared" si="42"/>
        <v>442078.16800000001</v>
      </c>
      <c r="I2748" s="10">
        <v>37</v>
      </c>
    </row>
    <row r="2749" spans="1:9" ht="15.75" thickBot="1" x14ac:dyDescent="0.3">
      <c r="A2749" s="1">
        <v>43466</v>
      </c>
      <c r="B2749" s="8" t="s">
        <v>6</v>
      </c>
      <c r="C2749" t="s">
        <v>7</v>
      </c>
      <c r="D2749" t="s">
        <v>682</v>
      </c>
      <c r="E2749" t="s">
        <v>13</v>
      </c>
      <c r="F2749" s="9">
        <v>1481.03</v>
      </c>
      <c r="G2749" s="7">
        <v>30010</v>
      </c>
      <c r="H2749" s="8">
        <f t="shared" si="42"/>
        <v>30010</v>
      </c>
      <c r="I2749" s="10">
        <v>4</v>
      </c>
    </row>
    <row r="2750" spans="1:9" ht="15.75" thickBot="1" x14ac:dyDescent="0.3">
      <c r="A2750" s="1">
        <v>43466</v>
      </c>
      <c r="B2750" s="8" t="s">
        <v>6</v>
      </c>
      <c r="C2750" t="s">
        <v>7</v>
      </c>
      <c r="D2750" t="s">
        <v>683</v>
      </c>
      <c r="E2750" t="s">
        <v>15</v>
      </c>
      <c r="F2750" s="9">
        <v>500</v>
      </c>
      <c r="G2750" s="4">
        <v>0</v>
      </c>
      <c r="H2750" s="8">
        <f t="shared" si="42"/>
        <v>0</v>
      </c>
      <c r="I2750" s="10">
        <v>2</v>
      </c>
    </row>
    <row r="2751" spans="1:9" ht="15.75" thickBot="1" x14ac:dyDescent="0.3">
      <c r="A2751" s="1">
        <v>43466</v>
      </c>
      <c r="B2751" s="8" t="s">
        <v>6</v>
      </c>
      <c r="C2751" t="s">
        <v>7</v>
      </c>
      <c r="D2751" t="s">
        <v>683</v>
      </c>
      <c r="E2751" t="s">
        <v>10</v>
      </c>
      <c r="F2751" s="9">
        <v>5414.38</v>
      </c>
      <c r="G2751" s="6">
        <v>1686702.7690000001</v>
      </c>
      <c r="H2751" s="8">
        <f t="shared" si="42"/>
        <v>1686.702769</v>
      </c>
      <c r="I2751" s="10">
        <v>195</v>
      </c>
    </row>
    <row r="2752" spans="1:9" ht="15.75" thickBot="1" x14ac:dyDescent="0.3">
      <c r="A2752" s="1">
        <v>43800</v>
      </c>
      <c r="B2752" s="8" t="s">
        <v>6</v>
      </c>
      <c r="C2752" t="s">
        <v>7</v>
      </c>
      <c r="D2752" t="s">
        <v>683</v>
      </c>
      <c r="E2752" t="s">
        <v>11</v>
      </c>
      <c r="F2752" s="9">
        <v>7004.76</v>
      </c>
      <c r="G2752" s="4">
        <v>163</v>
      </c>
      <c r="H2752" s="8">
        <f t="shared" si="42"/>
        <v>163</v>
      </c>
      <c r="I2752" s="10">
        <v>5</v>
      </c>
    </row>
    <row r="2753" spans="1:9" ht="15.75" thickBot="1" x14ac:dyDescent="0.3">
      <c r="A2753" s="1">
        <v>43800</v>
      </c>
      <c r="B2753" s="8" t="s">
        <v>6</v>
      </c>
      <c r="C2753" t="s">
        <v>7</v>
      </c>
      <c r="D2753" t="s">
        <v>683</v>
      </c>
      <c r="E2753" t="s">
        <v>13</v>
      </c>
      <c r="F2753" s="9">
        <v>0</v>
      </c>
      <c r="G2753" s="6">
        <v>42000</v>
      </c>
      <c r="H2753" s="8">
        <f t="shared" si="42"/>
        <v>42000</v>
      </c>
      <c r="I2753" s="10">
        <v>8</v>
      </c>
    </row>
    <row r="2754" spans="1:9" ht="15.75" thickBot="1" x14ac:dyDescent="0.3">
      <c r="A2754" s="1">
        <v>43800</v>
      </c>
      <c r="B2754" s="8" t="s">
        <v>6</v>
      </c>
      <c r="C2754" t="s">
        <v>7</v>
      </c>
      <c r="D2754" t="s">
        <v>684</v>
      </c>
      <c r="E2754" t="s">
        <v>9</v>
      </c>
      <c r="F2754" s="9">
        <v>602.4</v>
      </c>
      <c r="G2754" s="4">
        <v>20</v>
      </c>
      <c r="H2754" s="8">
        <f t="shared" ref="H2754:H2817" si="43">IF(ISNUMBER(SEARCH("Domestic customer", E2754)),G2754/1000,G2754)</f>
        <v>20</v>
      </c>
      <c r="I2754" s="10">
        <v>1</v>
      </c>
    </row>
    <row r="2755" spans="1:9" ht="15.75" thickBot="1" x14ac:dyDescent="0.3">
      <c r="A2755" s="1">
        <v>43800</v>
      </c>
      <c r="B2755" s="8" t="s">
        <v>6</v>
      </c>
      <c r="C2755" t="s">
        <v>7</v>
      </c>
      <c r="D2755" t="s">
        <v>684</v>
      </c>
      <c r="E2755" t="s">
        <v>15</v>
      </c>
      <c r="F2755" s="9">
        <v>400</v>
      </c>
      <c r="G2755" s="4">
        <v>0</v>
      </c>
      <c r="H2755" s="8">
        <f t="shared" si="43"/>
        <v>0</v>
      </c>
      <c r="I2755" s="10">
        <v>1</v>
      </c>
    </row>
    <row r="2756" spans="1:9" ht="15.75" thickBot="1" x14ac:dyDescent="0.3">
      <c r="A2756" s="1">
        <v>43466</v>
      </c>
      <c r="B2756" s="8" t="s">
        <v>6</v>
      </c>
      <c r="C2756" t="s">
        <v>7</v>
      </c>
      <c r="D2756" t="s">
        <v>684</v>
      </c>
      <c r="E2756" t="s">
        <v>10</v>
      </c>
      <c r="F2756" s="9">
        <v>121962.88</v>
      </c>
      <c r="G2756" s="6">
        <v>4001243.08</v>
      </c>
      <c r="H2756" s="8">
        <f t="shared" si="43"/>
        <v>4001.2430800000002</v>
      </c>
      <c r="I2756" s="10">
        <v>425</v>
      </c>
    </row>
    <row r="2757" spans="1:9" ht="15.75" thickBot="1" x14ac:dyDescent="0.3">
      <c r="A2757" s="1">
        <v>43466</v>
      </c>
      <c r="B2757" s="8" t="s">
        <v>6</v>
      </c>
      <c r="C2757" t="s">
        <v>7</v>
      </c>
      <c r="D2757" t="s">
        <v>684</v>
      </c>
      <c r="E2757" t="s">
        <v>11</v>
      </c>
      <c r="F2757" s="9">
        <v>1300.2</v>
      </c>
      <c r="G2757" s="6">
        <v>27000</v>
      </c>
      <c r="H2757" s="8">
        <f t="shared" si="43"/>
        <v>27000</v>
      </c>
      <c r="I2757" s="10">
        <v>9</v>
      </c>
    </row>
    <row r="2758" spans="1:9" ht="15.75" thickBot="1" x14ac:dyDescent="0.3">
      <c r="A2758" s="1">
        <v>43466</v>
      </c>
      <c r="B2758" s="8" t="s">
        <v>6</v>
      </c>
      <c r="C2758" t="s">
        <v>7</v>
      </c>
      <c r="D2758" t="s">
        <v>684</v>
      </c>
      <c r="E2758" t="s">
        <v>13</v>
      </c>
      <c r="F2758" s="9">
        <v>517.26</v>
      </c>
      <c r="G2758" s="6">
        <v>18000</v>
      </c>
      <c r="H2758" s="8">
        <f t="shared" si="43"/>
        <v>18000</v>
      </c>
      <c r="I2758" s="10">
        <v>1</v>
      </c>
    </row>
    <row r="2759" spans="1:9" ht="15.75" thickBot="1" x14ac:dyDescent="0.3">
      <c r="A2759" s="1">
        <v>43800</v>
      </c>
      <c r="B2759" s="8" t="s">
        <v>6</v>
      </c>
      <c r="C2759" t="s">
        <v>7</v>
      </c>
      <c r="D2759" t="s">
        <v>685</v>
      </c>
      <c r="E2759" t="s">
        <v>15</v>
      </c>
      <c r="F2759" s="9">
        <v>2141.7600000000002</v>
      </c>
      <c r="G2759" s="4">
        <v>18</v>
      </c>
      <c r="H2759" s="8">
        <f t="shared" si="43"/>
        <v>18</v>
      </c>
      <c r="I2759" s="10">
        <v>3</v>
      </c>
    </row>
    <row r="2760" spans="1:9" ht="15.75" thickBot="1" x14ac:dyDescent="0.3">
      <c r="A2760" s="1">
        <v>43800</v>
      </c>
      <c r="B2760" s="8" t="s">
        <v>6</v>
      </c>
      <c r="C2760" t="s">
        <v>7</v>
      </c>
      <c r="D2760" t="s">
        <v>685</v>
      </c>
      <c r="E2760" t="s">
        <v>10</v>
      </c>
      <c r="F2760" s="9">
        <v>183787.18</v>
      </c>
      <c r="G2760" s="6">
        <v>5977820.5</v>
      </c>
      <c r="H2760" s="8">
        <f t="shared" si="43"/>
        <v>5977.8204999999998</v>
      </c>
      <c r="I2760" s="10">
        <v>415</v>
      </c>
    </row>
    <row r="2761" spans="1:9" ht="15.75" thickBot="1" x14ac:dyDescent="0.3">
      <c r="A2761" s="1">
        <v>43800</v>
      </c>
      <c r="B2761" s="8" t="s">
        <v>6</v>
      </c>
      <c r="C2761" t="s">
        <v>7</v>
      </c>
      <c r="D2761" t="s">
        <v>685</v>
      </c>
      <c r="E2761" t="s">
        <v>11</v>
      </c>
      <c r="F2761" s="9">
        <v>1776.09</v>
      </c>
      <c r="G2761" s="6">
        <v>54000</v>
      </c>
      <c r="H2761" s="8">
        <f t="shared" si="43"/>
        <v>54000</v>
      </c>
      <c r="I2761" s="10">
        <v>7</v>
      </c>
    </row>
    <row r="2762" spans="1:9" ht="15.75" thickBot="1" x14ac:dyDescent="0.3">
      <c r="A2762" s="1">
        <v>43800</v>
      </c>
      <c r="B2762" s="8" t="s">
        <v>6</v>
      </c>
      <c r="C2762" t="s">
        <v>7</v>
      </c>
      <c r="D2762" t="s">
        <v>685</v>
      </c>
      <c r="E2762" t="s">
        <v>13</v>
      </c>
      <c r="F2762" s="9">
        <v>251.23</v>
      </c>
      <c r="G2762" s="6">
        <v>9000</v>
      </c>
      <c r="H2762" s="8">
        <f t="shared" si="43"/>
        <v>9000</v>
      </c>
      <c r="I2762" s="10">
        <v>1</v>
      </c>
    </row>
    <row r="2763" spans="1:9" ht="15.75" thickBot="1" x14ac:dyDescent="0.3">
      <c r="A2763" s="1">
        <v>43466</v>
      </c>
      <c r="B2763" s="8" t="s">
        <v>6</v>
      </c>
      <c r="C2763" t="s">
        <v>7</v>
      </c>
      <c r="D2763" t="s">
        <v>686</v>
      </c>
      <c r="E2763" t="s">
        <v>9</v>
      </c>
      <c r="F2763" s="9">
        <v>1433.01</v>
      </c>
      <c r="G2763" s="4">
        <v>45</v>
      </c>
      <c r="H2763" s="8">
        <f t="shared" si="43"/>
        <v>45</v>
      </c>
      <c r="I2763" s="10">
        <v>2</v>
      </c>
    </row>
    <row r="2764" spans="1:9" ht="15.75" thickBot="1" x14ac:dyDescent="0.3">
      <c r="A2764" s="1">
        <v>43466</v>
      </c>
      <c r="B2764" s="8" t="s">
        <v>6</v>
      </c>
      <c r="C2764" t="s">
        <v>7</v>
      </c>
      <c r="D2764" t="s">
        <v>686</v>
      </c>
      <c r="E2764" t="s">
        <v>15</v>
      </c>
      <c r="F2764" s="9">
        <v>48010.13</v>
      </c>
      <c r="G2764" s="7">
        <v>343361.72100000002</v>
      </c>
      <c r="H2764" s="8">
        <f t="shared" si="43"/>
        <v>343361.72100000002</v>
      </c>
      <c r="I2764" s="10">
        <v>177</v>
      </c>
    </row>
    <row r="2765" spans="1:9" ht="15.75" thickBot="1" x14ac:dyDescent="0.3">
      <c r="A2765" s="1">
        <v>43466</v>
      </c>
      <c r="B2765" s="8" t="s">
        <v>6</v>
      </c>
      <c r="C2765" t="s">
        <v>7</v>
      </c>
      <c r="D2765" t="s">
        <v>686</v>
      </c>
      <c r="E2765" t="s">
        <v>10</v>
      </c>
      <c r="F2765" s="9">
        <v>83008.97</v>
      </c>
      <c r="G2765" s="6">
        <v>14828364.297</v>
      </c>
      <c r="H2765" s="8">
        <f t="shared" si="43"/>
        <v>14828.364297</v>
      </c>
      <c r="I2765" s="10">
        <v>1659</v>
      </c>
    </row>
    <row r="2766" spans="1:9" ht="15.75" thickBot="1" x14ac:dyDescent="0.3">
      <c r="A2766" s="1">
        <v>43800</v>
      </c>
      <c r="B2766" s="8" t="s">
        <v>6</v>
      </c>
      <c r="C2766" t="s">
        <v>7</v>
      </c>
      <c r="D2766" t="s">
        <v>686</v>
      </c>
      <c r="E2766" t="s">
        <v>11</v>
      </c>
      <c r="F2766" s="9">
        <v>11025.26</v>
      </c>
      <c r="G2766" s="4">
        <v>331</v>
      </c>
      <c r="H2766" s="8">
        <f t="shared" si="43"/>
        <v>331</v>
      </c>
      <c r="I2766" s="10">
        <v>21</v>
      </c>
    </row>
    <row r="2767" spans="1:9" ht="15.75" thickBot="1" x14ac:dyDescent="0.3">
      <c r="A2767" s="1">
        <v>43800</v>
      </c>
      <c r="B2767" s="8" t="s">
        <v>6</v>
      </c>
      <c r="C2767" t="s">
        <v>7</v>
      </c>
      <c r="D2767" t="s">
        <v>687</v>
      </c>
      <c r="E2767" t="s">
        <v>9</v>
      </c>
      <c r="F2767" s="9">
        <v>919.6</v>
      </c>
      <c r="G2767" s="4">
        <v>30</v>
      </c>
      <c r="H2767" s="8">
        <f t="shared" si="43"/>
        <v>30</v>
      </c>
      <c r="I2767" s="10">
        <v>1</v>
      </c>
    </row>
    <row r="2768" spans="1:9" ht="15.75" thickBot="1" x14ac:dyDescent="0.3">
      <c r="A2768" s="1">
        <v>43800</v>
      </c>
      <c r="B2768" s="8" t="s">
        <v>6</v>
      </c>
      <c r="C2768" t="s">
        <v>7</v>
      </c>
      <c r="D2768" t="s">
        <v>687</v>
      </c>
      <c r="E2768" t="s">
        <v>10</v>
      </c>
      <c r="F2768" s="9">
        <v>33289.01</v>
      </c>
      <c r="G2768" s="6">
        <v>1026342.716</v>
      </c>
      <c r="H2768" s="8">
        <f t="shared" si="43"/>
        <v>1026.3427160000001</v>
      </c>
      <c r="I2768" s="10">
        <v>115</v>
      </c>
    </row>
    <row r="2769" spans="1:9" ht="15.75" thickBot="1" x14ac:dyDescent="0.3">
      <c r="A2769" s="1">
        <v>43800</v>
      </c>
      <c r="B2769" s="8" t="s">
        <v>6</v>
      </c>
      <c r="C2769" t="s">
        <v>7</v>
      </c>
      <c r="D2769" t="s">
        <v>688</v>
      </c>
      <c r="E2769" t="s">
        <v>9</v>
      </c>
      <c r="F2769" s="9">
        <v>100</v>
      </c>
      <c r="G2769" s="4">
        <v>0</v>
      </c>
      <c r="H2769" s="8">
        <f t="shared" si="43"/>
        <v>0</v>
      </c>
      <c r="I2769" s="10">
        <v>1</v>
      </c>
    </row>
    <row r="2770" spans="1:9" ht="15.75" thickBot="1" x14ac:dyDescent="0.3">
      <c r="A2770" s="1">
        <v>43466</v>
      </c>
      <c r="B2770" s="8" t="s">
        <v>6</v>
      </c>
      <c r="C2770" t="s">
        <v>7</v>
      </c>
      <c r="D2770" t="s">
        <v>688</v>
      </c>
      <c r="E2770" t="s">
        <v>15</v>
      </c>
      <c r="F2770" s="9">
        <v>1485.55</v>
      </c>
      <c r="G2770" s="4">
        <v>17</v>
      </c>
      <c r="H2770" s="8">
        <f t="shared" si="43"/>
        <v>17</v>
      </c>
      <c r="I2770" s="10">
        <v>2</v>
      </c>
    </row>
    <row r="2771" spans="1:9" ht="15.75" thickBot="1" x14ac:dyDescent="0.3">
      <c r="A2771" s="1">
        <v>43466</v>
      </c>
      <c r="B2771" s="8" t="s">
        <v>6</v>
      </c>
      <c r="C2771" t="s">
        <v>7</v>
      </c>
      <c r="D2771" t="s">
        <v>688</v>
      </c>
      <c r="E2771" t="s">
        <v>10</v>
      </c>
      <c r="F2771" s="9">
        <v>43724.639999999999</v>
      </c>
      <c r="G2771" s="6">
        <v>1680958.7139999999</v>
      </c>
      <c r="H2771" s="8">
        <f t="shared" si="43"/>
        <v>1680.9587139999999</v>
      </c>
      <c r="I2771" s="10">
        <v>205</v>
      </c>
    </row>
    <row r="2772" spans="1:9" ht="15.75" thickBot="1" x14ac:dyDescent="0.3">
      <c r="A2772" s="1">
        <v>43466</v>
      </c>
      <c r="B2772" s="8" t="s">
        <v>6</v>
      </c>
      <c r="C2772" t="s">
        <v>7</v>
      </c>
      <c r="D2772" t="s">
        <v>688</v>
      </c>
      <c r="E2772" t="s">
        <v>11</v>
      </c>
      <c r="F2772" s="9">
        <v>8331.76</v>
      </c>
      <c r="G2772" s="4">
        <v>246</v>
      </c>
      <c r="H2772" s="8">
        <f t="shared" si="43"/>
        <v>246</v>
      </c>
      <c r="I2772" s="10">
        <v>6</v>
      </c>
    </row>
    <row r="2773" spans="1:9" ht="15.75" thickBot="1" x14ac:dyDescent="0.3">
      <c r="A2773" s="1">
        <v>43800</v>
      </c>
      <c r="B2773" s="8" t="s">
        <v>6</v>
      </c>
      <c r="C2773" t="s">
        <v>7</v>
      </c>
      <c r="D2773" t="s">
        <v>688</v>
      </c>
      <c r="E2773" t="s">
        <v>13</v>
      </c>
      <c r="F2773" s="9">
        <v>100.73</v>
      </c>
      <c r="G2773" s="6">
        <v>3000</v>
      </c>
      <c r="H2773" s="8">
        <f t="shared" si="43"/>
        <v>3000</v>
      </c>
      <c r="I2773" s="10">
        <v>1</v>
      </c>
    </row>
    <row r="2774" spans="1:9" ht="15.75" thickBot="1" x14ac:dyDescent="0.3">
      <c r="A2774" s="1">
        <v>43800</v>
      </c>
      <c r="B2774" s="8" t="s">
        <v>6</v>
      </c>
      <c r="C2774" t="s">
        <v>7</v>
      </c>
      <c r="D2774" t="s">
        <v>689</v>
      </c>
      <c r="E2774" t="s">
        <v>9</v>
      </c>
      <c r="F2774" s="9">
        <v>625</v>
      </c>
      <c r="G2774" s="4">
        <v>0</v>
      </c>
      <c r="H2774" s="8">
        <f t="shared" si="43"/>
        <v>0</v>
      </c>
      <c r="I2774" s="10">
        <v>1</v>
      </c>
    </row>
    <row r="2775" spans="1:9" ht="15.75" thickBot="1" x14ac:dyDescent="0.3">
      <c r="A2775" s="1">
        <v>43800</v>
      </c>
      <c r="B2775" s="8" t="s">
        <v>6</v>
      </c>
      <c r="C2775" t="s">
        <v>7</v>
      </c>
      <c r="D2775" t="s">
        <v>689</v>
      </c>
      <c r="E2775" t="s">
        <v>17</v>
      </c>
      <c r="F2775" s="9">
        <v>17055.080000000002</v>
      </c>
      <c r="G2775" s="4">
        <v>510</v>
      </c>
      <c r="H2775" s="8">
        <f t="shared" si="43"/>
        <v>510</v>
      </c>
      <c r="I2775" s="10">
        <v>2</v>
      </c>
    </row>
    <row r="2776" spans="1:9" ht="15.75" thickBot="1" x14ac:dyDescent="0.3">
      <c r="A2776" s="1">
        <v>43800</v>
      </c>
      <c r="B2776" s="8" t="s">
        <v>6</v>
      </c>
      <c r="C2776" t="s">
        <v>7</v>
      </c>
      <c r="D2776" t="s">
        <v>689</v>
      </c>
      <c r="E2776" t="s">
        <v>11</v>
      </c>
      <c r="F2776" s="9">
        <v>10681.78</v>
      </c>
      <c r="G2776" s="4">
        <v>202</v>
      </c>
      <c r="H2776" s="8">
        <f t="shared" si="43"/>
        <v>202</v>
      </c>
      <c r="I2776" s="10">
        <v>4</v>
      </c>
    </row>
    <row r="2777" spans="1:9" ht="15.75" thickBot="1" x14ac:dyDescent="0.3">
      <c r="A2777" s="1">
        <v>43466</v>
      </c>
      <c r="B2777" s="8" t="s">
        <v>6</v>
      </c>
      <c r="C2777" t="s">
        <v>7</v>
      </c>
      <c r="D2777" t="s">
        <v>690</v>
      </c>
      <c r="E2777" t="s">
        <v>10</v>
      </c>
      <c r="F2777" s="9">
        <v>140158.53</v>
      </c>
      <c r="G2777" s="7">
        <v>2723681.719</v>
      </c>
      <c r="H2777" s="8">
        <f t="shared" si="43"/>
        <v>2723.6817190000002</v>
      </c>
      <c r="I2777" s="10">
        <v>247</v>
      </c>
    </row>
    <row r="2778" spans="1:9" ht="15.75" thickBot="1" x14ac:dyDescent="0.3">
      <c r="A2778" s="1">
        <v>43466</v>
      </c>
      <c r="B2778" s="8" t="s">
        <v>6</v>
      </c>
      <c r="C2778" t="s">
        <v>7</v>
      </c>
      <c r="D2778" t="s">
        <v>690</v>
      </c>
      <c r="E2778" t="s">
        <v>11</v>
      </c>
      <c r="F2778" s="9">
        <v>788.51</v>
      </c>
      <c r="G2778" s="6">
        <v>2411.11</v>
      </c>
      <c r="H2778" s="8">
        <f t="shared" si="43"/>
        <v>2411.11</v>
      </c>
      <c r="I2778" s="10">
        <v>9</v>
      </c>
    </row>
    <row r="2779" spans="1:9" ht="15.75" thickBot="1" x14ac:dyDescent="0.3">
      <c r="A2779" s="1">
        <v>43466</v>
      </c>
      <c r="B2779" s="8" t="s">
        <v>6</v>
      </c>
      <c r="C2779" t="s">
        <v>7</v>
      </c>
      <c r="D2779" t="s">
        <v>690</v>
      </c>
      <c r="E2779" t="s">
        <v>13</v>
      </c>
      <c r="F2779" s="9">
        <v>1400.55</v>
      </c>
      <c r="G2779" s="7">
        <v>12521</v>
      </c>
      <c r="H2779" s="8">
        <f t="shared" si="43"/>
        <v>12521</v>
      </c>
      <c r="I2779" s="10">
        <v>2</v>
      </c>
    </row>
    <row r="2780" spans="1:9" ht="15.75" thickBot="1" x14ac:dyDescent="0.3">
      <c r="A2780" s="1">
        <v>43800</v>
      </c>
      <c r="B2780" s="8" t="s">
        <v>6</v>
      </c>
      <c r="C2780" t="s">
        <v>7</v>
      </c>
      <c r="D2780" t="s">
        <v>691</v>
      </c>
      <c r="E2780" t="s">
        <v>9</v>
      </c>
      <c r="F2780" s="9">
        <v>45349.86</v>
      </c>
      <c r="G2780" s="7">
        <v>85093.501000000004</v>
      </c>
      <c r="H2780" s="8">
        <f t="shared" si="43"/>
        <v>85093.501000000004</v>
      </c>
      <c r="I2780" s="10">
        <v>20</v>
      </c>
    </row>
    <row r="2781" spans="1:9" ht="15.75" thickBot="1" x14ac:dyDescent="0.3">
      <c r="A2781" s="1">
        <v>43800</v>
      </c>
      <c r="B2781" s="8" t="s">
        <v>6</v>
      </c>
      <c r="C2781" t="s">
        <v>7</v>
      </c>
      <c r="D2781" t="s">
        <v>691</v>
      </c>
      <c r="E2781" t="s">
        <v>15</v>
      </c>
      <c r="F2781" s="9">
        <v>12672.42</v>
      </c>
      <c r="G2781" s="4">
        <v>525</v>
      </c>
      <c r="H2781" s="8">
        <f t="shared" si="43"/>
        <v>525</v>
      </c>
      <c r="I2781" s="10">
        <v>6</v>
      </c>
    </row>
    <row r="2782" spans="1:9" ht="15.75" thickBot="1" x14ac:dyDescent="0.3">
      <c r="A2782" s="1">
        <v>43800</v>
      </c>
      <c r="B2782" s="8" t="s">
        <v>6</v>
      </c>
      <c r="C2782" t="s">
        <v>7</v>
      </c>
      <c r="D2782" t="s">
        <v>691</v>
      </c>
      <c r="E2782" t="s">
        <v>10</v>
      </c>
      <c r="F2782" s="9">
        <v>562797.6</v>
      </c>
      <c r="G2782" s="6">
        <v>21185205.059999999</v>
      </c>
      <c r="H2782" s="8">
        <f t="shared" si="43"/>
        <v>21185.20506</v>
      </c>
      <c r="I2782" s="10">
        <v>1029</v>
      </c>
    </row>
    <row r="2783" spans="1:9" ht="15.75" thickBot="1" x14ac:dyDescent="0.3">
      <c r="A2783" s="1">
        <v>43800</v>
      </c>
      <c r="B2783" s="8" t="s">
        <v>6</v>
      </c>
      <c r="C2783" t="s">
        <v>7</v>
      </c>
      <c r="D2783" t="s">
        <v>691</v>
      </c>
      <c r="E2783" t="s">
        <v>17</v>
      </c>
      <c r="F2783" s="9">
        <v>13648.4</v>
      </c>
      <c r="G2783" s="4">
        <v>321</v>
      </c>
      <c r="H2783" s="8">
        <f t="shared" si="43"/>
        <v>321</v>
      </c>
      <c r="I2783" s="10">
        <v>6</v>
      </c>
    </row>
    <row r="2784" spans="1:9" ht="15.75" thickBot="1" x14ac:dyDescent="0.3">
      <c r="A2784" s="1">
        <v>43466</v>
      </c>
      <c r="B2784" s="8" t="s">
        <v>6</v>
      </c>
      <c r="C2784" t="s">
        <v>7</v>
      </c>
      <c r="D2784" t="s">
        <v>691</v>
      </c>
      <c r="E2784" t="s">
        <v>11</v>
      </c>
      <c r="F2784" s="9">
        <v>27810.01</v>
      </c>
      <c r="G2784" s="7">
        <v>47037.786999999997</v>
      </c>
      <c r="H2784" s="8">
        <f t="shared" si="43"/>
        <v>47037.786999999997</v>
      </c>
      <c r="I2784" s="10">
        <v>16</v>
      </c>
    </row>
    <row r="2785" spans="1:9" ht="15.75" thickBot="1" x14ac:dyDescent="0.3">
      <c r="A2785" s="1">
        <v>43466</v>
      </c>
      <c r="B2785" s="8" t="s">
        <v>6</v>
      </c>
      <c r="C2785" t="s">
        <v>7</v>
      </c>
      <c r="D2785" t="s">
        <v>691</v>
      </c>
      <c r="E2785" t="s">
        <v>13</v>
      </c>
      <c r="F2785" s="9">
        <v>4617.5200000000004</v>
      </c>
      <c r="G2785" s="7">
        <v>107032</v>
      </c>
      <c r="H2785" s="8">
        <f t="shared" si="43"/>
        <v>107032</v>
      </c>
      <c r="I2785" s="10">
        <v>9</v>
      </c>
    </row>
    <row r="2786" spans="1:9" ht="15.75" thickBot="1" x14ac:dyDescent="0.3">
      <c r="A2786" s="1">
        <v>43466</v>
      </c>
      <c r="B2786" s="8" t="s">
        <v>6</v>
      </c>
      <c r="C2786" t="s">
        <v>7</v>
      </c>
      <c r="D2786" t="s">
        <v>692</v>
      </c>
      <c r="E2786" t="s">
        <v>9</v>
      </c>
      <c r="F2786" s="9">
        <v>-42660.17</v>
      </c>
      <c r="G2786" s="7">
        <v>169028.70800000001</v>
      </c>
      <c r="H2786" s="8">
        <f t="shared" si="43"/>
        <v>169028.70800000001</v>
      </c>
      <c r="I2786" s="10">
        <v>11</v>
      </c>
    </row>
    <row r="2787" spans="1:9" ht="15.75" thickBot="1" x14ac:dyDescent="0.3">
      <c r="A2787" s="1">
        <v>43800</v>
      </c>
      <c r="B2787" s="8" t="s">
        <v>6</v>
      </c>
      <c r="C2787" t="s">
        <v>7</v>
      </c>
      <c r="D2787" t="s">
        <v>692</v>
      </c>
      <c r="E2787" t="s">
        <v>15</v>
      </c>
      <c r="F2787" s="9">
        <v>1176.1199999999999</v>
      </c>
      <c r="G2787" s="4">
        <v>41</v>
      </c>
      <c r="H2787" s="8">
        <f t="shared" si="43"/>
        <v>41</v>
      </c>
      <c r="I2787" s="10">
        <v>1</v>
      </c>
    </row>
    <row r="2788" spans="1:9" ht="15.75" thickBot="1" x14ac:dyDescent="0.3">
      <c r="A2788" s="1">
        <v>43800</v>
      </c>
      <c r="B2788" s="8" t="s">
        <v>6</v>
      </c>
      <c r="C2788" t="s">
        <v>7</v>
      </c>
      <c r="D2788" t="s">
        <v>692</v>
      </c>
      <c r="E2788" t="s">
        <v>10</v>
      </c>
      <c r="F2788" s="9">
        <v>293663.35999999999</v>
      </c>
      <c r="G2788" s="7">
        <v>12995620.079</v>
      </c>
      <c r="H2788" s="8">
        <f t="shared" si="43"/>
        <v>12995.620079</v>
      </c>
      <c r="I2788" s="10">
        <v>223</v>
      </c>
    </row>
    <row r="2789" spans="1:9" ht="15.75" thickBot="1" x14ac:dyDescent="0.3">
      <c r="A2789" s="1">
        <v>43800</v>
      </c>
      <c r="B2789" s="8" t="s">
        <v>6</v>
      </c>
      <c r="C2789" t="s">
        <v>7</v>
      </c>
      <c r="D2789" t="s">
        <v>692</v>
      </c>
      <c r="E2789" t="s">
        <v>11</v>
      </c>
      <c r="F2789" s="9">
        <v>77322.94</v>
      </c>
      <c r="G2789" s="7">
        <v>1074825.32</v>
      </c>
      <c r="H2789" s="8">
        <f t="shared" si="43"/>
        <v>1074825.32</v>
      </c>
      <c r="I2789" s="10">
        <v>13</v>
      </c>
    </row>
    <row r="2790" spans="1:9" ht="15.75" thickBot="1" x14ac:dyDescent="0.3">
      <c r="A2790" s="1">
        <v>43800</v>
      </c>
      <c r="B2790" s="8" t="s">
        <v>6</v>
      </c>
      <c r="C2790" t="s">
        <v>7</v>
      </c>
      <c r="D2790" t="s">
        <v>692</v>
      </c>
      <c r="E2790" t="s">
        <v>13</v>
      </c>
      <c r="F2790" s="9">
        <v>408.72</v>
      </c>
      <c r="G2790" s="6">
        <v>16000</v>
      </c>
      <c r="H2790" s="8">
        <f t="shared" si="43"/>
        <v>16000</v>
      </c>
      <c r="I2790" s="10">
        <v>1</v>
      </c>
    </row>
    <row r="2791" spans="1:9" ht="15.75" thickBot="1" x14ac:dyDescent="0.3">
      <c r="A2791" s="1">
        <v>43466</v>
      </c>
      <c r="B2791" s="8" t="s">
        <v>6</v>
      </c>
      <c r="C2791" t="s">
        <v>7</v>
      </c>
      <c r="D2791" t="s">
        <v>693</v>
      </c>
      <c r="E2791" t="s">
        <v>9</v>
      </c>
      <c r="F2791" s="9">
        <v>12899.12</v>
      </c>
      <c r="G2791" s="4">
        <v>291</v>
      </c>
      <c r="H2791" s="8">
        <f t="shared" si="43"/>
        <v>291</v>
      </c>
      <c r="I2791" s="10">
        <v>6</v>
      </c>
    </row>
    <row r="2792" spans="1:9" ht="15.75" thickBot="1" x14ac:dyDescent="0.3">
      <c r="A2792" s="1">
        <v>43466</v>
      </c>
      <c r="B2792" s="8" t="s">
        <v>6</v>
      </c>
      <c r="C2792" t="s">
        <v>7</v>
      </c>
      <c r="D2792" t="s">
        <v>693</v>
      </c>
      <c r="E2792" t="s">
        <v>15</v>
      </c>
      <c r="F2792" s="9">
        <v>881</v>
      </c>
      <c r="G2792" s="4">
        <v>0</v>
      </c>
      <c r="H2792" s="8">
        <f t="shared" si="43"/>
        <v>0</v>
      </c>
      <c r="I2792" s="10">
        <v>3</v>
      </c>
    </row>
    <row r="2793" spans="1:9" ht="15.75" thickBot="1" x14ac:dyDescent="0.3">
      <c r="A2793" s="1">
        <v>43466</v>
      </c>
      <c r="B2793" s="8" t="s">
        <v>6</v>
      </c>
      <c r="C2793" t="s">
        <v>7</v>
      </c>
      <c r="D2793" t="s">
        <v>693</v>
      </c>
      <c r="E2793" t="s">
        <v>10</v>
      </c>
      <c r="F2793" s="9">
        <v>217841.11</v>
      </c>
      <c r="G2793" s="6">
        <v>8469753.284</v>
      </c>
      <c r="H2793" s="8">
        <f t="shared" si="43"/>
        <v>8469.7532840000003</v>
      </c>
      <c r="I2793" s="10">
        <v>674</v>
      </c>
    </row>
    <row r="2794" spans="1:9" ht="15.75" thickBot="1" x14ac:dyDescent="0.3">
      <c r="A2794" s="1">
        <v>43800</v>
      </c>
      <c r="B2794" s="8" t="s">
        <v>6</v>
      </c>
      <c r="C2794" t="s">
        <v>7</v>
      </c>
      <c r="D2794" t="s">
        <v>693</v>
      </c>
      <c r="E2794" t="s">
        <v>11</v>
      </c>
      <c r="F2794" s="9">
        <v>12652.04</v>
      </c>
      <c r="G2794" s="4">
        <v>268</v>
      </c>
      <c r="H2794" s="8">
        <f t="shared" si="43"/>
        <v>268</v>
      </c>
      <c r="I2794" s="10">
        <v>14</v>
      </c>
    </row>
    <row r="2795" spans="1:9" ht="15.75" thickBot="1" x14ac:dyDescent="0.3">
      <c r="A2795" s="1">
        <v>43800</v>
      </c>
      <c r="B2795" s="8" t="s">
        <v>6</v>
      </c>
      <c r="C2795" t="s">
        <v>7</v>
      </c>
      <c r="D2795" t="s">
        <v>693</v>
      </c>
      <c r="E2795" t="s">
        <v>13</v>
      </c>
      <c r="F2795" s="9">
        <v>2056.88</v>
      </c>
      <c r="G2795" s="6">
        <v>71000</v>
      </c>
      <c r="H2795" s="8">
        <f t="shared" si="43"/>
        <v>71000</v>
      </c>
      <c r="I2795" s="10">
        <v>7</v>
      </c>
    </row>
    <row r="2796" spans="1:9" ht="15.75" thickBot="1" x14ac:dyDescent="0.3">
      <c r="A2796" s="1">
        <v>43800</v>
      </c>
      <c r="B2796" s="8" t="s">
        <v>6</v>
      </c>
      <c r="C2796" t="s">
        <v>7</v>
      </c>
      <c r="D2796" t="s">
        <v>694</v>
      </c>
      <c r="E2796" t="s">
        <v>9</v>
      </c>
      <c r="F2796" s="9">
        <v>264328.76</v>
      </c>
      <c r="G2796" s="4">
        <v>9086</v>
      </c>
      <c r="H2796" s="8">
        <f t="shared" si="43"/>
        <v>9086</v>
      </c>
      <c r="I2796" s="10">
        <v>16</v>
      </c>
    </row>
    <row r="2797" spans="1:9" ht="15.75" thickBot="1" x14ac:dyDescent="0.3">
      <c r="A2797" s="1">
        <v>43800</v>
      </c>
      <c r="B2797" s="8" t="s">
        <v>6</v>
      </c>
      <c r="C2797" t="s">
        <v>7</v>
      </c>
      <c r="D2797" t="s">
        <v>694</v>
      </c>
      <c r="E2797" t="s">
        <v>15</v>
      </c>
      <c r="F2797" s="9">
        <v>10313.92</v>
      </c>
      <c r="G2797" s="4">
        <v>73</v>
      </c>
      <c r="H2797" s="8">
        <f t="shared" si="43"/>
        <v>73</v>
      </c>
      <c r="I2797" s="10">
        <v>13</v>
      </c>
    </row>
    <row r="2798" spans="1:9" ht="15.75" thickBot="1" x14ac:dyDescent="0.3">
      <c r="A2798" s="1">
        <v>43466</v>
      </c>
      <c r="B2798" s="8" t="s">
        <v>6</v>
      </c>
      <c r="C2798" t="s">
        <v>7</v>
      </c>
      <c r="D2798" t="s">
        <v>694</v>
      </c>
      <c r="E2798" t="s">
        <v>10</v>
      </c>
      <c r="F2798" s="9">
        <v>560537.27</v>
      </c>
      <c r="G2798" s="7">
        <v>18365499.355</v>
      </c>
      <c r="H2798" s="8">
        <f t="shared" si="43"/>
        <v>18365.499355</v>
      </c>
      <c r="I2798" s="10">
        <v>1732</v>
      </c>
    </row>
    <row r="2799" spans="1:9" ht="15.75" thickBot="1" x14ac:dyDescent="0.3">
      <c r="A2799" s="1">
        <v>43466</v>
      </c>
      <c r="B2799" s="8" t="s">
        <v>6</v>
      </c>
      <c r="C2799" t="s">
        <v>7</v>
      </c>
      <c r="D2799" t="s">
        <v>694</v>
      </c>
      <c r="E2799" t="s">
        <v>11</v>
      </c>
      <c r="F2799" s="9">
        <v>23307.61</v>
      </c>
      <c r="G2799" s="7">
        <v>18463.826000000001</v>
      </c>
      <c r="H2799" s="8">
        <f t="shared" si="43"/>
        <v>18463.826000000001</v>
      </c>
      <c r="I2799" s="10">
        <v>32</v>
      </c>
    </row>
    <row r="2800" spans="1:9" ht="15.75" thickBot="1" x14ac:dyDescent="0.3">
      <c r="A2800" s="1">
        <v>43466</v>
      </c>
      <c r="B2800" s="8" t="s">
        <v>6</v>
      </c>
      <c r="C2800" t="s">
        <v>7</v>
      </c>
      <c r="D2800" t="s">
        <v>694</v>
      </c>
      <c r="E2800" t="s">
        <v>13</v>
      </c>
      <c r="F2800" s="9">
        <v>24213.08</v>
      </c>
      <c r="G2800" s="6">
        <v>1211004.25</v>
      </c>
      <c r="H2800" s="8">
        <f t="shared" si="43"/>
        <v>1211004.25</v>
      </c>
      <c r="I2800" s="10">
        <v>6</v>
      </c>
    </row>
    <row r="2801" spans="1:9" ht="15.75" thickBot="1" x14ac:dyDescent="0.3">
      <c r="A2801" s="1">
        <v>43800</v>
      </c>
      <c r="B2801" s="8" t="s">
        <v>6</v>
      </c>
      <c r="C2801" t="s">
        <v>7</v>
      </c>
      <c r="D2801" t="s">
        <v>695</v>
      </c>
      <c r="E2801" t="s">
        <v>9</v>
      </c>
      <c r="F2801" s="9">
        <v>80998.91</v>
      </c>
      <c r="G2801" s="4">
        <v>2353</v>
      </c>
      <c r="H2801" s="8">
        <f t="shared" si="43"/>
        <v>2353</v>
      </c>
      <c r="I2801" s="10">
        <v>63</v>
      </c>
    </row>
    <row r="2802" spans="1:9" ht="15.75" thickBot="1" x14ac:dyDescent="0.3">
      <c r="A2802" s="1">
        <v>43800</v>
      </c>
      <c r="B2802" s="8" t="s">
        <v>6</v>
      </c>
      <c r="C2802" t="s">
        <v>7</v>
      </c>
      <c r="D2802" t="s">
        <v>695</v>
      </c>
      <c r="E2802" t="s">
        <v>15</v>
      </c>
      <c r="F2802" s="9">
        <v>891.31</v>
      </c>
      <c r="G2802" s="4">
        <v>4</v>
      </c>
      <c r="H2802" s="8">
        <f t="shared" si="43"/>
        <v>4</v>
      </c>
      <c r="I2802" s="10">
        <v>4</v>
      </c>
    </row>
    <row r="2803" spans="1:9" ht="15.75" thickBot="1" x14ac:dyDescent="0.3">
      <c r="A2803" s="1">
        <v>43800</v>
      </c>
      <c r="B2803" s="8" t="s">
        <v>6</v>
      </c>
      <c r="C2803" t="s">
        <v>7</v>
      </c>
      <c r="D2803" t="s">
        <v>695</v>
      </c>
      <c r="E2803" t="s">
        <v>10</v>
      </c>
      <c r="F2803" s="9">
        <v>662761.89</v>
      </c>
      <c r="G2803" s="7">
        <v>24590304.465999998</v>
      </c>
      <c r="H2803" s="8">
        <f t="shared" si="43"/>
        <v>24590.304465999998</v>
      </c>
      <c r="I2803" s="10">
        <v>1619</v>
      </c>
    </row>
    <row r="2804" spans="1:9" ht="15.75" thickBot="1" x14ac:dyDescent="0.3">
      <c r="A2804" s="1">
        <v>43800</v>
      </c>
      <c r="B2804" s="8" t="s">
        <v>6</v>
      </c>
      <c r="C2804" t="s">
        <v>7</v>
      </c>
      <c r="D2804" t="s">
        <v>695</v>
      </c>
      <c r="E2804" t="s">
        <v>11</v>
      </c>
      <c r="F2804" s="9">
        <v>64093.98</v>
      </c>
      <c r="G2804" s="7">
        <v>2340175.4730000002</v>
      </c>
      <c r="H2804" s="8">
        <f t="shared" si="43"/>
        <v>2340175.4730000002</v>
      </c>
      <c r="I2804" s="10">
        <v>21</v>
      </c>
    </row>
    <row r="2805" spans="1:9" ht="15.75" thickBot="1" x14ac:dyDescent="0.3">
      <c r="A2805" s="1">
        <v>43466</v>
      </c>
      <c r="B2805" s="8" t="s">
        <v>6</v>
      </c>
      <c r="C2805" t="s">
        <v>7</v>
      </c>
      <c r="D2805" t="s">
        <v>695</v>
      </c>
      <c r="E2805" t="s">
        <v>13</v>
      </c>
      <c r="F2805" s="9">
        <v>6942.64</v>
      </c>
      <c r="G2805" s="6">
        <v>264531.5</v>
      </c>
      <c r="H2805" s="8">
        <f t="shared" si="43"/>
        <v>264531.5</v>
      </c>
      <c r="I2805" s="10">
        <v>10</v>
      </c>
    </row>
    <row r="2806" spans="1:9" ht="15.75" thickBot="1" x14ac:dyDescent="0.3">
      <c r="A2806" s="1">
        <v>43466</v>
      </c>
      <c r="B2806" s="8" t="s">
        <v>6</v>
      </c>
      <c r="C2806" t="s">
        <v>7</v>
      </c>
      <c r="D2806" t="s">
        <v>696</v>
      </c>
      <c r="E2806" t="s">
        <v>9</v>
      </c>
      <c r="F2806" s="9">
        <v>252683.05</v>
      </c>
      <c r="G2806" s="4">
        <v>8097</v>
      </c>
      <c r="H2806" s="8">
        <f t="shared" si="43"/>
        <v>8097</v>
      </c>
      <c r="I2806" s="10">
        <v>10</v>
      </c>
    </row>
    <row r="2807" spans="1:9" ht="15.75" thickBot="1" x14ac:dyDescent="0.3">
      <c r="A2807" s="1">
        <v>43466</v>
      </c>
      <c r="B2807" s="8" t="s">
        <v>6</v>
      </c>
      <c r="C2807" t="s">
        <v>7</v>
      </c>
      <c r="D2807" t="s">
        <v>696</v>
      </c>
      <c r="E2807" t="s">
        <v>15</v>
      </c>
      <c r="F2807" s="9">
        <v>30876.29</v>
      </c>
      <c r="G2807" s="4">
        <v>853</v>
      </c>
      <c r="H2807" s="8">
        <f t="shared" si="43"/>
        <v>853</v>
      </c>
      <c r="I2807" s="10">
        <v>6</v>
      </c>
    </row>
    <row r="2808" spans="1:9" ht="15.75" thickBot="1" x14ac:dyDescent="0.3">
      <c r="A2808" s="1">
        <v>43800</v>
      </c>
      <c r="B2808" s="8" t="s">
        <v>6</v>
      </c>
      <c r="C2808" t="s">
        <v>7</v>
      </c>
      <c r="D2808" t="s">
        <v>696</v>
      </c>
      <c r="E2808" t="s">
        <v>10</v>
      </c>
      <c r="F2808" s="9">
        <v>56</v>
      </c>
      <c r="G2808" s="6">
        <v>88000</v>
      </c>
      <c r="H2808" s="8">
        <f t="shared" si="43"/>
        <v>88</v>
      </c>
      <c r="I2808" s="10">
        <v>5</v>
      </c>
    </row>
    <row r="2809" spans="1:9" ht="15.75" thickBot="1" x14ac:dyDescent="0.3">
      <c r="A2809" s="1">
        <v>43800</v>
      </c>
      <c r="B2809" s="8" t="s">
        <v>6</v>
      </c>
      <c r="C2809" t="s">
        <v>7</v>
      </c>
      <c r="D2809" t="s">
        <v>696</v>
      </c>
      <c r="E2809" t="s">
        <v>11</v>
      </c>
      <c r="F2809" s="9">
        <v>244.71</v>
      </c>
      <c r="G2809" s="5">
        <v>0</v>
      </c>
      <c r="H2809" s="8">
        <f t="shared" si="43"/>
        <v>0</v>
      </c>
      <c r="I2809" s="10">
        <v>3</v>
      </c>
    </row>
    <row r="2810" spans="1:9" ht="15.75" thickBot="1" x14ac:dyDescent="0.3">
      <c r="A2810" s="1">
        <v>43800</v>
      </c>
      <c r="B2810" s="8" t="s">
        <v>6</v>
      </c>
      <c r="C2810" t="s">
        <v>7</v>
      </c>
      <c r="D2810" t="s">
        <v>697</v>
      </c>
      <c r="E2810" t="s">
        <v>10</v>
      </c>
      <c r="F2810" s="9">
        <v>19884.490000000002</v>
      </c>
      <c r="G2810" s="6">
        <v>760000</v>
      </c>
      <c r="H2810" s="8">
        <f t="shared" si="43"/>
        <v>760</v>
      </c>
      <c r="I2810" s="10">
        <v>5</v>
      </c>
    </row>
    <row r="2811" spans="1:9" ht="15.75" thickBot="1" x14ac:dyDescent="0.3">
      <c r="A2811" s="1">
        <v>43800</v>
      </c>
      <c r="B2811" s="8" t="s">
        <v>6</v>
      </c>
      <c r="C2811" t="s">
        <v>7</v>
      </c>
      <c r="D2811" t="s">
        <v>698</v>
      </c>
      <c r="E2811" t="s">
        <v>9</v>
      </c>
      <c r="F2811" s="9">
        <v>185161.69</v>
      </c>
      <c r="G2811" s="4">
        <v>4330</v>
      </c>
      <c r="H2811" s="8">
        <f t="shared" si="43"/>
        <v>4330</v>
      </c>
      <c r="I2811" s="10">
        <v>140</v>
      </c>
    </row>
    <row r="2812" spans="1:9" ht="15.75" thickBot="1" x14ac:dyDescent="0.3">
      <c r="A2812" s="1">
        <v>43466</v>
      </c>
      <c r="B2812" s="8" t="s">
        <v>6</v>
      </c>
      <c r="C2812" t="s">
        <v>7</v>
      </c>
      <c r="D2812" t="s">
        <v>698</v>
      </c>
      <c r="E2812" t="s">
        <v>15</v>
      </c>
      <c r="F2812" s="9">
        <v>2164.7600000000002</v>
      </c>
      <c r="G2812" s="4">
        <v>5</v>
      </c>
      <c r="H2812" s="8">
        <f t="shared" si="43"/>
        <v>5</v>
      </c>
      <c r="I2812" s="10">
        <v>5</v>
      </c>
    </row>
    <row r="2813" spans="1:9" ht="15.75" thickBot="1" x14ac:dyDescent="0.3">
      <c r="A2813" s="1">
        <v>43466</v>
      </c>
      <c r="B2813" s="8" t="s">
        <v>6</v>
      </c>
      <c r="C2813" t="s">
        <v>7</v>
      </c>
      <c r="D2813" t="s">
        <v>698</v>
      </c>
      <c r="E2813" t="s">
        <v>17</v>
      </c>
      <c r="F2813" s="9">
        <v>1311.74</v>
      </c>
      <c r="G2813" s="4">
        <v>39</v>
      </c>
      <c r="H2813" s="8">
        <f t="shared" si="43"/>
        <v>39</v>
      </c>
      <c r="I2813" s="10">
        <v>2</v>
      </c>
    </row>
    <row r="2814" spans="1:9" ht="15.75" thickBot="1" x14ac:dyDescent="0.3">
      <c r="A2814" s="1">
        <v>43466</v>
      </c>
      <c r="B2814" s="8" t="s">
        <v>6</v>
      </c>
      <c r="C2814" t="s">
        <v>7</v>
      </c>
      <c r="D2814" t="s">
        <v>698</v>
      </c>
      <c r="E2814" t="s">
        <v>11</v>
      </c>
      <c r="F2814" s="9">
        <v>29577.439999999999</v>
      </c>
      <c r="G2814" s="4">
        <v>862</v>
      </c>
      <c r="H2814" s="8">
        <f t="shared" si="43"/>
        <v>862</v>
      </c>
      <c r="I2814" s="10">
        <v>4</v>
      </c>
    </row>
    <row r="2815" spans="1:9" ht="15.75" thickBot="1" x14ac:dyDescent="0.3">
      <c r="A2815" s="1">
        <v>43800</v>
      </c>
      <c r="B2815" s="8" t="s">
        <v>6</v>
      </c>
      <c r="C2815" t="s">
        <v>7</v>
      </c>
      <c r="D2815" t="s">
        <v>698</v>
      </c>
      <c r="E2815" t="s">
        <v>13</v>
      </c>
      <c r="F2815" s="9">
        <v>1805.08</v>
      </c>
      <c r="G2815" s="4">
        <v>58</v>
      </c>
      <c r="H2815" s="8">
        <f t="shared" si="43"/>
        <v>58</v>
      </c>
      <c r="I2815" s="10">
        <v>2</v>
      </c>
    </row>
    <row r="2816" spans="1:9" ht="15.75" thickBot="1" x14ac:dyDescent="0.3">
      <c r="A2816" s="1">
        <v>43800</v>
      </c>
      <c r="B2816" s="8" t="s">
        <v>6</v>
      </c>
      <c r="C2816" t="s">
        <v>7</v>
      </c>
      <c r="D2816" t="s">
        <v>699</v>
      </c>
      <c r="E2816" t="s">
        <v>15</v>
      </c>
      <c r="F2816" s="9">
        <v>2415.54</v>
      </c>
      <c r="G2816" s="4">
        <v>0</v>
      </c>
      <c r="H2816" s="8">
        <f t="shared" si="43"/>
        <v>0</v>
      </c>
      <c r="I2816" s="10">
        <v>2</v>
      </c>
    </row>
    <row r="2817" spans="1:9" ht="15.75" thickBot="1" x14ac:dyDescent="0.3">
      <c r="A2817" s="1">
        <v>43800</v>
      </c>
      <c r="B2817" s="8" t="s">
        <v>6</v>
      </c>
      <c r="C2817" t="s">
        <v>7</v>
      </c>
      <c r="D2817" t="s">
        <v>699</v>
      </c>
      <c r="E2817" t="s">
        <v>10</v>
      </c>
      <c r="F2817" s="9">
        <v>58334.34</v>
      </c>
      <c r="G2817" s="6">
        <v>1984078.341</v>
      </c>
      <c r="H2817" s="8">
        <f t="shared" si="43"/>
        <v>1984.0783409999999</v>
      </c>
      <c r="I2817" s="10">
        <v>240</v>
      </c>
    </row>
    <row r="2818" spans="1:9" ht="15.75" thickBot="1" x14ac:dyDescent="0.3">
      <c r="A2818" s="1">
        <v>43800</v>
      </c>
      <c r="B2818" s="8" t="s">
        <v>6</v>
      </c>
      <c r="C2818" t="s">
        <v>7</v>
      </c>
      <c r="D2818" t="s">
        <v>699</v>
      </c>
      <c r="E2818" t="s">
        <v>11</v>
      </c>
      <c r="F2818" s="9">
        <v>174.55</v>
      </c>
      <c r="G2818" s="6">
        <v>5000</v>
      </c>
      <c r="H2818" s="8">
        <f t="shared" ref="H2818:H2881" si="44">IF(ISNUMBER(SEARCH("Domestic customer", E2818)),G2818/1000,G2818)</f>
        <v>5000</v>
      </c>
      <c r="I2818" s="10">
        <v>1</v>
      </c>
    </row>
    <row r="2819" spans="1:9" ht="15.75" thickBot="1" x14ac:dyDescent="0.3">
      <c r="A2819" s="1">
        <v>43466</v>
      </c>
      <c r="B2819" s="8" t="s">
        <v>6</v>
      </c>
      <c r="C2819" t="s">
        <v>7</v>
      </c>
      <c r="D2819" t="s">
        <v>699</v>
      </c>
      <c r="E2819" t="s">
        <v>13</v>
      </c>
      <c r="F2819" s="9">
        <v>492.38</v>
      </c>
      <c r="G2819" s="6">
        <v>18000</v>
      </c>
      <c r="H2819" s="8">
        <f t="shared" si="44"/>
        <v>18000</v>
      </c>
      <c r="I2819" s="10">
        <v>4</v>
      </c>
    </row>
    <row r="2820" spans="1:9" ht="15.75" thickBot="1" x14ac:dyDescent="0.3">
      <c r="A2820" s="1">
        <v>43466</v>
      </c>
      <c r="B2820" s="8" t="s">
        <v>6</v>
      </c>
      <c r="C2820" t="s">
        <v>7</v>
      </c>
      <c r="D2820" t="s">
        <v>700</v>
      </c>
      <c r="E2820" t="s">
        <v>9</v>
      </c>
      <c r="F2820" s="9">
        <v>14753.24</v>
      </c>
      <c r="G2820" s="4">
        <v>457</v>
      </c>
      <c r="H2820" s="8">
        <f t="shared" si="44"/>
        <v>457</v>
      </c>
      <c r="I2820" s="10">
        <v>9</v>
      </c>
    </row>
    <row r="2821" spans="1:9" ht="15.75" thickBot="1" x14ac:dyDescent="0.3">
      <c r="A2821" s="1">
        <v>43466</v>
      </c>
      <c r="B2821" s="8" t="s">
        <v>6</v>
      </c>
      <c r="C2821" t="s">
        <v>7</v>
      </c>
      <c r="D2821" t="s">
        <v>700</v>
      </c>
      <c r="E2821" t="s">
        <v>15</v>
      </c>
      <c r="F2821" s="9">
        <v>656</v>
      </c>
      <c r="G2821" s="4">
        <v>0</v>
      </c>
      <c r="H2821" s="8">
        <f t="shared" si="44"/>
        <v>0</v>
      </c>
      <c r="I2821" s="10">
        <v>4</v>
      </c>
    </row>
    <row r="2822" spans="1:9" ht="15.75" thickBot="1" x14ac:dyDescent="0.3">
      <c r="A2822" s="1">
        <v>43800</v>
      </c>
      <c r="B2822" s="8" t="s">
        <v>6</v>
      </c>
      <c r="C2822" t="s">
        <v>7</v>
      </c>
      <c r="D2822" t="s">
        <v>700</v>
      </c>
      <c r="E2822" t="s">
        <v>10</v>
      </c>
      <c r="F2822" s="9">
        <v>210418.57</v>
      </c>
      <c r="G2822" s="6">
        <v>7681027.2450000001</v>
      </c>
      <c r="H2822" s="8">
        <f t="shared" si="44"/>
        <v>7681.0272450000002</v>
      </c>
      <c r="I2822" s="10">
        <v>689</v>
      </c>
    </row>
    <row r="2823" spans="1:9" ht="15.75" thickBot="1" x14ac:dyDescent="0.3">
      <c r="A2823" s="1">
        <v>43800</v>
      </c>
      <c r="B2823" s="8" t="s">
        <v>6</v>
      </c>
      <c r="C2823" t="s">
        <v>7</v>
      </c>
      <c r="D2823" t="s">
        <v>700</v>
      </c>
      <c r="E2823" t="s">
        <v>11</v>
      </c>
      <c r="F2823" s="9">
        <v>8517.08</v>
      </c>
      <c r="G2823" s="7">
        <v>4213</v>
      </c>
      <c r="H2823" s="8">
        <f t="shared" si="44"/>
        <v>4213</v>
      </c>
      <c r="I2823" s="10">
        <v>9</v>
      </c>
    </row>
    <row r="2824" spans="1:9" ht="15.75" thickBot="1" x14ac:dyDescent="0.3">
      <c r="A2824" s="1">
        <v>43800</v>
      </c>
      <c r="B2824" s="8" t="s">
        <v>6</v>
      </c>
      <c r="C2824" t="s">
        <v>7</v>
      </c>
      <c r="D2824" t="s">
        <v>700</v>
      </c>
      <c r="E2824" t="s">
        <v>13</v>
      </c>
      <c r="F2824" s="9">
        <v>332.8</v>
      </c>
      <c r="G2824" s="6">
        <v>9000</v>
      </c>
      <c r="H2824" s="8">
        <f t="shared" si="44"/>
        <v>9000</v>
      </c>
      <c r="I2824" s="10">
        <v>2</v>
      </c>
    </row>
    <row r="2825" spans="1:9" ht="15.75" thickBot="1" x14ac:dyDescent="0.3">
      <c r="A2825" s="1">
        <v>43800</v>
      </c>
      <c r="B2825" s="8" t="s">
        <v>6</v>
      </c>
      <c r="C2825" t="s">
        <v>7</v>
      </c>
      <c r="D2825" t="s">
        <v>701</v>
      </c>
      <c r="E2825" t="s">
        <v>11</v>
      </c>
      <c r="F2825" s="9">
        <v>961386.91</v>
      </c>
      <c r="G2825" s="4">
        <v>34835</v>
      </c>
      <c r="H2825" s="8">
        <f t="shared" si="44"/>
        <v>34835</v>
      </c>
      <c r="I2825" s="10">
        <v>7</v>
      </c>
    </row>
    <row r="2826" spans="1:9" ht="15.75" thickBot="1" x14ac:dyDescent="0.3">
      <c r="A2826" s="1">
        <v>43466</v>
      </c>
      <c r="B2826" s="8" t="s">
        <v>6</v>
      </c>
      <c r="C2826" t="s">
        <v>7</v>
      </c>
      <c r="D2826" t="s">
        <v>702</v>
      </c>
      <c r="E2826" t="s">
        <v>9</v>
      </c>
      <c r="F2826" s="9">
        <v>3990.79</v>
      </c>
      <c r="G2826" s="4">
        <v>99</v>
      </c>
      <c r="H2826" s="8">
        <f t="shared" si="44"/>
        <v>99</v>
      </c>
      <c r="I2826" s="10">
        <v>6</v>
      </c>
    </row>
    <row r="2827" spans="1:9" ht="15.75" thickBot="1" x14ac:dyDescent="0.3">
      <c r="A2827" s="1">
        <v>43466</v>
      </c>
      <c r="B2827" s="8" t="s">
        <v>6</v>
      </c>
      <c r="C2827" t="s">
        <v>7</v>
      </c>
      <c r="D2827" t="s">
        <v>702</v>
      </c>
      <c r="E2827" t="s">
        <v>15</v>
      </c>
      <c r="F2827" s="9">
        <v>9672.39</v>
      </c>
      <c r="G2827" s="4">
        <v>43</v>
      </c>
      <c r="H2827" s="8">
        <f t="shared" si="44"/>
        <v>43</v>
      </c>
      <c r="I2827" s="10">
        <v>11</v>
      </c>
    </row>
    <row r="2828" spans="1:9" ht="15.75" thickBot="1" x14ac:dyDescent="0.3">
      <c r="A2828" s="1">
        <v>43466</v>
      </c>
      <c r="B2828" s="8" t="s">
        <v>6</v>
      </c>
      <c r="C2828" t="s">
        <v>7</v>
      </c>
      <c r="D2828" t="s">
        <v>702</v>
      </c>
      <c r="E2828" t="s">
        <v>10</v>
      </c>
      <c r="F2828" s="9">
        <v>248669.82</v>
      </c>
      <c r="G2828" s="6">
        <v>8626184.1950000003</v>
      </c>
      <c r="H2828" s="8">
        <f t="shared" si="44"/>
        <v>8626.1841949999998</v>
      </c>
      <c r="I2828" s="10">
        <v>775</v>
      </c>
    </row>
    <row r="2829" spans="1:9" ht="15.75" thickBot="1" x14ac:dyDescent="0.3">
      <c r="A2829" s="1">
        <v>43800</v>
      </c>
      <c r="B2829" s="8" t="s">
        <v>6</v>
      </c>
      <c r="C2829" t="s">
        <v>7</v>
      </c>
      <c r="D2829" t="s">
        <v>702</v>
      </c>
      <c r="E2829" t="s">
        <v>11</v>
      </c>
      <c r="F2829" s="9">
        <v>30065.32</v>
      </c>
      <c r="G2829" s="7">
        <v>620109</v>
      </c>
      <c r="H2829" s="8">
        <f t="shared" si="44"/>
        <v>620109</v>
      </c>
      <c r="I2829" s="10">
        <v>7</v>
      </c>
    </row>
    <row r="2830" spans="1:9" ht="15.75" thickBot="1" x14ac:dyDescent="0.3">
      <c r="A2830" s="1">
        <v>43800</v>
      </c>
      <c r="B2830" s="8" t="s">
        <v>6</v>
      </c>
      <c r="C2830" t="s">
        <v>7</v>
      </c>
      <c r="D2830" t="s">
        <v>702</v>
      </c>
      <c r="E2830" t="s">
        <v>13</v>
      </c>
      <c r="F2830" s="9">
        <v>2638.54</v>
      </c>
      <c r="G2830" s="6">
        <v>99000</v>
      </c>
      <c r="H2830" s="8">
        <f t="shared" si="44"/>
        <v>99000</v>
      </c>
      <c r="I2830" s="10">
        <v>7</v>
      </c>
    </row>
    <row r="2831" spans="1:9" ht="15.75" thickBot="1" x14ac:dyDescent="0.3">
      <c r="A2831" s="1">
        <v>43800</v>
      </c>
      <c r="B2831" s="8" t="s">
        <v>6</v>
      </c>
      <c r="C2831" t="s">
        <v>7</v>
      </c>
      <c r="D2831" t="s">
        <v>703</v>
      </c>
      <c r="E2831" t="s">
        <v>9</v>
      </c>
      <c r="F2831" s="9">
        <v>348868.9</v>
      </c>
      <c r="G2831" s="4">
        <v>12564</v>
      </c>
      <c r="H2831" s="8">
        <f t="shared" si="44"/>
        <v>12564</v>
      </c>
      <c r="I2831" s="10">
        <v>17</v>
      </c>
    </row>
    <row r="2832" spans="1:9" ht="15.75" thickBot="1" x14ac:dyDescent="0.3">
      <c r="A2832" s="1">
        <v>43800</v>
      </c>
      <c r="B2832" s="8" t="s">
        <v>6</v>
      </c>
      <c r="C2832" t="s">
        <v>7</v>
      </c>
      <c r="D2832" t="s">
        <v>703</v>
      </c>
      <c r="E2832" t="s">
        <v>15</v>
      </c>
      <c r="F2832" s="9">
        <v>8592.06</v>
      </c>
      <c r="G2832" s="4">
        <v>314</v>
      </c>
      <c r="H2832" s="8">
        <f t="shared" si="44"/>
        <v>314</v>
      </c>
      <c r="I2832" s="10">
        <v>8</v>
      </c>
    </row>
    <row r="2833" spans="1:9" ht="15.75" thickBot="1" x14ac:dyDescent="0.3">
      <c r="A2833" s="1">
        <v>43466</v>
      </c>
      <c r="B2833" s="8" t="s">
        <v>6</v>
      </c>
      <c r="C2833" t="s">
        <v>7</v>
      </c>
      <c r="D2833" t="s">
        <v>703</v>
      </c>
      <c r="E2833" t="s">
        <v>11</v>
      </c>
      <c r="F2833" s="9">
        <v>14287.97</v>
      </c>
      <c r="G2833" s="4">
        <v>520</v>
      </c>
      <c r="H2833" s="8">
        <f t="shared" si="44"/>
        <v>520</v>
      </c>
      <c r="I2833" s="10">
        <v>2</v>
      </c>
    </row>
    <row r="2834" spans="1:9" ht="15.75" thickBot="1" x14ac:dyDescent="0.3">
      <c r="A2834" s="1">
        <v>43466</v>
      </c>
      <c r="B2834" s="8" t="s">
        <v>6</v>
      </c>
      <c r="C2834" t="s">
        <v>7</v>
      </c>
      <c r="D2834" t="s">
        <v>703</v>
      </c>
      <c r="E2834" t="s">
        <v>13</v>
      </c>
      <c r="F2834" s="9">
        <v>81.569999999999993</v>
      </c>
      <c r="G2834" s="5">
        <v>0</v>
      </c>
      <c r="H2834" s="8">
        <f t="shared" si="44"/>
        <v>0</v>
      </c>
      <c r="I2834" s="10">
        <v>1</v>
      </c>
    </row>
    <row r="2835" spans="1:9" ht="15.75" thickBot="1" x14ac:dyDescent="0.3">
      <c r="A2835" s="1">
        <v>43466</v>
      </c>
      <c r="B2835" s="8" t="s">
        <v>6</v>
      </c>
      <c r="C2835" t="s">
        <v>7</v>
      </c>
      <c r="D2835" t="s">
        <v>704</v>
      </c>
      <c r="E2835" t="s">
        <v>9</v>
      </c>
      <c r="F2835" s="9">
        <v>137549.04</v>
      </c>
      <c r="G2835" s="4">
        <v>5035</v>
      </c>
      <c r="H2835" s="8">
        <f t="shared" si="44"/>
        <v>5035</v>
      </c>
      <c r="I2835" s="10">
        <v>5</v>
      </c>
    </row>
    <row r="2836" spans="1:9" ht="15.75" thickBot="1" x14ac:dyDescent="0.3">
      <c r="A2836" s="1">
        <v>43800</v>
      </c>
      <c r="B2836" s="8" t="s">
        <v>6</v>
      </c>
      <c r="C2836" t="s">
        <v>7</v>
      </c>
      <c r="D2836" t="s">
        <v>704</v>
      </c>
      <c r="E2836" t="s">
        <v>15</v>
      </c>
      <c r="F2836" s="9">
        <v>3.97</v>
      </c>
      <c r="G2836" s="4">
        <v>0</v>
      </c>
      <c r="H2836" s="8">
        <f t="shared" si="44"/>
        <v>0</v>
      </c>
      <c r="I2836" s="10">
        <v>1</v>
      </c>
    </row>
    <row r="2837" spans="1:9" ht="15.75" thickBot="1" x14ac:dyDescent="0.3">
      <c r="A2837" s="1">
        <v>43800</v>
      </c>
      <c r="B2837" s="8" t="s">
        <v>6</v>
      </c>
      <c r="C2837" t="s">
        <v>7</v>
      </c>
      <c r="D2837" t="s">
        <v>704</v>
      </c>
      <c r="E2837" t="s">
        <v>10</v>
      </c>
      <c r="F2837" s="9">
        <v>149944.82999999999</v>
      </c>
      <c r="G2837" s="6">
        <v>8972657.5</v>
      </c>
      <c r="H2837" s="8">
        <f t="shared" si="44"/>
        <v>8972.6574999999993</v>
      </c>
      <c r="I2837" s="10">
        <v>8</v>
      </c>
    </row>
    <row r="2838" spans="1:9" ht="15.75" thickBot="1" x14ac:dyDescent="0.3">
      <c r="A2838" s="1">
        <v>43800</v>
      </c>
      <c r="B2838" s="8" t="s">
        <v>6</v>
      </c>
      <c r="C2838" t="s">
        <v>7</v>
      </c>
      <c r="D2838" t="s">
        <v>704</v>
      </c>
      <c r="E2838" t="s">
        <v>11</v>
      </c>
      <c r="F2838" s="9">
        <v>3070.99</v>
      </c>
      <c r="G2838" s="4">
        <v>0</v>
      </c>
      <c r="H2838" s="8">
        <f t="shared" si="44"/>
        <v>0</v>
      </c>
      <c r="I2838" s="10">
        <v>8</v>
      </c>
    </row>
    <row r="2839" spans="1:9" ht="15.75" thickBot="1" x14ac:dyDescent="0.3">
      <c r="A2839" s="1">
        <v>43800</v>
      </c>
      <c r="B2839" s="8" t="s">
        <v>6</v>
      </c>
      <c r="C2839" t="s">
        <v>7</v>
      </c>
      <c r="D2839" t="s">
        <v>705</v>
      </c>
      <c r="E2839" t="s">
        <v>9</v>
      </c>
      <c r="F2839" s="9">
        <v>4181.08</v>
      </c>
      <c r="G2839" s="4">
        <v>136</v>
      </c>
      <c r="H2839" s="8">
        <f t="shared" si="44"/>
        <v>136</v>
      </c>
      <c r="I2839" s="10">
        <v>2</v>
      </c>
    </row>
    <row r="2840" spans="1:9" ht="15.75" thickBot="1" x14ac:dyDescent="0.3">
      <c r="A2840" s="1">
        <v>43466</v>
      </c>
      <c r="B2840" s="8" t="s">
        <v>6</v>
      </c>
      <c r="C2840" t="s">
        <v>7</v>
      </c>
      <c r="D2840" t="s">
        <v>705</v>
      </c>
      <c r="E2840" t="s">
        <v>15</v>
      </c>
      <c r="F2840" s="9">
        <v>137823.87</v>
      </c>
      <c r="G2840" s="7">
        <v>1912901.385</v>
      </c>
      <c r="H2840" s="8">
        <f t="shared" si="44"/>
        <v>1912901.385</v>
      </c>
      <c r="I2840" s="10">
        <v>131</v>
      </c>
    </row>
    <row r="2841" spans="1:9" ht="15.75" thickBot="1" x14ac:dyDescent="0.3">
      <c r="A2841" s="1">
        <v>43466</v>
      </c>
      <c r="B2841" s="8" t="s">
        <v>6</v>
      </c>
      <c r="C2841" t="s">
        <v>7</v>
      </c>
      <c r="D2841" t="s">
        <v>705</v>
      </c>
      <c r="E2841" t="s">
        <v>10</v>
      </c>
      <c r="F2841" s="9">
        <v>118861.86</v>
      </c>
      <c r="G2841" s="7">
        <v>14201706.58</v>
      </c>
      <c r="H2841" s="8">
        <f t="shared" si="44"/>
        <v>14201.70658</v>
      </c>
      <c r="I2841" s="10">
        <v>1437</v>
      </c>
    </row>
    <row r="2842" spans="1:9" ht="15.75" thickBot="1" x14ac:dyDescent="0.3">
      <c r="A2842" s="1">
        <v>43466</v>
      </c>
      <c r="B2842" s="8" t="s">
        <v>6</v>
      </c>
      <c r="C2842" t="s">
        <v>7</v>
      </c>
      <c r="D2842" t="s">
        <v>705</v>
      </c>
      <c r="E2842" t="s">
        <v>11</v>
      </c>
      <c r="F2842" s="9">
        <v>15498.67</v>
      </c>
      <c r="G2842" s="4">
        <v>374</v>
      </c>
      <c r="H2842" s="8">
        <f t="shared" si="44"/>
        <v>374</v>
      </c>
      <c r="I2842" s="10">
        <v>15</v>
      </c>
    </row>
    <row r="2843" spans="1:9" ht="15.75" thickBot="1" x14ac:dyDescent="0.3">
      <c r="A2843" s="1">
        <v>43800</v>
      </c>
      <c r="B2843" s="8" t="s">
        <v>6</v>
      </c>
      <c r="C2843" t="s">
        <v>7</v>
      </c>
      <c r="D2843" t="s">
        <v>705</v>
      </c>
      <c r="E2843" t="s">
        <v>13</v>
      </c>
      <c r="F2843" s="9">
        <v>863.77</v>
      </c>
      <c r="G2843" s="6">
        <v>35000</v>
      </c>
      <c r="H2843" s="8">
        <f t="shared" si="44"/>
        <v>35000</v>
      </c>
      <c r="I2843" s="10">
        <v>5</v>
      </c>
    </row>
    <row r="2844" spans="1:9" ht="15.75" thickBot="1" x14ac:dyDescent="0.3">
      <c r="A2844" s="1">
        <v>43800</v>
      </c>
      <c r="B2844" s="8" t="s">
        <v>6</v>
      </c>
      <c r="C2844" t="s">
        <v>7</v>
      </c>
      <c r="D2844" t="s">
        <v>706</v>
      </c>
      <c r="E2844" t="s">
        <v>9</v>
      </c>
      <c r="F2844" s="9">
        <v>465.8</v>
      </c>
      <c r="G2844" s="4">
        <v>15</v>
      </c>
      <c r="H2844" s="8">
        <f t="shared" si="44"/>
        <v>15</v>
      </c>
      <c r="I2844" s="10">
        <v>1</v>
      </c>
    </row>
    <row r="2845" spans="1:9" ht="15.75" thickBot="1" x14ac:dyDescent="0.3">
      <c r="A2845" s="1">
        <v>43800</v>
      </c>
      <c r="B2845" s="8" t="s">
        <v>6</v>
      </c>
      <c r="C2845" t="s">
        <v>7</v>
      </c>
      <c r="D2845" t="s">
        <v>706</v>
      </c>
      <c r="E2845" t="s">
        <v>15</v>
      </c>
      <c r="F2845" s="9">
        <v>825</v>
      </c>
      <c r="G2845" s="4">
        <v>0</v>
      </c>
      <c r="H2845" s="8">
        <f t="shared" si="44"/>
        <v>0</v>
      </c>
      <c r="I2845" s="10">
        <v>3</v>
      </c>
    </row>
    <row r="2846" spans="1:9" ht="15.75" thickBot="1" x14ac:dyDescent="0.3">
      <c r="A2846" s="1">
        <v>43800</v>
      </c>
      <c r="B2846" s="8" t="s">
        <v>6</v>
      </c>
      <c r="C2846" t="s">
        <v>7</v>
      </c>
      <c r="D2846" t="s">
        <v>706</v>
      </c>
      <c r="E2846" t="s">
        <v>10</v>
      </c>
      <c r="F2846" s="9">
        <v>445728.36</v>
      </c>
      <c r="G2846" s="7">
        <v>16183666.249</v>
      </c>
      <c r="H2846" s="8">
        <f t="shared" si="44"/>
        <v>16183.666249</v>
      </c>
      <c r="I2846" s="10">
        <v>1313</v>
      </c>
    </row>
    <row r="2847" spans="1:9" ht="15.75" thickBot="1" x14ac:dyDescent="0.3">
      <c r="A2847" s="1">
        <v>43466</v>
      </c>
      <c r="B2847" s="8" t="s">
        <v>6</v>
      </c>
      <c r="C2847" t="s">
        <v>7</v>
      </c>
      <c r="D2847" t="s">
        <v>706</v>
      </c>
      <c r="E2847" t="s">
        <v>17</v>
      </c>
      <c r="F2847" s="9">
        <v>2929.4</v>
      </c>
      <c r="G2847" s="4">
        <v>45</v>
      </c>
      <c r="H2847" s="8">
        <f t="shared" si="44"/>
        <v>45</v>
      </c>
      <c r="I2847" s="10">
        <v>2</v>
      </c>
    </row>
    <row r="2848" spans="1:9" ht="15.75" thickBot="1" x14ac:dyDescent="0.3">
      <c r="A2848" s="1">
        <v>43466</v>
      </c>
      <c r="B2848" s="8" t="s">
        <v>6</v>
      </c>
      <c r="C2848" t="s">
        <v>7</v>
      </c>
      <c r="D2848" t="s">
        <v>706</v>
      </c>
      <c r="E2848" t="s">
        <v>11</v>
      </c>
      <c r="F2848" s="9">
        <v>7217.95</v>
      </c>
      <c r="G2848" s="7">
        <v>108037</v>
      </c>
      <c r="H2848" s="8">
        <f t="shared" si="44"/>
        <v>108037</v>
      </c>
      <c r="I2848" s="10">
        <v>7</v>
      </c>
    </row>
    <row r="2849" spans="1:9" ht="15.75" thickBot="1" x14ac:dyDescent="0.3">
      <c r="A2849" s="1">
        <v>43466</v>
      </c>
      <c r="B2849" s="8" t="s">
        <v>6</v>
      </c>
      <c r="C2849" t="s">
        <v>7</v>
      </c>
      <c r="D2849" t="s">
        <v>706</v>
      </c>
      <c r="E2849" t="s">
        <v>13</v>
      </c>
      <c r="F2849" s="9">
        <v>1723.78</v>
      </c>
      <c r="G2849" s="6">
        <v>63000</v>
      </c>
      <c r="H2849" s="8">
        <f t="shared" si="44"/>
        <v>63000</v>
      </c>
      <c r="I2849" s="10">
        <v>7</v>
      </c>
    </row>
    <row r="2850" spans="1:9" ht="15.75" thickBot="1" x14ac:dyDescent="0.3">
      <c r="A2850" s="1">
        <v>43800</v>
      </c>
      <c r="B2850" s="8" t="s">
        <v>6</v>
      </c>
      <c r="C2850" t="s">
        <v>7</v>
      </c>
      <c r="D2850" t="s">
        <v>707</v>
      </c>
      <c r="E2850" t="s">
        <v>9</v>
      </c>
      <c r="F2850" s="9">
        <v>6205.72</v>
      </c>
      <c r="G2850" s="4">
        <v>121</v>
      </c>
      <c r="H2850" s="8">
        <f t="shared" si="44"/>
        <v>121</v>
      </c>
      <c r="I2850" s="10">
        <v>1</v>
      </c>
    </row>
    <row r="2851" spans="1:9" ht="15.75" thickBot="1" x14ac:dyDescent="0.3">
      <c r="A2851" s="1">
        <v>43800</v>
      </c>
      <c r="B2851" s="8" t="s">
        <v>6</v>
      </c>
      <c r="C2851" t="s">
        <v>7</v>
      </c>
      <c r="D2851" t="s">
        <v>707</v>
      </c>
      <c r="E2851" t="s">
        <v>15</v>
      </c>
      <c r="F2851" s="9">
        <v>36616.29</v>
      </c>
      <c r="G2851" s="4">
        <v>1218</v>
      </c>
      <c r="H2851" s="8">
        <f t="shared" si="44"/>
        <v>1218</v>
      </c>
      <c r="I2851" s="10">
        <v>57</v>
      </c>
    </row>
    <row r="2852" spans="1:9" ht="15.75" thickBot="1" x14ac:dyDescent="0.3">
      <c r="A2852" s="1">
        <v>43800</v>
      </c>
      <c r="B2852" s="8" t="s">
        <v>6</v>
      </c>
      <c r="C2852" t="s">
        <v>7</v>
      </c>
      <c r="D2852" t="s">
        <v>707</v>
      </c>
      <c r="E2852" t="s">
        <v>10</v>
      </c>
      <c r="F2852" s="9">
        <v>200074.25</v>
      </c>
      <c r="G2852" s="7">
        <v>84055264.292999998</v>
      </c>
      <c r="H2852" s="8">
        <f t="shared" si="44"/>
        <v>84055.264293</v>
      </c>
      <c r="I2852" s="10">
        <v>8843</v>
      </c>
    </row>
    <row r="2853" spans="1:9" ht="15.75" thickBot="1" x14ac:dyDescent="0.3">
      <c r="A2853" s="1">
        <v>43800</v>
      </c>
      <c r="B2853" s="8" t="s">
        <v>6</v>
      </c>
      <c r="C2853" t="s">
        <v>7</v>
      </c>
      <c r="D2853" t="s">
        <v>707</v>
      </c>
      <c r="E2853" t="s">
        <v>11</v>
      </c>
      <c r="F2853" s="9">
        <v>84569.24</v>
      </c>
      <c r="G2853" s="4">
        <v>2679</v>
      </c>
      <c r="H2853" s="8">
        <f t="shared" si="44"/>
        <v>2679</v>
      </c>
      <c r="I2853" s="10">
        <v>20</v>
      </c>
    </row>
    <row r="2854" spans="1:9" ht="15.75" thickBot="1" x14ac:dyDescent="0.3">
      <c r="A2854" s="1">
        <v>43466</v>
      </c>
      <c r="B2854" s="8" t="s">
        <v>6</v>
      </c>
      <c r="C2854" t="s">
        <v>7</v>
      </c>
      <c r="D2854" t="s">
        <v>707</v>
      </c>
      <c r="E2854" t="s">
        <v>13</v>
      </c>
      <c r="F2854" s="9">
        <v>0</v>
      </c>
      <c r="G2854" s="6">
        <v>150377.67800000001</v>
      </c>
      <c r="H2854" s="8">
        <f t="shared" si="44"/>
        <v>150377.67800000001</v>
      </c>
      <c r="I2854" s="10">
        <v>18</v>
      </c>
    </row>
    <row r="2855" spans="1:9" ht="15.75" thickBot="1" x14ac:dyDescent="0.3">
      <c r="A2855" s="1">
        <v>43466</v>
      </c>
      <c r="B2855" s="8" t="s">
        <v>6</v>
      </c>
      <c r="C2855" t="s">
        <v>7</v>
      </c>
      <c r="D2855" t="s">
        <v>708</v>
      </c>
      <c r="E2855" t="s">
        <v>11</v>
      </c>
      <c r="F2855" s="9">
        <v>81.569999999999993</v>
      </c>
      <c r="G2855" s="5">
        <v>0</v>
      </c>
      <c r="H2855" s="8">
        <f t="shared" si="44"/>
        <v>0</v>
      </c>
      <c r="I2855" s="10">
        <v>1</v>
      </c>
    </row>
    <row r="2856" spans="1:9" ht="15.75" thickBot="1" x14ac:dyDescent="0.3">
      <c r="A2856" s="1">
        <v>43466</v>
      </c>
      <c r="B2856" s="8" t="s">
        <v>6</v>
      </c>
      <c r="C2856" t="s">
        <v>7</v>
      </c>
      <c r="D2856" t="s">
        <v>709</v>
      </c>
      <c r="E2856" t="s">
        <v>9</v>
      </c>
      <c r="F2856" s="9">
        <v>4617.46</v>
      </c>
      <c r="G2856" s="4">
        <v>136</v>
      </c>
      <c r="H2856" s="8">
        <f t="shared" si="44"/>
        <v>136</v>
      </c>
      <c r="I2856" s="10">
        <v>3</v>
      </c>
    </row>
    <row r="2857" spans="1:9" ht="15.75" thickBot="1" x14ac:dyDescent="0.3">
      <c r="A2857" s="1">
        <v>43800</v>
      </c>
      <c r="B2857" s="8" t="s">
        <v>6</v>
      </c>
      <c r="C2857" t="s">
        <v>7</v>
      </c>
      <c r="D2857" t="s">
        <v>709</v>
      </c>
      <c r="E2857" t="s">
        <v>15</v>
      </c>
      <c r="F2857" s="9">
        <v>28681.57</v>
      </c>
      <c r="G2857" s="4">
        <v>804</v>
      </c>
      <c r="H2857" s="8">
        <f t="shared" si="44"/>
        <v>804</v>
      </c>
      <c r="I2857" s="10">
        <v>33</v>
      </c>
    </row>
    <row r="2858" spans="1:9" ht="15.75" thickBot="1" x14ac:dyDescent="0.3">
      <c r="A2858" s="1">
        <v>43800</v>
      </c>
      <c r="B2858" s="8" t="s">
        <v>6</v>
      </c>
      <c r="C2858" t="s">
        <v>7</v>
      </c>
      <c r="D2858" t="s">
        <v>709</v>
      </c>
      <c r="E2858" t="s">
        <v>10</v>
      </c>
      <c r="F2858" s="9">
        <v>23010.38</v>
      </c>
      <c r="G2858" s="7">
        <v>16034336.130000001</v>
      </c>
      <c r="H2858" s="8">
        <f t="shared" si="44"/>
        <v>16034.336130000002</v>
      </c>
      <c r="I2858" s="10">
        <v>1733</v>
      </c>
    </row>
    <row r="2859" spans="1:9" ht="15.75" thickBot="1" x14ac:dyDescent="0.3">
      <c r="A2859" s="1">
        <v>43800</v>
      </c>
      <c r="B2859" s="8" t="s">
        <v>6</v>
      </c>
      <c r="C2859" t="s">
        <v>7</v>
      </c>
      <c r="D2859" t="s">
        <v>709</v>
      </c>
      <c r="E2859" t="s">
        <v>11</v>
      </c>
      <c r="F2859" s="9">
        <v>20100.990000000002</v>
      </c>
      <c r="G2859" s="4">
        <v>412</v>
      </c>
      <c r="H2859" s="8">
        <f t="shared" si="44"/>
        <v>412</v>
      </c>
      <c r="I2859" s="10">
        <v>12</v>
      </c>
    </row>
    <row r="2860" spans="1:9" ht="15.75" thickBot="1" x14ac:dyDescent="0.3">
      <c r="A2860" s="1">
        <v>43800</v>
      </c>
      <c r="B2860" s="8" t="s">
        <v>6</v>
      </c>
      <c r="C2860" t="s">
        <v>7</v>
      </c>
      <c r="D2860" t="s">
        <v>709</v>
      </c>
      <c r="E2860" t="s">
        <v>13</v>
      </c>
      <c r="F2860" s="9">
        <v>1043</v>
      </c>
      <c r="G2860" s="7">
        <v>53313.3</v>
      </c>
      <c r="H2860" s="8">
        <f t="shared" si="44"/>
        <v>53313.3</v>
      </c>
      <c r="I2860" s="10">
        <v>6</v>
      </c>
    </row>
    <row r="2861" spans="1:9" ht="15.75" thickBot="1" x14ac:dyDescent="0.3">
      <c r="A2861" s="1">
        <v>43466</v>
      </c>
      <c r="B2861" s="8" t="s">
        <v>6</v>
      </c>
      <c r="C2861" t="s">
        <v>7</v>
      </c>
      <c r="D2861" t="s">
        <v>710</v>
      </c>
      <c r="E2861" t="s">
        <v>15</v>
      </c>
      <c r="F2861" s="9">
        <v>673.15</v>
      </c>
      <c r="G2861" s="4">
        <v>6</v>
      </c>
      <c r="H2861" s="8">
        <f t="shared" si="44"/>
        <v>6</v>
      </c>
      <c r="I2861" s="10">
        <v>2</v>
      </c>
    </row>
    <row r="2862" spans="1:9" ht="15.75" thickBot="1" x14ac:dyDescent="0.3">
      <c r="A2862" s="1">
        <v>43466</v>
      </c>
      <c r="B2862" s="8" t="s">
        <v>6</v>
      </c>
      <c r="C2862" t="s">
        <v>7</v>
      </c>
      <c r="D2862" t="s">
        <v>710</v>
      </c>
      <c r="E2862" t="s">
        <v>10</v>
      </c>
      <c r="F2862" s="9">
        <v>66110.95</v>
      </c>
      <c r="G2862" s="6">
        <v>2229865.6669999999</v>
      </c>
      <c r="H2862" s="8">
        <f t="shared" si="44"/>
        <v>2229.865667</v>
      </c>
      <c r="I2862" s="10">
        <v>172</v>
      </c>
    </row>
    <row r="2863" spans="1:9" ht="15.75" thickBot="1" x14ac:dyDescent="0.3">
      <c r="A2863" s="1">
        <v>43466</v>
      </c>
      <c r="B2863" s="8" t="s">
        <v>6</v>
      </c>
      <c r="C2863" t="s">
        <v>7</v>
      </c>
      <c r="D2863" t="s">
        <v>710</v>
      </c>
      <c r="E2863" t="s">
        <v>13</v>
      </c>
      <c r="F2863" s="9">
        <v>469.06</v>
      </c>
      <c r="G2863" s="6">
        <v>16858.8</v>
      </c>
      <c r="H2863" s="8">
        <f t="shared" si="44"/>
        <v>16858.8</v>
      </c>
      <c r="I2863" s="10">
        <v>1</v>
      </c>
    </row>
    <row r="2864" spans="1:9" ht="15.75" thickBot="1" x14ac:dyDescent="0.3">
      <c r="A2864" s="1">
        <v>43800</v>
      </c>
      <c r="B2864" s="8" t="s">
        <v>6</v>
      </c>
      <c r="C2864" t="s">
        <v>7</v>
      </c>
      <c r="D2864" t="s">
        <v>711</v>
      </c>
      <c r="E2864" t="s">
        <v>9</v>
      </c>
      <c r="F2864" s="9">
        <v>4401.04</v>
      </c>
      <c r="G2864" s="4">
        <v>122</v>
      </c>
      <c r="H2864" s="8">
        <f t="shared" si="44"/>
        <v>122</v>
      </c>
      <c r="I2864" s="10">
        <v>11</v>
      </c>
    </row>
    <row r="2865" spans="1:9" ht="15.75" thickBot="1" x14ac:dyDescent="0.3">
      <c r="A2865" s="1">
        <v>43800</v>
      </c>
      <c r="B2865" s="8" t="s">
        <v>6</v>
      </c>
      <c r="C2865" t="s">
        <v>7</v>
      </c>
      <c r="D2865" t="s">
        <v>711</v>
      </c>
      <c r="E2865" t="s">
        <v>10</v>
      </c>
      <c r="F2865" s="9">
        <v>105973.05</v>
      </c>
      <c r="G2865" s="6">
        <v>3315673.639</v>
      </c>
      <c r="H2865" s="8">
        <f t="shared" si="44"/>
        <v>3315.6736390000001</v>
      </c>
      <c r="I2865" s="10">
        <v>372</v>
      </c>
    </row>
    <row r="2866" spans="1:9" ht="15.75" thickBot="1" x14ac:dyDescent="0.3">
      <c r="A2866" s="1">
        <v>43800</v>
      </c>
      <c r="B2866" s="8" t="s">
        <v>6</v>
      </c>
      <c r="C2866" t="s">
        <v>7</v>
      </c>
      <c r="D2866" t="s">
        <v>711</v>
      </c>
      <c r="E2866" t="s">
        <v>17</v>
      </c>
      <c r="F2866" s="9">
        <v>1146.92</v>
      </c>
      <c r="G2866" s="4">
        <v>31</v>
      </c>
      <c r="H2866" s="8">
        <f t="shared" si="44"/>
        <v>31</v>
      </c>
      <c r="I2866" s="10">
        <v>1</v>
      </c>
    </row>
    <row r="2867" spans="1:9" ht="15.75" thickBot="1" x14ac:dyDescent="0.3">
      <c r="A2867" s="1">
        <v>43800</v>
      </c>
      <c r="B2867" s="8" t="s">
        <v>6</v>
      </c>
      <c r="C2867" t="s">
        <v>7</v>
      </c>
      <c r="D2867" t="s">
        <v>711</v>
      </c>
      <c r="E2867" t="s">
        <v>11</v>
      </c>
      <c r="F2867" s="9">
        <v>536.73</v>
      </c>
      <c r="G2867" s="4">
        <v>13</v>
      </c>
      <c r="H2867" s="8">
        <f t="shared" si="44"/>
        <v>13</v>
      </c>
      <c r="I2867" s="10">
        <v>2</v>
      </c>
    </row>
    <row r="2868" spans="1:9" ht="15.75" thickBot="1" x14ac:dyDescent="0.3">
      <c r="A2868" s="1">
        <v>43466</v>
      </c>
      <c r="B2868" s="8" t="s">
        <v>6</v>
      </c>
      <c r="C2868" t="s">
        <v>7</v>
      </c>
      <c r="D2868" t="s">
        <v>711</v>
      </c>
      <c r="E2868" t="s">
        <v>13</v>
      </c>
      <c r="F2868" s="9">
        <v>405.99</v>
      </c>
      <c r="G2868" s="6">
        <v>15000</v>
      </c>
      <c r="H2868" s="8">
        <f t="shared" si="44"/>
        <v>15000</v>
      </c>
      <c r="I2868" s="10">
        <v>2</v>
      </c>
    </row>
    <row r="2869" spans="1:9" ht="15.75" thickBot="1" x14ac:dyDescent="0.3">
      <c r="A2869" s="1">
        <v>43466</v>
      </c>
      <c r="B2869" s="8" t="s">
        <v>6</v>
      </c>
      <c r="C2869" t="s">
        <v>7</v>
      </c>
      <c r="D2869" t="s">
        <v>712</v>
      </c>
      <c r="E2869" t="s">
        <v>9</v>
      </c>
      <c r="F2869" s="9">
        <v>36326.949999999997</v>
      </c>
      <c r="G2869" s="4">
        <v>1208</v>
      </c>
      <c r="H2869" s="8">
        <f t="shared" si="44"/>
        <v>1208</v>
      </c>
      <c r="I2869" s="10">
        <v>4</v>
      </c>
    </row>
    <row r="2870" spans="1:9" ht="15.75" thickBot="1" x14ac:dyDescent="0.3">
      <c r="A2870" s="1">
        <v>43466</v>
      </c>
      <c r="B2870" s="8" t="s">
        <v>6</v>
      </c>
      <c r="C2870" t="s">
        <v>7</v>
      </c>
      <c r="D2870" t="s">
        <v>712</v>
      </c>
      <c r="E2870" t="s">
        <v>15</v>
      </c>
      <c r="F2870" s="9">
        <v>1296.97</v>
      </c>
      <c r="G2870" s="4">
        <v>1</v>
      </c>
      <c r="H2870" s="8">
        <f t="shared" si="44"/>
        <v>1</v>
      </c>
      <c r="I2870" s="10">
        <v>4</v>
      </c>
    </row>
    <row r="2871" spans="1:9" ht="15.75" thickBot="1" x14ac:dyDescent="0.3">
      <c r="A2871" s="1">
        <v>43800</v>
      </c>
      <c r="B2871" s="8" t="s">
        <v>6</v>
      </c>
      <c r="C2871" t="s">
        <v>7</v>
      </c>
      <c r="D2871" t="s">
        <v>712</v>
      </c>
      <c r="E2871" t="s">
        <v>10</v>
      </c>
      <c r="F2871" s="9">
        <v>278765.7</v>
      </c>
      <c r="G2871" s="6">
        <v>7410617.801</v>
      </c>
      <c r="H2871" s="8">
        <f t="shared" si="44"/>
        <v>7410.6178010000003</v>
      </c>
      <c r="I2871" s="10">
        <v>272</v>
      </c>
    </row>
    <row r="2872" spans="1:9" ht="15.75" thickBot="1" x14ac:dyDescent="0.3">
      <c r="A2872" s="1">
        <v>43800</v>
      </c>
      <c r="B2872" s="8" t="s">
        <v>6</v>
      </c>
      <c r="C2872" t="s">
        <v>7</v>
      </c>
      <c r="D2872" t="s">
        <v>712</v>
      </c>
      <c r="E2872" t="s">
        <v>11</v>
      </c>
      <c r="F2872" s="9">
        <v>15089.51</v>
      </c>
      <c r="G2872" s="7">
        <v>297447.82799999998</v>
      </c>
      <c r="H2872" s="8">
        <f t="shared" si="44"/>
        <v>297447.82799999998</v>
      </c>
      <c r="I2872" s="10">
        <v>31</v>
      </c>
    </row>
    <row r="2873" spans="1:9" ht="15.75" thickBot="1" x14ac:dyDescent="0.3">
      <c r="A2873" s="1">
        <v>43800</v>
      </c>
      <c r="B2873" s="8" t="s">
        <v>6</v>
      </c>
      <c r="C2873" t="s">
        <v>7</v>
      </c>
      <c r="D2873" t="s">
        <v>712</v>
      </c>
      <c r="E2873" t="s">
        <v>13</v>
      </c>
      <c r="F2873" s="9">
        <v>412.07</v>
      </c>
      <c r="G2873" s="6">
        <v>13119.999</v>
      </c>
      <c r="H2873" s="8">
        <f t="shared" si="44"/>
        <v>13119.999</v>
      </c>
      <c r="I2873" s="10">
        <v>2</v>
      </c>
    </row>
    <row r="2874" spans="1:9" ht="15.75" thickBot="1" x14ac:dyDescent="0.3">
      <c r="A2874" s="1">
        <v>43800</v>
      </c>
      <c r="B2874" s="8" t="s">
        <v>6</v>
      </c>
      <c r="C2874" t="s">
        <v>7</v>
      </c>
      <c r="D2874" t="s">
        <v>713</v>
      </c>
      <c r="E2874" t="s">
        <v>9</v>
      </c>
      <c r="F2874" s="9">
        <v>301.88</v>
      </c>
      <c r="G2874" s="4">
        <v>9</v>
      </c>
      <c r="H2874" s="8">
        <f t="shared" si="44"/>
        <v>9</v>
      </c>
      <c r="I2874" s="10">
        <v>1</v>
      </c>
    </row>
    <row r="2875" spans="1:9" ht="15.75" thickBot="1" x14ac:dyDescent="0.3">
      <c r="A2875" s="1">
        <v>43466</v>
      </c>
      <c r="B2875" s="8" t="s">
        <v>6</v>
      </c>
      <c r="C2875" t="s">
        <v>7</v>
      </c>
      <c r="D2875" t="s">
        <v>713</v>
      </c>
      <c r="E2875" t="s">
        <v>15</v>
      </c>
      <c r="F2875" s="9">
        <v>2634.2</v>
      </c>
      <c r="G2875" s="4">
        <v>85</v>
      </c>
      <c r="H2875" s="8">
        <f t="shared" si="44"/>
        <v>85</v>
      </c>
      <c r="I2875" s="10">
        <v>2</v>
      </c>
    </row>
    <row r="2876" spans="1:9" ht="15.75" thickBot="1" x14ac:dyDescent="0.3">
      <c r="A2876" s="1">
        <v>43466</v>
      </c>
      <c r="B2876" s="8" t="s">
        <v>6</v>
      </c>
      <c r="C2876" t="s">
        <v>7</v>
      </c>
      <c r="D2876" t="s">
        <v>713</v>
      </c>
      <c r="E2876" t="s">
        <v>10</v>
      </c>
      <c r="F2876" s="9">
        <v>153017.88</v>
      </c>
      <c r="G2876" s="7">
        <v>5353964.6900000004</v>
      </c>
      <c r="H2876" s="8">
        <f t="shared" si="44"/>
        <v>5353.9646900000007</v>
      </c>
      <c r="I2876" s="10">
        <v>489</v>
      </c>
    </row>
    <row r="2877" spans="1:9" ht="15.75" thickBot="1" x14ac:dyDescent="0.3">
      <c r="A2877" s="1">
        <v>43466</v>
      </c>
      <c r="B2877" s="8" t="s">
        <v>6</v>
      </c>
      <c r="C2877" t="s">
        <v>7</v>
      </c>
      <c r="D2877" t="s">
        <v>713</v>
      </c>
      <c r="E2877" t="s">
        <v>11</v>
      </c>
      <c r="F2877" s="9">
        <v>5490.53</v>
      </c>
      <c r="G2877" s="4">
        <v>147</v>
      </c>
      <c r="H2877" s="8">
        <f t="shared" si="44"/>
        <v>147</v>
      </c>
      <c r="I2877" s="10">
        <v>8</v>
      </c>
    </row>
    <row r="2878" spans="1:9" ht="15.75" thickBot="1" x14ac:dyDescent="0.3">
      <c r="A2878" s="1">
        <v>43800</v>
      </c>
      <c r="B2878" s="8" t="s">
        <v>6</v>
      </c>
      <c r="C2878" t="s">
        <v>7</v>
      </c>
      <c r="D2878" t="s">
        <v>713</v>
      </c>
      <c r="E2878" t="s">
        <v>13</v>
      </c>
      <c r="F2878" s="9">
        <v>1115.08</v>
      </c>
      <c r="G2878" s="6">
        <v>40694.15</v>
      </c>
      <c r="H2878" s="8">
        <f t="shared" si="44"/>
        <v>40694.15</v>
      </c>
      <c r="I2878" s="10">
        <v>4</v>
      </c>
    </row>
    <row r="2879" spans="1:9" ht="15.75" thickBot="1" x14ac:dyDescent="0.3">
      <c r="A2879" s="1">
        <v>43800</v>
      </c>
      <c r="B2879" s="8" t="s">
        <v>6</v>
      </c>
      <c r="C2879" t="s">
        <v>7</v>
      </c>
      <c r="D2879" t="s">
        <v>714</v>
      </c>
      <c r="E2879" t="s">
        <v>9</v>
      </c>
      <c r="F2879" s="9">
        <v>55531.9</v>
      </c>
      <c r="G2879" s="4">
        <v>1594</v>
      </c>
      <c r="H2879" s="8">
        <f t="shared" si="44"/>
        <v>1594</v>
      </c>
      <c r="I2879" s="10">
        <v>87</v>
      </c>
    </row>
    <row r="2880" spans="1:9" ht="15.75" thickBot="1" x14ac:dyDescent="0.3">
      <c r="A2880" s="1">
        <v>43800</v>
      </c>
      <c r="B2880" s="8" t="s">
        <v>6</v>
      </c>
      <c r="C2880" t="s">
        <v>7</v>
      </c>
      <c r="D2880" t="s">
        <v>714</v>
      </c>
      <c r="E2880" t="s">
        <v>15</v>
      </c>
      <c r="F2880" s="9">
        <v>12598.41</v>
      </c>
      <c r="G2880" s="4">
        <v>330</v>
      </c>
      <c r="H2880" s="8">
        <f t="shared" si="44"/>
        <v>330</v>
      </c>
      <c r="I2880" s="10">
        <v>13</v>
      </c>
    </row>
    <row r="2881" spans="1:9" ht="15.75" thickBot="1" x14ac:dyDescent="0.3">
      <c r="A2881" s="1">
        <v>43800</v>
      </c>
      <c r="B2881" s="8" t="s">
        <v>6</v>
      </c>
      <c r="C2881" t="s">
        <v>7</v>
      </c>
      <c r="D2881" t="s">
        <v>714</v>
      </c>
      <c r="E2881" t="s">
        <v>10</v>
      </c>
      <c r="F2881" s="9">
        <v>467253.46</v>
      </c>
      <c r="G2881" s="7">
        <v>17079981.063000001</v>
      </c>
      <c r="H2881" s="8">
        <f t="shared" si="44"/>
        <v>17079.981062999999</v>
      </c>
      <c r="I2881" s="10">
        <v>1462</v>
      </c>
    </row>
    <row r="2882" spans="1:9" ht="15.75" thickBot="1" x14ac:dyDescent="0.3">
      <c r="A2882" s="1">
        <v>43466</v>
      </c>
      <c r="B2882" s="8" t="s">
        <v>6</v>
      </c>
      <c r="C2882" t="s">
        <v>7</v>
      </c>
      <c r="D2882" t="s">
        <v>714</v>
      </c>
      <c r="E2882" t="s">
        <v>11</v>
      </c>
      <c r="F2882" s="9">
        <v>6455.09</v>
      </c>
      <c r="G2882" s="4">
        <v>137</v>
      </c>
      <c r="H2882" s="8">
        <f t="shared" ref="H2882:H2945" si="45">IF(ISNUMBER(SEARCH("Domestic customer", E2882)),G2882/1000,G2882)</f>
        <v>137</v>
      </c>
      <c r="I2882" s="10">
        <v>26</v>
      </c>
    </row>
    <row r="2883" spans="1:9" ht="15.75" thickBot="1" x14ac:dyDescent="0.3">
      <c r="A2883" s="1">
        <v>43466</v>
      </c>
      <c r="B2883" s="8" t="s">
        <v>6</v>
      </c>
      <c r="C2883" t="s">
        <v>7</v>
      </c>
      <c r="D2883" t="s">
        <v>714</v>
      </c>
      <c r="E2883" t="s">
        <v>13</v>
      </c>
      <c r="F2883" s="9">
        <v>4363.18</v>
      </c>
      <c r="G2883" s="7">
        <v>130808.2</v>
      </c>
      <c r="H2883" s="8">
        <f t="shared" si="45"/>
        <v>130808.2</v>
      </c>
      <c r="I2883" s="10">
        <v>11</v>
      </c>
    </row>
    <row r="2884" spans="1:9" ht="15.75" thickBot="1" x14ac:dyDescent="0.3">
      <c r="A2884" s="1">
        <v>43466</v>
      </c>
      <c r="B2884" s="8" t="s">
        <v>6</v>
      </c>
      <c r="C2884" t="s">
        <v>7</v>
      </c>
      <c r="D2884" t="s">
        <v>715</v>
      </c>
      <c r="E2884" t="s">
        <v>10</v>
      </c>
      <c r="F2884" s="9">
        <v>94664.63</v>
      </c>
      <c r="G2884" s="6">
        <v>3494328.9849999999</v>
      </c>
      <c r="H2884" s="8">
        <f t="shared" si="45"/>
        <v>3494.3289849999996</v>
      </c>
      <c r="I2884" s="10">
        <v>261</v>
      </c>
    </row>
    <row r="2885" spans="1:9" ht="15.75" thickBot="1" x14ac:dyDescent="0.3">
      <c r="A2885" s="1">
        <v>43800</v>
      </c>
      <c r="B2885" s="8" t="s">
        <v>6</v>
      </c>
      <c r="C2885" t="s">
        <v>7</v>
      </c>
      <c r="D2885" t="s">
        <v>715</v>
      </c>
      <c r="E2885" t="s">
        <v>11</v>
      </c>
      <c r="F2885" s="9">
        <v>485.2</v>
      </c>
      <c r="G2885" s="4">
        <v>10</v>
      </c>
      <c r="H2885" s="8">
        <f t="shared" si="45"/>
        <v>10</v>
      </c>
      <c r="I2885" s="10">
        <v>2</v>
      </c>
    </row>
    <row r="2886" spans="1:9" ht="15.75" thickBot="1" x14ac:dyDescent="0.3">
      <c r="A2886" s="1">
        <v>43800</v>
      </c>
      <c r="B2886" s="8" t="s">
        <v>6</v>
      </c>
      <c r="C2886" t="s">
        <v>7</v>
      </c>
      <c r="D2886" t="s">
        <v>715</v>
      </c>
      <c r="E2886" t="s">
        <v>13</v>
      </c>
      <c r="F2886" s="9">
        <v>856.45</v>
      </c>
      <c r="G2886" s="6">
        <v>32000</v>
      </c>
      <c r="H2886" s="8">
        <f t="shared" si="45"/>
        <v>32000</v>
      </c>
      <c r="I2886" s="10">
        <v>3</v>
      </c>
    </row>
    <row r="2887" spans="1:9" ht="15.75" thickBot="1" x14ac:dyDescent="0.3">
      <c r="A2887" s="1">
        <v>43800</v>
      </c>
      <c r="B2887" s="8" t="s">
        <v>6</v>
      </c>
      <c r="C2887" t="s">
        <v>7</v>
      </c>
      <c r="D2887" t="s">
        <v>716</v>
      </c>
      <c r="E2887" t="s">
        <v>9</v>
      </c>
      <c r="F2887" s="9">
        <v>23179.75</v>
      </c>
      <c r="G2887" s="4">
        <v>839</v>
      </c>
      <c r="H2887" s="8">
        <f t="shared" si="45"/>
        <v>839</v>
      </c>
      <c r="I2887" s="10">
        <v>3</v>
      </c>
    </row>
    <row r="2888" spans="1:9" ht="15.75" thickBot="1" x14ac:dyDescent="0.3">
      <c r="A2888" s="1">
        <v>43800</v>
      </c>
      <c r="B2888" s="8" t="s">
        <v>6</v>
      </c>
      <c r="C2888" t="s">
        <v>7</v>
      </c>
      <c r="D2888" t="s">
        <v>716</v>
      </c>
      <c r="E2888" t="s">
        <v>15</v>
      </c>
      <c r="F2888" s="9">
        <v>26018.95</v>
      </c>
      <c r="G2888" s="4">
        <v>14018</v>
      </c>
      <c r="H2888" s="8">
        <f t="shared" si="45"/>
        <v>14018</v>
      </c>
      <c r="I2888" s="10">
        <v>37</v>
      </c>
    </row>
    <row r="2889" spans="1:9" ht="15.75" thickBot="1" x14ac:dyDescent="0.3">
      <c r="A2889" s="1">
        <v>43466</v>
      </c>
      <c r="B2889" s="8" t="s">
        <v>6</v>
      </c>
      <c r="C2889" t="s">
        <v>7</v>
      </c>
      <c r="D2889" t="s">
        <v>716</v>
      </c>
      <c r="E2889" t="s">
        <v>10</v>
      </c>
      <c r="F2889" s="9">
        <v>53232.72</v>
      </c>
      <c r="G2889" s="6">
        <v>50767020.844999999</v>
      </c>
      <c r="H2889" s="8">
        <f t="shared" si="45"/>
        <v>50767.020844999999</v>
      </c>
      <c r="I2889" s="10">
        <v>4992</v>
      </c>
    </row>
    <row r="2890" spans="1:9" ht="15.75" thickBot="1" x14ac:dyDescent="0.3">
      <c r="A2890" s="1">
        <v>43466</v>
      </c>
      <c r="B2890" s="8" t="s">
        <v>6</v>
      </c>
      <c r="C2890" t="s">
        <v>7</v>
      </c>
      <c r="D2890" t="s">
        <v>716</v>
      </c>
      <c r="E2890" t="s">
        <v>11</v>
      </c>
      <c r="F2890" s="9">
        <v>69031.56</v>
      </c>
      <c r="G2890" s="4">
        <v>2298</v>
      </c>
      <c r="H2890" s="8">
        <f t="shared" si="45"/>
        <v>2298</v>
      </c>
      <c r="I2890" s="10">
        <v>26</v>
      </c>
    </row>
    <row r="2891" spans="1:9" ht="15.75" thickBot="1" x14ac:dyDescent="0.3">
      <c r="A2891" s="1">
        <v>43466</v>
      </c>
      <c r="B2891" s="8" t="s">
        <v>6</v>
      </c>
      <c r="C2891" t="s">
        <v>7</v>
      </c>
      <c r="D2891" t="s">
        <v>716</v>
      </c>
      <c r="E2891" t="s">
        <v>13</v>
      </c>
      <c r="F2891" s="9">
        <v>0</v>
      </c>
      <c r="G2891" s="6">
        <v>286846</v>
      </c>
      <c r="H2891" s="8">
        <f t="shared" si="45"/>
        <v>286846</v>
      </c>
      <c r="I2891" s="10">
        <v>5</v>
      </c>
    </row>
    <row r="2892" spans="1:9" ht="15.75" thickBot="1" x14ac:dyDescent="0.3">
      <c r="A2892" s="1">
        <v>43800</v>
      </c>
      <c r="B2892" s="8" t="s">
        <v>6</v>
      </c>
      <c r="C2892" t="s">
        <v>7</v>
      </c>
      <c r="D2892" t="s">
        <v>717</v>
      </c>
      <c r="E2892" t="s">
        <v>15</v>
      </c>
      <c r="F2892" s="9">
        <v>356</v>
      </c>
      <c r="G2892" s="4">
        <v>0</v>
      </c>
      <c r="H2892" s="8">
        <f t="shared" si="45"/>
        <v>0</v>
      </c>
      <c r="I2892" s="10">
        <v>3</v>
      </c>
    </row>
    <row r="2893" spans="1:9" ht="15.75" thickBot="1" x14ac:dyDescent="0.3">
      <c r="A2893" s="1">
        <v>43800</v>
      </c>
      <c r="B2893" s="8" t="s">
        <v>6</v>
      </c>
      <c r="C2893" t="s">
        <v>7</v>
      </c>
      <c r="D2893" t="s">
        <v>717</v>
      </c>
      <c r="E2893" t="s">
        <v>10</v>
      </c>
      <c r="F2893" s="9">
        <v>117070.57</v>
      </c>
      <c r="G2893" s="6">
        <v>3444895.7560000001</v>
      </c>
      <c r="H2893" s="8">
        <f t="shared" si="45"/>
        <v>3444.8957559999999</v>
      </c>
      <c r="I2893" s="10">
        <v>517</v>
      </c>
    </row>
    <row r="2894" spans="1:9" ht="15.75" thickBot="1" x14ac:dyDescent="0.3">
      <c r="A2894" s="1">
        <v>43800</v>
      </c>
      <c r="B2894" s="8" t="s">
        <v>6</v>
      </c>
      <c r="C2894" t="s">
        <v>7</v>
      </c>
      <c r="D2894" t="s">
        <v>717</v>
      </c>
      <c r="E2894" t="s">
        <v>11</v>
      </c>
      <c r="F2894" s="9">
        <v>1278.73</v>
      </c>
      <c r="G2894" s="4">
        <v>9</v>
      </c>
      <c r="H2894" s="8">
        <f t="shared" si="45"/>
        <v>9</v>
      </c>
      <c r="I2894" s="10">
        <v>5</v>
      </c>
    </row>
    <row r="2895" spans="1:9" ht="15.75" thickBot="1" x14ac:dyDescent="0.3">
      <c r="A2895" s="1">
        <v>43800</v>
      </c>
      <c r="B2895" s="8" t="s">
        <v>6</v>
      </c>
      <c r="C2895" t="s">
        <v>7</v>
      </c>
      <c r="D2895" t="s">
        <v>718</v>
      </c>
      <c r="E2895" t="s">
        <v>9</v>
      </c>
      <c r="F2895" s="9">
        <v>2176.3200000000002</v>
      </c>
      <c r="G2895" s="4">
        <v>76</v>
      </c>
      <c r="H2895" s="8">
        <f t="shared" si="45"/>
        <v>76</v>
      </c>
      <c r="I2895" s="10">
        <v>1</v>
      </c>
    </row>
    <row r="2896" spans="1:9" ht="15.75" thickBot="1" x14ac:dyDescent="0.3">
      <c r="A2896" s="1">
        <v>43466</v>
      </c>
      <c r="B2896" s="8" t="s">
        <v>6</v>
      </c>
      <c r="C2896" t="s">
        <v>7</v>
      </c>
      <c r="D2896" t="s">
        <v>718</v>
      </c>
      <c r="E2896" t="s">
        <v>10</v>
      </c>
      <c r="F2896" s="9">
        <v>312894.02</v>
      </c>
      <c r="G2896" s="6">
        <v>10778292.489</v>
      </c>
      <c r="H2896" s="8">
        <f t="shared" si="45"/>
        <v>10778.292488999999</v>
      </c>
      <c r="I2896" s="10">
        <v>664</v>
      </c>
    </row>
    <row r="2897" spans="1:9" ht="15.75" thickBot="1" x14ac:dyDescent="0.3">
      <c r="A2897" s="1">
        <v>43466</v>
      </c>
      <c r="B2897" s="8" t="s">
        <v>6</v>
      </c>
      <c r="C2897" t="s">
        <v>7</v>
      </c>
      <c r="D2897" t="s">
        <v>718</v>
      </c>
      <c r="E2897" t="s">
        <v>11</v>
      </c>
      <c r="F2897" s="9">
        <v>6686.87</v>
      </c>
      <c r="G2897" s="7">
        <v>89093</v>
      </c>
      <c r="H2897" s="8">
        <f t="shared" si="45"/>
        <v>89093</v>
      </c>
      <c r="I2897" s="10">
        <v>22</v>
      </c>
    </row>
    <row r="2898" spans="1:9" ht="15.75" thickBot="1" x14ac:dyDescent="0.3">
      <c r="A2898" s="1">
        <v>43466</v>
      </c>
      <c r="B2898" s="8" t="s">
        <v>6</v>
      </c>
      <c r="C2898" t="s">
        <v>7</v>
      </c>
      <c r="D2898" t="s">
        <v>718</v>
      </c>
      <c r="E2898" t="s">
        <v>13</v>
      </c>
      <c r="F2898" s="9">
        <v>249.99</v>
      </c>
      <c r="G2898" s="6">
        <v>9000</v>
      </c>
      <c r="H2898" s="8">
        <f t="shared" si="45"/>
        <v>9000</v>
      </c>
      <c r="I2898" s="10">
        <v>1</v>
      </c>
    </row>
    <row r="2899" spans="1:9" ht="15.75" thickBot="1" x14ac:dyDescent="0.3">
      <c r="A2899" s="1">
        <v>43800</v>
      </c>
      <c r="B2899" s="8" t="s">
        <v>6</v>
      </c>
      <c r="C2899" t="s">
        <v>7</v>
      </c>
      <c r="D2899" t="s">
        <v>719</v>
      </c>
      <c r="E2899" t="s">
        <v>15</v>
      </c>
      <c r="F2899" s="9">
        <v>2009.61</v>
      </c>
      <c r="G2899" s="4">
        <v>11</v>
      </c>
      <c r="H2899" s="8">
        <f t="shared" si="45"/>
        <v>11</v>
      </c>
      <c r="I2899" s="10">
        <v>11</v>
      </c>
    </row>
    <row r="2900" spans="1:9" ht="15.75" thickBot="1" x14ac:dyDescent="0.3">
      <c r="A2900" s="1">
        <v>43800</v>
      </c>
      <c r="B2900" s="8" t="s">
        <v>6</v>
      </c>
      <c r="C2900" t="s">
        <v>7</v>
      </c>
      <c r="D2900" t="s">
        <v>719</v>
      </c>
      <c r="E2900" t="s">
        <v>10</v>
      </c>
      <c r="F2900" s="9">
        <v>100553.71</v>
      </c>
      <c r="G2900" s="6">
        <v>3833231.162</v>
      </c>
      <c r="H2900" s="8">
        <f t="shared" si="45"/>
        <v>3833.231162</v>
      </c>
      <c r="I2900" s="10">
        <v>339</v>
      </c>
    </row>
    <row r="2901" spans="1:9" ht="15.75" thickBot="1" x14ac:dyDescent="0.3">
      <c r="A2901" s="1">
        <v>43800</v>
      </c>
      <c r="B2901" s="8" t="s">
        <v>6</v>
      </c>
      <c r="C2901" t="s">
        <v>7</v>
      </c>
      <c r="D2901" t="s">
        <v>719</v>
      </c>
      <c r="E2901" t="s">
        <v>11</v>
      </c>
      <c r="F2901" s="9">
        <v>638.48</v>
      </c>
      <c r="G2901" s="6">
        <v>16000</v>
      </c>
      <c r="H2901" s="8">
        <f t="shared" si="45"/>
        <v>16000</v>
      </c>
      <c r="I2901" s="10">
        <v>4</v>
      </c>
    </row>
    <row r="2902" spans="1:9" ht="15.75" thickBot="1" x14ac:dyDescent="0.3">
      <c r="A2902" s="1">
        <v>43800</v>
      </c>
      <c r="B2902" s="8" t="s">
        <v>6</v>
      </c>
      <c r="C2902" t="s">
        <v>7</v>
      </c>
      <c r="D2902" t="s">
        <v>719</v>
      </c>
      <c r="E2902" t="s">
        <v>13</v>
      </c>
      <c r="F2902" s="9">
        <v>1288.73</v>
      </c>
      <c r="G2902" s="6">
        <v>41000</v>
      </c>
      <c r="H2902" s="8">
        <f t="shared" si="45"/>
        <v>41000</v>
      </c>
      <c r="I2902" s="10">
        <v>5</v>
      </c>
    </row>
    <row r="2903" spans="1:9" ht="15.75" thickBot="1" x14ac:dyDescent="0.3">
      <c r="A2903" s="1">
        <v>43466</v>
      </c>
      <c r="B2903" s="8" t="s">
        <v>6</v>
      </c>
      <c r="C2903" t="s">
        <v>7</v>
      </c>
      <c r="D2903" t="s">
        <v>720</v>
      </c>
      <c r="E2903" t="s">
        <v>15</v>
      </c>
      <c r="F2903" s="9">
        <v>400</v>
      </c>
      <c r="G2903" s="4">
        <v>0</v>
      </c>
      <c r="H2903" s="8">
        <f t="shared" si="45"/>
        <v>0</v>
      </c>
      <c r="I2903" s="10">
        <v>1</v>
      </c>
    </row>
    <row r="2904" spans="1:9" ht="15.75" thickBot="1" x14ac:dyDescent="0.3">
      <c r="A2904" s="1">
        <v>43466</v>
      </c>
      <c r="B2904" s="8" t="s">
        <v>6</v>
      </c>
      <c r="C2904" t="s">
        <v>7</v>
      </c>
      <c r="D2904" t="s">
        <v>720</v>
      </c>
      <c r="E2904" t="s">
        <v>10</v>
      </c>
      <c r="F2904" s="9">
        <v>76479.740000000005</v>
      </c>
      <c r="G2904" s="6">
        <v>2786179.8640000001</v>
      </c>
      <c r="H2904" s="8">
        <f t="shared" si="45"/>
        <v>2786.1798640000002</v>
      </c>
      <c r="I2904" s="10">
        <v>259</v>
      </c>
    </row>
    <row r="2905" spans="1:9" ht="15.75" thickBot="1" x14ac:dyDescent="0.3">
      <c r="A2905" s="1">
        <v>43466</v>
      </c>
      <c r="B2905" s="8" t="s">
        <v>6</v>
      </c>
      <c r="C2905" t="s">
        <v>7</v>
      </c>
      <c r="D2905" t="s">
        <v>720</v>
      </c>
      <c r="E2905" t="s">
        <v>11</v>
      </c>
      <c r="F2905" s="9">
        <v>219.53</v>
      </c>
      <c r="G2905" s="4">
        <v>3</v>
      </c>
      <c r="H2905" s="8">
        <f t="shared" si="45"/>
        <v>3</v>
      </c>
      <c r="I2905" s="10">
        <v>2</v>
      </c>
    </row>
    <row r="2906" spans="1:9" ht="15.75" thickBot="1" x14ac:dyDescent="0.3">
      <c r="A2906" s="1">
        <v>43800</v>
      </c>
      <c r="B2906" s="8" t="s">
        <v>6</v>
      </c>
      <c r="C2906" t="s">
        <v>7</v>
      </c>
      <c r="D2906" t="s">
        <v>721</v>
      </c>
      <c r="E2906" t="s">
        <v>11</v>
      </c>
      <c r="F2906" s="9">
        <v>244.71</v>
      </c>
      <c r="G2906" s="5">
        <v>0</v>
      </c>
      <c r="H2906" s="8">
        <f t="shared" si="45"/>
        <v>0</v>
      </c>
      <c r="I2906" s="10">
        <v>3</v>
      </c>
    </row>
    <row r="2907" spans="1:9" ht="15.75" thickBot="1" x14ac:dyDescent="0.3">
      <c r="A2907" s="1">
        <v>43800</v>
      </c>
      <c r="B2907" s="8" t="s">
        <v>6</v>
      </c>
      <c r="C2907" t="s">
        <v>7</v>
      </c>
      <c r="D2907" t="s">
        <v>722</v>
      </c>
      <c r="E2907" t="s">
        <v>9</v>
      </c>
      <c r="F2907" s="9">
        <v>52913.3</v>
      </c>
      <c r="G2907" s="4">
        <v>1688</v>
      </c>
      <c r="H2907" s="8">
        <f t="shared" si="45"/>
        <v>1688</v>
      </c>
      <c r="I2907" s="10">
        <v>9</v>
      </c>
    </row>
    <row r="2908" spans="1:9" ht="15.75" thickBot="1" x14ac:dyDescent="0.3">
      <c r="A2908" s="1">
        <v>43800</v>
      </c>
      <c r="B2908" s="8" t="s">
        <v>6</v>
      </c>
      <c r="C2908" t="s">
        <v>7</v>
      </c>
      <c r="D2908" t="s">
        <v>722</v>
      </c>
      <c r="E2908" t="s">
        <v>15</v>
      </c>
      <c r="F2908" s="9">
        <v>9997.65</v>
      </c>
      <c r="G2908" s="4">
        <v>34243</v>
      </c>
      <c r="H2908" s="8">
        <f t="shared" si="45"/>
        <v>34243</v>
      </c>
      <c r="I2908" s="10">
        <v>6</v>
      </c>
    </row>
    <row r="2909" spans="1:9" ht="15.75" thickBot="1" x14ac:dyDescent="0.3">
      <c r="A2909" s="1">
        <v>43800</v>
      </c>
      <c r="B2909" s="8" t="s">
        <v>6</v>
      </c>
      <c r="C2909" t="s">
        <v>7</v>
      </c>
      <c r="D2909" t="s">
        <v>722</v>
      </c>
      <c r="E2909" t="s">
        <v>10</v>
      </c>
      <c r="F2909" s="9">
        <v>92058.4</v>
      </c>
      <c r="G2909" s="6">
        <v>21224377.719000001</v>
      </c>
      <c r="H2909" s="8">
        <f t="shared" si="45"/>
        <v>21224.377719</v>
      </c>
      <c r="I2909" s="10">
        <v>2060</v>
      </c>
    </row>
    <row r="2910" spans="1:9" ht="15.75" thickBot="1" x14ac:dyDescent="0.3">
      <c r="A2910" s="1">
        <v>43466</v>
      </c>
      <c r="B2910" s="8" t="s">
        <v>6</v>
      </c>
      <c r="C2910" t="s">
        <v>7</v>
      </c>
      <c r="D2910" t="s">
        <v>722</v>
      </c>
      <c r="E2910" t="s">
        <v>11</v>
      </c>
      <c r="F2910" s="9">
        <v>38957.120000000003</v>
      </c>
      <c r="G2910" s="4">
        <v>1161</v>
      </c>
      <c r="H2910" s="8">
        <f t="shared" si="45"/>
        <v>1161</v>
      </c>
      <c r="I2910" s="10">
        <v>14</v>
      </c>
    </row>
    <row r="2911" spans="1:9" ht="15.75" thickBot="1" x14ac:dyDescent="0.3">
      <c r="A2911" s="1">
        <v>43466</v>
      </c>
      <c r="B2911" s="8" t="s">
        <v>6</v>
      </c>
      <c r="C2911" t="s">
        <v>7</v>
      </c>
      <c r="D2911" t="s">
        <v>722</v>
      </c>
      <c r="E2911" t="s">
        <v>13</v>
      </c>
      <c r="F2911" s="9">
        <v>0</v>
      </c>
      <c r="G2911" s="6">
        <v>28124.194</v>
      </c>
      <c r="H2911" s="8">
        <f t="shared" si="45"/>
        <v>28124.194</v>
      </c>
      <c r="I2911" s="10">
        <v>3</v>
      </c>
    </row>
    <row r="2912" spans="1:9" ht="15.75" thickBot="1" x14ac:dyDescent="0.3">
      <c r="A2912" s="1">
        <v>43466</v>
      </c>
      <c r="B2912" s="8" t="s">
        <v>6</v>
      </c>
      <c r="C2912" t="s">
        <v>7</v>
      </c>
      <c r="D2912" t="s">
        <v>723</v>
      </c>
      <c r="E2912" t="s">
        <v>9</v>
      </c>
      <c r="F2912" s="9">
        <v>24645.78</v>
      </c>
      <c r="G2912" s="4">
        <v>749</v>
      </c>
      <c r="H2912" s="8">
        <f t="shared" si="45"/>
        <v>749</v>
      </c>
      <c r="I2912" s="10">
        <v>14</v>
      </c>
    </row>
    <row r="2913" spans="1:9" ht="15.75" thickBot="1" x14ac:dyDescent="0.3">
      <c r="A2913" s="1">
        <v>43800</v>
      </c>
      <c r="B2913" s="8" t="s">
        <v>6</v>
      </c>
      <c r="C2913" t="s">
        <v>7</v>
      </c>
      <c r="D2913" t="s">
        <v>723</v>
      </c>
      <c r="E2913" t="s">
        <v>15</v>
      </c>
      <c r="F2913" s="9">
        <v>56</v>
      </c>
      <c r="G2913" s="4">
        <v>0</v>
      </c>
      <c r="H2913" s="8">
        <f t="shared" si="45"/>
        <v>0</v>
      </c>
      <c r="I2913" s="10">
        <v>1</v>
      </c>
    </row>
    <row r="2914" spans="1:9" ht="15.75" thickBot="1" x14ac:dyDescent="0.3">
      <c r="A2914" s="1">
        <v>43800</v>
      </c>
      <c r="B2914" s="8" t="s">
        <v>6</v>
      </c>
      <c r="C2914" t="s">
        <v>7</v>
      </c>
      <c r="D2914" t="s">
        <v>723</v>
      </c>
      <c r="E2914" t="s">
        <v>10</v>
      </c>
      <c r="F2914" s="9">
        <v>854665.69</v>
      </c>
      <c r="G2914" s="7">
        <v>28134547.684999999</v>
      </c>
      <c r="H2914" s="8">
        <f t="shared" si="45"/>
        <v>28134.547684999998</v>
      </c>
      <c r="I2914" s="10">
        <v>1277</v>
      </c>
    </row>
    <row r="2915" spans="1:9" ht="15.75" thickBot="1" x14ac:dyDescent="0.3">
      <c r="A2915" s="1">
        <v>43800</v>
      </c>
      <c r="B2915" s="8" t="s">
        <v>6</v>
      </c>
      <c r="C2915" t="s">
        <v>7</v>
      </c>
      <c r="D2915" t="s">
        <v>723</v>
      </c>
      <c r="E2915" t="s">
        <v>17</v>
      </c>
      <c r="F2915" s="9">
        <v>1696.56</v>
      </c>
      <c r="G2915" s="4">
        <v>58</v>
      </c>
      <c r="H2915" s="8">
        <f t="shared" si="45"/>
        <v>58</v>
      </c>
      <c r="I2915" s="10">
        <v>1</v>
      </c>
    </row>
    <row r="2916" spans="1:9" ht="15.75" thickBot="1" x14ac:dyDescent="0.3">
      <c r="A2916" s="1">
        <v>43800</v>
      </c>
      <c r="B2916" s="8" t="s">
        <v>6</v>
      </c>
      <c r="C2916" t="s">
        <v>7</v>
      </c>
      <c r="D2916" t="s">
        <v>723</v>
      </c>
      <c r="E2916" t="s">
        <v>11</v>
      </c>
      <c r="F2916" s="9">
        <v>143498.29</v>
      </c>
      <c r="G2916" s="7">
        <v>1697409.1310000001</v>
      </c>
      <c r="H2916" s="8">
        <f t="shared" si="45"/>
        <v>1697409.1310000001</v>
      </c>
      <c r="I2916" s="10">
        <v>35</v>
      </c>
    </row>
    <row r="2917" spans="1:9" ht="15.75" thickBot="1" x14ac:dyDescent="0.3">
      <c r="A2917" s="1">
        <v>43466</v>
      </c>
      <c r="B2917" s="8" t="s">
        <v>6</v>
      </c>
      <c r="C2917" t="s">
        <v>7</v>
      </c>
      <c r="D2917" t="s">
        <v>723</v>
      </c>
      <c r="E2917" t="s">
        <v>13</v>
      </c>
      <c r="F2917" s="9">
        <v>12649.3</v>
      </c>
      <c r="G2917" s="6">
        <v>356168.5</v>
      </c>
      <c r="H2917" s="8">
        <f t="shared" si="45"/>
        <v>356168.5</v>
      </c>
      <c r="I2917" s="10">
        <v>9</v>
      </c>
    </row>
    <row r="2918" spans="1:9" ht="15.75" thickBot="1" x14ac:dyDescent="0.3">
      <c r="A2918" s="1">
        <v>43466</v>
      </c>
      <c r="B2918" s="8" t="s">
        <v>6</v>
      </c>
      <c r="C2918" t="s">
        <v>7</v>
      </c>
      <c r="D2918" t="s">
        <v>724</v>
      </c>
      <c r="E2918" t="s">
        <v>9</v>
      </c>
      <c r="F2918" s="9">
        <v>653944.46</v>
      </c>
      <c r="G2918" s="4">
        <v>19787</v>
      </c>
      <c r="H2918" s="8">
        <f t="shared" si="45"/>
        <v>19787</v>
      </c>
      <c r="I2918" s="10">
        <v>3</v>
      </c>
    </row>
    <row r="2919" spans="1:9" ht="15.75" thickBot="1" x14ac:dyDescent="0.3">
      <c r="A2919" s="1">
        <v>43466</v>
      </c>
      <c r="B2919" s="8" t="s">
        <v>6</v>
      </c>
      <c r="C2919" t="s">
        <v>7</v>
      </c>
      <c r="D2919" t="s">
        <v>724</v>
      </c>
      <c r="E2919" t="s">
        <v>15</v>
      </c>
      <c r="F2919" s="9">
        <v>1303.33</v>
      </c>
      <c r="G2919" s="4">
        <v>1</v>
      </c>
      <c r="H2919" s="8">
        <f t="shared" si="45"/>
        <v>1</v>
      </c>
      <c r="I2919" s="10">
        <v>8</v>
      </c>
    </row>
    <row r="2920" spans="1:9" ht="15.75" thickBot="1" x14ac:dyDescent="0.3">
      <c r="A2920" s="1">
        <v>43800</v>
      </c>
      <c r="B2920" s="8" t="s">
        <v>6</v>
      </c>
      <c r="C2920" t="s">
        <v>7</v>
      </c>
      <c r="D2920" t="s">
        <v>724</v>
      </c>
      <c r="E2920" t="s">
        <v>10</v>
      </c>
      <c r="F2920" s="9">
        <v>391376.27</v>
      </c>
      <c r="G2920" s="7">
        <v>13369068.369000001</v>
      </c>
      <c r="H2920" s="8">
        <f t="shared" si="45"/>
        <v>13369.068369000001</v>
      </c>
      <c r="I2920" s="10">
        <v>1066</v>
      </c>
    </row>
    <row r="2921" spans="1:9" ht="15.75" thickBot="1" x14ac:dyDescent="0.3">
      <c r="A2921" s="1">
        <v>43800</v>
      </c>
      <c r="B2921" s="8" t="s">
        <v>6</v>
      </c>
      <c r="C2921" t="s">
        <v>7</v>
      </c>
      <c r="D2921" t="s">
        <v>724</v>
      </c>
      <c r="E2921" t="s">
        <v>17</v>
      </c>
      <c r="F2921" s="9">
        <v>3833.04</v>
      </c>
      <c r="G2921" s="4">
        <v>122</v>
      </c>
      <c r="H2921" s="8">
        <f t="shared" si="45"/>
        <v>122</v>
      </c>
      <c r="I2921" s="10">
        <v>2</v>
      </c>
    </row>
    <row r="2922" spans="1:9" ht="15.75" thickBot="1" x14ac:dyDescent="0.3">
      <c r="A2922" s="1">
        <v>43800</v>
      </c>
      <c r="B2922" s="8" t="s">
        <v>6</v>
      </c>
      <c r="C2922" t="s">
        <v>7</v>
      </c>
      <c r="D2922" t="s">
        <v>724</v>
      </c>
      <c r="E2922" t="s">
        <v>11</v>
      </c>
      <c r="F2922" s="9">
        <v>4529.5600000000004</v>
      </c>
      <c r="G2922" s="7">
        <v>13375.6</v>
      </c>
      <c r="H2922" s="8">
        <f t="shared" si="45"/>
        <v>13375.6</v>
      </c>
      <c r="I2922" s="10">
        <v>10</v>
      </c>
    </row>
    <row r="2923" spans="1:9" ht="15.75" thickBot="1" x14ac:dyDescent="0.3">
      <c r="A2923" s="1">
        <v>43800</v>
      </c>
      <c r="B2923" s="8" t="s">
        <v>6</v>
      </c>
      <c r="C2923" t="s">
        <v>7</v>
      </c>
      <c r="D2923" t="s">
        <v>724</v>
      </c>
      <c r="E2923" t="s">
        <v>13</v>
      </c>
      <c r="F2923" s="9">
        <v>-2330.2800000000002</v>
      </c>
      <c r="G2923" s="6">
        <v>-100161.291</v>
      </c>
      <c r="H2923" s="8">
        <f t="shared" si="45"/>
        <v>-100161.291</v>
      </c>
      <c r="I2923" s="10">
        <v>7</v>
      </c>
    </row>
    <row r="2924" spans="1:9" ht="15.75" thickBot="1" x14ac:dyDescent="0.3">
      <c r="A2924" s="1">
        <v>43466</v>
      </c>
      <c r="B2924" s="8" t="s">
        <v>6</v>
      </c>
      <c r="C2924" t="s">
        <v>7</v>
      </c>
      <c r="D2924" t="s">
        <v>725</v>
      </c>
      <c r="E2924" t="s">
        <v>9</v>
      </c>
      <c r="F2924" s="9">
        <v>8043.9</v>
      </c>
      <c r="G2924" s="4">
        <v>270</v>
      </c>
      <c r="H2924" s="8">
        <f t="shared" si="45"/>
        <v>270</v>
      </c>
      <c r="I2924" s="10">
        <v>4</v>
      </c>
    </row>
    <row r="2925" spans="1:9" ht="15.75" thickBot="1" x14ac:dyDescent="0.3">
      <c r="A2925" s="1">
        <v>43466</v>
      </c>
      <c r="B2925" s="8" t="s">
        <v>6</v>
      </c>
      <c r="C2925" t="s">
        <v>7</v>
      </c>
      <c r="D2925" t="s">
        <v>725</v>
      </c>
      <c r="E2925" t="s">
        <v>15</v>
      </c>
      <c r="F2925" s="9">
        <v>2220.75</v>
      </c>
      <c r="G2925" s="4">
        <v>21</v>
      </c>
      <c r="H2925" s="8">
        <f t="shared" si="45"/>
        <v>21</v>
      </c>
      <c r="I2925" s="10">
        <v>8</v>
      </c>
    </row>
    <row r="2926" spans="1:9" ht="15.75" thickBot="1" x14ac:dyDescent="0.3">
      <c r="A2926" s="1">
        <v>43466</v>
      </c>
      <c r="B2926" s="8" t="s">
        <v>6</v>
      </c>
      <c r="C2926" t="s">
        <v>7</v>
      </c>
      <c r="D2926" t="s">
        <v>725</v>
      </c>
      <c r="E2926" t="s">
        <v>10</v>
      </c>
      <c r="F2926" s="9">
        <v>202261.29</v>
      </c>
      <c r="G2926" s="7">
        <v>8268723.5599999996</v>
      </c>
      <c r="H2926" s="8">
        <f t="shared" si="45"/>
        <v>8268.7235600000004</v>
      </c>
      <c r="I2926" s="10">
        <v>629</v>
      </c>
    </row>
    <row r="2927" spans="1:9" ht="15.75" thickBot="1" x14ac:dyDescent="0.3">
      <c r="A2927" s="1">
        <v>43800</v>
      </c>
      <c r="B2927" s="8" t="s">
        <v>6</v>
      </c>
      <c r="C2927" t="s">
        <v>7</v>
      </c>
      <c r="D2927" t="s">
        <v>725</v>
      </c>
      <c r="E2927" t="s">
        <v>17</v>
      </c>
      <c r="F2927" s="9">
        <v>2754.12</v>
      </c>
      <c r="G2927" s="4">
        <v>91</v>
      </c>
      <c r="H2927" s="8">
        <f t="shared" si="45"/>
        <v>91</v>
      </c>
      <c r="I2927" s="10">
        <v>3</v>
      </c>
    </row>
    <row r="2928" spans="1:9" ht="15.75" thickBot="1" x14ac:dyDescent="0.3">
      <c r="A2928" s="1">
        <v>43800</v>
      </c>
      <c r="B2928" s="8" t="s">
        <v>6</v>
      </c>
      <c r="C2928" t="s">
        <v>7</v>
      </c>
      <c r="D2928" t="s">
        <v>725</v>
      </c>
      <c r="E2928" t="s">
        <v>11</v>
      </c>
      <c r="F2928" s="9">
        <v>601.23</v>
      </c>
      <c r="G2928" s="4">
        <v>11</v>
      </c>
      <c r="H2928" s="8">
        <f t="shared" si="45"/>
        <v>11</v>
      </c>
      <c r="I2928" s="10">
        <v>4</v>
      </c>
    </row>
    <row r="2929" spans="1:9" ht="15.75" thickBot="1" x14ac:dyDescent="0.3">
      <c r="A2929" s="1">
        <v>43800</v>
      </c>
      <c r="B2929" s="8" t="s">
        <v>6</v>
      </c>
      <c r="C2929" t="s">
        <v>7</v>
      </c>
      <c r="D2929" t="s">
        <v>725</v>
      </c>
      <c r="E2929" t="s">
        <v>13</v>
      </c>
      <c r="F2929" s="9">
        <v>903.18</v>
      </c>
      <c r="G2929" s="6">
        <v>32000</v>
      </c>
      <c r="H2929" s="8">
        <f t="shared" si="45"/>
        <v>32000</v>
      </c>
      <c r="I2929" s="10">
        <v>4</v>
      </c>
    </row>
    <row r="2930" spans="1:9" ht="15.75" thickBot="1" x14ac:dyDescent="0.3">
      <c r="A2930" s="1">
        <v>43800</v>
      </c>
      <c r="B2930" s="8" t="s">
        <v>6</v>
      </c>
      <c r="C2930" t="s">
        <v>7</v>
      </c>
      <c r="D2930" t="s">
        <v>726</v>
      </c>
      <c r="E2930" t="s">
        <v>9</v>
      </c>
      <c r="F2930" s="9">
        <v>3243.16</v>
      </c>
      <c r="G2930" s="4">
        <v>113</v>
      </c>
      <c r="H2930" s="8">
        <f t="shared" si="45"/>
        <v>113</v>
      </c>
      <c r="I2930" s="10">
        <v>2</v>
      </c>
    </row>
    <row r="2931" spans="1:9" ht="15.75" thickBot="1" x14ac:dyDescent="0.3">
      <c r="A2931" s="1">
        <v>43466</v>
      </c>
      <c r="B2931" s="8" t="s">
        <v>6</v>
      </c>
      <c r="C2931" t="s">
        <v>7</v>
      </c>
      <c r="D2931" t="s">
        <v>726</v>
      </c>
      <c r="E2931" t="s">
        <v>15</v>
      </c>
      <c r="F2931" s="9">
        <v>612</v>
      </c>
      <c r="G2931" s="4">
        <v>0</v>
      </c>
      <c r="H2931" s="8">
        <f t="shared" si="45"/>
        <v>0</v>
      </c>
      <c r="I2931" s="10">
        <v>3</v>
      </c>
    </row>
    <row r="2932" spans="1:9" ht="15.75" thickBot="1" x14ac:dyDescent="0.3">
      <c r="A2932" s="1">
        <v>43466</v>
      </c>
      <c r="B2932" s="8" t="s">
        <v>6</v>
      </c>
      <c r="C2932" t="s">
        <v>7</v>
      </c>
      <c r="D2932" t="s">
        <v>726</v>
      </c>
      <c r="E2932" t="s">
        <v>10</v>
      </c>
      <c r="F2932" s="9">
        <v>53302.66</v>
      </c>
      <c r="G2932" s="6">
        <v>1963915.6780000001</v>
      </c>
      <c r="H2932" s="8">
        <f t="shared" si="45"/>
        <v>1963.9156780000001</v>
      </c>
      <c r="I2932" s="10">
        <v>202</v>
      </c>
    </row>
    <row r="2933" spans="1:9" ht="15.75" thickBot="1" x14ac:dyDescent="0.3">
      <c r="A2933" s="1">
        <v>43466</v>
      </c>
      <c r="B2933" s="8" t="s">
        <v>6</v>
      </c>
      <c r="C2933" t="s">
        <v>7</v>
      </c>
      <c r="D2933" t="s">
        <v>726</v>
      </c>
      <c r="E2933" t="s">
        <v>13</v>
      </c>
      <c r="F2933" s="9">
        <v>330.65</v>
      </c>
      <c r="G2933" s="6">
        <v>11000</v>
      </c>
      <c r="H2933" s="8">
        <f t="shared" si="45"/>
        <v>11000</v>
      </c>
      <c r="I2933" s="10">
        <v>2</v>
      </c>
    </row>
    <row r="2934" spans="1:9" ht="15.75" thickBot="1" x14ac:dyDescent="0.3">
      <c r="A2934" s="1">
        <v>43800</v>
      </c>
      <c r="B2934" s="8" t="s">
        <v>6</v>
      </c>
      <c r="C2934" t="s">
        <v>7</v>
      </c>
      <c r="D2934" t="s">
        <v>727</v>
      </c>
      <c r="E2934" t="s">
        <v>9</v>
      </c>
      <c r="F2934" s="9">
        <v>60514.239999999998</v>
      </c>
      <c r="G2934" s="4">
        <v>1963</v>
      </c>
      <c r="H2934" s="8">
        <f t="shared" si="45"/>
        <v>1963</v>
      </c>
      <c r="I2934" s="10">
        <v>33</v>
      </c>
    </row>
    <row r="2935" spans="1:9" ht="15.75" thickBot="1" x14ac:dyDescent="0.3">
      <c r="A2935" s="1">
        <v>43800</v>
      </c>
      <c r="B2935" s="8" t="s">
        <v>6</v>
      </c>
      <c r="C2935" t="s">
        <v>7</v>
      </c>
      <c r="D2935" t="s">
        <v>727</v>
      </c>
      <c r="E2935" t="s">
        <v>15</v>
      </c>
      <c r="F2935" s="9">
        <v>35597.06</v>
      </c>
      <c r="G2935" s="4">
        <v>1138</v>
      </c>
      <c r="H2935" s="8">
        <f t="shared" si="45"/>
        <v>1138</v>
      </c>
      <c r="I2935" s="10">
        <v>8</v>
      </c>
    </row>
    <row r="2936" spans="1:9" ht="15.75" thickBot="1" x14ac:dyDescent="0.3">
      <c r="A2936" s="1">
        <v>43800</v>
      </c>
      <c r="B2936" s="8" t="s">
        <v>6</v>
      </c>
      <c r="C2936" t="s">
        <v>7</v>
      </c>
      <c r="D2936" t="s">
        <v>727</v>
      </c>
      <c r="E2936" t="s">
        <v>10</v>
      </c>
      <c r="F2936" s="9">
        <v>87849.67</v>
      </c>
      <c r="G2936" s="6">
        <v>3011274.9619999998</v>
      </c>
      <c r="H2936" s="8">
        <f t="shared" si="45"/>
        <v>3011.274962</v>
      </c>
      <c r="I2936" s="10">
        <v>280</v>
      </c>
    </row>
    <row r="2937" spans="1:9" ht="15.75" thickBot="1" x14ac:dyDescent="0.3">
      <c r="A2937" s="1">
        <v>43800</v>
      </c>
      <c r="B2937" s="8" t="s">
        <v>6</v>
      </c>
      <c r="C2937" t="s">
        <v>7</v>
      </c>
      <c r="D2937" t="s">
        <v>727</v>
      </c>
      <c r="E2937" t="s">
        <v>11</v>
      </c>
      <c r="F2937" s="9">
        <v>13266.16</v>
      </c>
      <c r="G2937" s="4">
        <v>436</v>
      </c>
      <c r="H2937" s="8">
        <f t="shared" si="45"/>
        <v>436</v>
      </c>
      <c r="I2937" s="10">
        <v>7</v>
      </c>
    </row>
    <row r="2938" spans="1:9" ht="15.75" thickBot="1" x14ac:dyDescent="0.3">
      <c r="A2938" s="1">
        <v>43466</v>
      </c>
      <c r="B2938" s="8" t="s">
        <v>6</v>
      </c>
      <c r="C2938" t="s">
        <v>7</v>
      </c>
      <c r="D2938" t="s">
        <v>727</v>
      </c>
      <c r="E2938" t="s">
        <v>13</v>
      </c>
      <c r="F2938" s="9">
        <v>387.21</v>
      </c>
      <c r="G2938" s="6">
        <v>15000</v>
      </c>
      <c r="H2938" s="8">
        <f t="shared" si="45"/>
        <v>15000</v>
      </c>
      <c r="I2938" s="10">
        <v>1</v>
      </c>
    </row>
    <row r="2939" spans="1:9" ht="15.75" thickBot="1" x14ac:dyDescent="0.3">
      <c r="A2939" s="1">
        <v>43466</v>
      </c>
      <c r="B2939" s="8" t="s">
        <v>6</v>
      </c>
      <c r="C2939" t="s">
        <v>7</v>
      </c>
      <c r="D2939" t="s">
        <v>728</v>
      </c>
      <c r="E2939" t="s">
        <v>10</v>
      </c>
      <c r="F2939" s="9">
        <v>53579.81</v>
      </c>
      <c r="G2939" s="6">
        <v>1691388.4180000001</v>
      </c>
      <c r="H2939" s="8">
        <f t="shared" si="45"/>
        <v>1691.388418</v>
      </c>
      <c r="I2939" s="10">
        <v>231</v>
      </c>
    </row>
    <row r="2940" spans="1:9" ht="15.75" thickBot="1" x14ac:dyDescent="0.3">
      <c r="A2940" s="1">
        <v>43466</v>
      </c>
      <c r="B2940" s="8" t="s">
        <v>6</v>
      </c>
      <c r="C2940" t="s">
        <v>7</v>
      </c>
      <c r="D2940" t="s">
        <v>728</v>
      </c>
      <c r="E2940" t="s">
        <v>11</v>
      </c>
      <c r="F2940" s="9">
        <v>758.18</v>
      </c>
      <c r="G2940" s="6">
        <v>28000</v>
      </c>
      <c r="H2940" s="8">
        <f t="shared" si="45"/>
        <v>28000</v>
      </c>
      <c r="I2940" s="10">
        <v>2</v>
      </c>
    </row>
    <row r="2941" spans="1:9" ht="15.75" thickBot="1" x14ac:dyDescent="0.3">
      <c r="A2941" s="1">
        <v>43800</v>
      </c>
      <c r="B2941" s="8" t="s">
        <v>6</v>
      </c>
      <c r="C2941" t="s">
        <v>7</v>
      </c>
      <c r="D2941" t="s">
        <v>728</v>
      </c>
      <c r="E2941" t="s">
        <v>13</v>
      </c>
      <c r="F2941" s="9">
        <v>453.66</v>
      </c>
      <c r="G2941" s="6">
        <v>16000</v>
      </c>
      <c r="H2941" s="8">
        <f t="shared" si="45"/>
        <v>16000</v>
      </c>
      <c r="I2941" s="10">
        <v>3</v>
      </c>
    </row>
    <row r="2942" spans="1:9" ht="15.75" thickBot="1" x14ac:dyDescent="0.3">
      <c r="A2942" s="1">
        <v>43800</v>
      </c>
      <c r="B2942" s="8" t="s">
        <v>6</v>
      </c>
      <c r="C2942" t="s">
        <v>7</v>
      </c>
      <c r="D2942" t="s">
        <v>729</v>
      </c>
      <c r="E2942" t="s">
        <v>9</v>
      </c>
      <c r="F2942" s="9">
        <v>1875.8</v>
      </c>
      <c r="G2942" s="4">
        <v>65</v>
      </c>
      <c r="H2942" s="8">
        <f t="shared" si="45"/>
        <v>65</v>
      </c>
      <c r="I2942" s="10">
        <v>1</v>
      </c>
    </row>
    <row r="2943" spans="1:9" ht="15.75" thickBot="1" x14ac:dyDescent="0.3">
      <c r="A2943" s="1">
        <v>43800</v>
      </c>
      <c r="B2943" s="8" t="s">
        <v>6</v>
      </c>
      <c r="C2943" t="s">
        <v>7</v>
      </c>
      <c r="D2943" t="s">
        <v>729</v>
      </c>
      <c r="E2943" t="s">
        <v>15</v>
      </c>
      <c r="F2943" s="9">
        <v>625</v>
      </c>
      <c r="G2943" s="4">
        <v>0</v>
      </c>
      <c r="H2943" s="8">
        <f t="shared" si="45"/>
        <v>0</v>
      </c>
      <c r="I2943" s="10">
        <v>2</v>
      </c>
    </row>
    <row r="2944" spans="1:9" ht="15.75" thickBot="1" x14ac:dyDescent="0.3">
      <c r="A2944" s="1">
        <v>43800</v>
      </c>
      <c r="B2944" s="8" t="s">
        <v>6</v>
      </c>
      <c r="C2944" t="s">
        <v>7</v>
      </c>
      <c r="D2944" t="s">
        <v>729</v>
      </c>
      <c r="E2944" t="s">
        <v>10</v>
      </c>
      <c r="F2944" s="9">
        <v>130642.11</v>
      </c>
      <c r="G2944" s="6">
        <v>4931926.3629999999</v>
      </c>
      <c r="H2944" s="8">
        <f t="shared" si="45"/>
        <v>4931.9263629999996</v>
      </c>
      <c r="I2944" s="10">
        <v>294</v>
      </c>
    </row>
    <row r="2945" spans="1:9" ht="15.75" thickBot="1" x14ac:dyDescent="0.3">
      <c r="A2945" s="1">
        <v>43466</v>
      </c>
      <c r="B2945" s="8" t="s">
        <v>6</v>
      </c>
      <c r="C2945" t="s">
        <v>7</v>
      </c>
      <c r="D2945" t="s">
        <v>729</v>
      </c>
      <c r="E2945" t="s">
        <v>11</v>
      </c>
      <c r="F2945" s="9">
        <v>6046.65</v>
      </c>
      <c r="G2945" s="7">
        <v>212008.576</v>
      </c>
      <c r="H2945" s="8">
        <f t="shared" si="45"/>
        <v>212008.576</v>
      </c>
      <c r="I2945" s="10">
        <v>8</v>
      </c>
    </row>
    <row r="2946" spans="1:9" ht="15.75" thickBot="1" x14ac:dyDescent="0.3">
      <c r="A2946" s="1">
        <v>43466</v>
      </c>
      <c r="B2946" s="8" t="s">
        <v>6</v>
      </c>
      <c r="C2946" t="s">
        <v>7</v>
      </c>
      <c r="D2946" t="s">
        <v>729</v>
      </c>
      <c r="E2946" t="s">
        <v>13</v>
      </c>
      <c r="F2946" s="9">
        <v>2549.06</v>
      </c>
      <c r="G2946" s="7">
        <v>17024.307000000001</v>
      </c>
      <c r="H2946" s="8">
        <f t="shared" ref="H2946:H3009" si="46">IF(ISNUMBER(SEARCH("Domestic customer", E2946)),G2946/1000,G2946)</f>
        <v>17024.307000000001</v>
      </c>
      <c r="I2946" s="10">
        <v>4</v>
      </c>
    </row>
    <row r="2947" spans="1:9" ht="15.75" thickBot="1" x14ac:dyDescent="0.3">
      <c r="A2947" s="1">
        <v>43466</v>
      </c>
      <c r="B2947" s="8" t="s">
        <v>6</v>
      </c>
      <c r="C2947" t="s">
        <v>7</v>
      </c>
      <c r="D2947" t="s">
        <v>730</v>
      </c>
      <c r="E2947" t="s">
        <v>10</v>
      </c>
      <c r="F2947" s="9">
        <v>81.569999999999993</v>
      </c>
      <c r="G2947" s="5">
        <v>0</v>
      </c>
      <c r="H2947" s="8">
        <f t="shared" si="46"/>
        <v>0</v>
      </c>
      <c r="I2947" s="10">
        <v>1</v>
      </c>
    </row>
    <row r="2948" spans="1:9" ht="15.75" thickBot="1" x14ac:dyDescent="0.3">
      <c r="A2948" s="1">
        <v>43800</v>
      </c>
      <c r="B2948" s="8" t="s">
        <v>6</v>
      </c>
      <c r="C2948" t="s">
        <v>7</v>
      </c>
      <c r="D2948" t="s">
        <v>730</v>
      </c>
      <c r="E2948" t="s">
        <v>11</v>
      </c>
      <c r="F2948" s="9">
        <v>10950.06</v>
      </c>
      <c r="G2948" s="7">
        <v>407005</v>
      </c>
      <c r="H2948" s="8">
        <f t="shared" si="46"/>
        <v>407005</v>
      </c>
      <c r="I2948" s="10">
        <v>1</v>
      </c>
    </row>
    <row r="2949" spans="1:9" ht="15.75" thickBot="1" x14ac:dyDescent="0.3">
      <c r="A2949" s="1">
        <v>43800</v>
      </c>
      <c r="B2949" s="8" t="s">
        <v>6</v>
      </c>
      <c r="C2949" t="s">
        <v>7</v>
      </c>
      <c r="D2949" t="s">
        <v>731</v>
      </c>
      <c r="E2949" t="s">
        <v>15</v>
      </c>
      <c r="F2949" s="9">
        <v>40753.230000000003</v>
      </c>
      <c r="G2949" s="4">
        <v>1307</v>
      </c>
      <c r="H2949" s="8">
        <f t="shared" si="46"/>
        <v>1307</v>
      </c>
      <c r="I2949" s="10">
        <v>58</v>
      </c>
    </row>
    <row r="2950" spans="1:9" ht="15.75" thickBot="1" x14ac:dyDescent="0.3">
      <c r="A2950" s="1">
        <v>43800</v>
      </c>
      <c r="B2950" s="8" t="s">
        <v>6</v>
      </c>
      <c r="C2950" t="s">
        <v>7</v>
      </c>
      <c r="D2950" t="s">
        <v>731</v>
      </c>
      <c r="E2950" t="s">
        <v>10</v>
      </c>
      <c r="F2950" s="9">
        <v>-106220.91</v>
      </c>
      <c r="G2950" s="6">
        <v>21190459.767999999</v>
      </c>
      <c r="H2950" s="8">
        <f t="shared" si="46"/>
        <v>21190.459768000001</v>
      </c>
      <c r="I2950" s="10">
        <v>1185</v>
      </c>
    </row>
    <row r="2951" spans="1:9" ht="15.75" thickBot="1" x14ac:dyDescent="0.3">
      <c r="A2951" s="1">
        <v>43800</v>
      </c>
      <c r="B2951" s="8" t="s">
        <v>6</v>
      </c>
      <c r="C2951" t="s">
        <v>7</v>
      </c>
      <c r="D2951" t="s">
        <v>731</v>
      </c>
      <c r="E2951" t="s">
        <v>17</v>
      </c>
      <c r="F2951" s="9">
        <v>-1873.33</v>
      </c>
      <c r="G2951" s="4">
        <v>-72</v>
      </c>
      <c r="H2951" s="8">
        <f t="shared" si="46"/>
        <v>-72</v>
      </c>
      <c r="I2951" s="10">
        <v>1</v>
      </c>
    </row>
    <row r="2952" spans="1:9" ht="15.75" thickBot="1" x14ac:dyDescent="0.3">
      <c r="A2952" s="1">
        <v>43466</v>
      </c>
      <c r="B2952" s="8" t="s">
        <v>6</v>
      </c>
      <c r="C2952" t="s">
        <v>7</v>
      </c>
      <c r="D2952" t="s">
        <v>731</v>
      </c>
      <c r="E2952" t="s">
        <v>11</v>
      </c>
      <c r="F2952" s="9">
        <v>-10298.44</v>
      </c>
      <c r="G2952" s="4">
        <v>-431</v>
      </c>
      <c r="H2952" s="8">
        <f t="shared" si="46"/>
        <v>-431</v>
      </c>
      <c r="I2952" s="10">
        <v>11</v>
      </c>
    </row>
    <row r="2953" spans="1:9" ht="15.75" thickBot="1" x14ac:dyDescent="0.3">
      <c r="A2953" s="1">
        <v>43466</v>
      </c>
      <c r="B2953" s="8" t="s">
        <v>6</v>
      </c>
      <c r="C2953" t="s">
        <v>7</v>
      </c>
      <c r="D2953" t="s">
        <v>731</v>
      </c>
      <c r="E2953" t="s">
        <v>13</v>
      </c>
      <c r="F2953" s="9">
        <v>1692.4</v>
      </c>
      <c r="G2953" s="7">
        <v>203146.198</v>
      </c>
      <c r="H2953" s="8">
        <f t="shared" si="46"/>
        <v>203146.198</v>
      </c>
      <c r="I2953" s="10">
        <v>13</v>
      </c>
    </row>
    <row r="2954" spans="1:9" ht="15.75" thickBot="1" x14ac:dyDescent="0.3">
      <c r="A2954" s="1">
        <v>43466</v>
      </c>
      <c r="B2954" s="8" t="s">
        <v>6</v>
      </c>
      <c r="C2954" t="s">
        <v>7</v>
      </c>
      <c r="D2954" t="s">
        <v>732</v>
      </c>
      <c r="E2954" t="s">
        <v>10</v>
      </c>
      <c r="F2954" s="9">
        <v>122853.75</v>
      </c>
      <c r="G2954" s="6">
        <v>3200856.5720000002</v>
      </c>
      <c r="H2954" s="8">
        <f t="shared" si="46"/>
        <v>3200.8565720000001</v>
      </c>
      <c r="I2954" s="10">
        <v>139</v>
      </c>
    </row>
    <row r="2955" spans="1:9" ht="15.75" thickBot="1" x14ac:dyDescent="0.3">
      <c r="A2955" s="1">
        <v>43800</v>
      </c>
      <c r="B2955" s="8" t="s">
        <v>6</v>
      </c>
      <c r="C2955" t="s">
        <v>7</v>
      </c>
      <c r="D2955" t="s">
        <v>732</v>
      </c>
      <c r="E2955" t="s">
        <v>11</v>
      </c>
      <c r="F2955" s="9">
        <v>724.05</v>
      </c>
      <c r="G2955" s="6">
        <v>21000</v>
      </c>
      <c r="H2955" s="8">
        <f t="shared" si="46"/>
        <v>21000</v>
      </c>
      <c r="I2955" s="10">
        <v>3</v>
      </c>
    </row>
    <row r="2956" spans="1:9" ht="15.75" thickBot="1" x14ac:dyDescent="0.3">
      <c r="A2956" s="1">
        <v>43800</v>
      </c>
      <c r="B2956" s="8" t="s">
        <v>6</v>
      </c>
      <c r="C2956" t="s">
        <v>7</v>
      </c>
      <c r="D2956" t="s">
        <v>732</v>
      </c>
      <c r="E2956" t="s">
        <v>13</v>
      </c>
      <c r="F2956" s="9">
        <v>1827.66</v>
      </c>
      <c r="G2956" s="6">
        <v>65588.937000000005</v>
      </c>
      <c r="H2956" s="8">
        <f t="shared" si="46"/>
        <v>65588.937000000005</v>
      </c>
      <c r="I2956" s="10">
        <v>4</v>
      </c>
    </row>
    <row r="2957" spans="1:9" ht="15.75" thickBot="1" x14ac:dyDescent="0.3">
      <c r="A2957" s="1">
        <v>43800</v>
      </c>
      <c r="B2957" s="8" t="s">
        <v>6</v>
      </c>
      <c r="C2957" t="s">
        <v>7</v>
      </c>
      <c r="D2957" t="s">
        <v>733</v>
      </c>
      <c r="E2957" t="s">
        <v>10</v>
      </c>
      <c r="F2957" s="9">
        <v>15416.44</v>
      </c>
      <c r="G2957" s="6">
        <v>559000</v>
      </c>
      <c r="H2957" s="8">
        <f t="shared" si="46"/>
        <v>559</v>
      </c>
      <c r="I2957" s="10">
        <v>44</v>
      </c>
    </row>
    <row r="2958" spans="1:9" ht="15.75" thickBot="1" x14ac:dyDescent="0.3">
      <c r="A2958" s="1">
        <v>43800</v>
      </c>
      <c r="B2958" s="8" t="s">
        <v>6</v>
      </c>
      <c r="C2958" t="s">
        <v>7</v>
      </c>
      <c r="D2958" t="s">
        <v>733</v>
      </c>
      <c r="E2958" t="s">
        <v>11</v>
      </c>
      <c r="F2958" s="9">
        <v>163.13999999999999</v>
      </c>
      <c r="G2958" s="5">
        <v>0</v>
      </c>
      <c r="H2958" s="8">
        <f t="shared" si="46"/>
        <v>0</v>
      </c>
      <c r="I2958" s="10">
        <v>2</v>
      </c>
    </row>
    <row r="2959" spans="1:9" ht="15.75" thickBot="1" x14ac:dyDescent="0.3">
      <c r="A2959" s="1">
        <v>43466</v>
      </c>
      <c r="B2959" s="8" t="s">
        <v>6</v>
      </c>
      <c r="C2959" t="s">
        <v>7</v>
      </c>
      <c r="D2959" t="s">
        <v>734</v>
      </c>
      <c r="E2959" t="s">
        <v>9</v>
      </c>
      <c r="F2959" s="9">
        <v>11276.51</v>
      </c>
      <c r="G2959" s="7">
        <v>158030.609</v>
      </c>
      <c r="H2959" s="8">
        <f t="shared" si="46"/>
        <v>158030.609</v>
      </c>
      <c r="I2959" s="10">
        <v>4</v>
      </c>
    </row>
    <row r="2960" spans="1:9" ht="15.75" thickBot="1" x14ac:dyDescent="0.3">
      <c r="A2960" s="1">
        <v>43466</v>
      </c>
      <c r="B2960" s="8" t="s">
        <v>6</v>
      </c>
      <c r="C2960" t="s">
        <v>7</v>
      </c>
      <c r="D2960" t="s">
        <v>734</v>
      </c>
      <c r="E2960" t="s">
        <v>15</v>
      </c>
      <c r="F2960" s="9">
        <v>116364.76</v>
      </c>
      <c r="G2960" s="7">
        <v>10452.486999999999</v>
      </c>
      <c r="H2960" s="8">
        <f t="shared" si="46"/>
        <v>10452.486999999999</v>
      </c>
      <c r="I2960" s="10">
        <v>65</v>
      </c>
    </row>
    <row r="2961" spans="1:9" ht="15.75" thickBot="1" x14ac:dyDescent="0.3">
      <c r="A2961" s="1">
        <v>43466</v>
      </c>
      <c r="B2961" s="8" t="s">
        <v>6</v>
      </c>
      <c r="C2961" t="s">
        <v>7</v>
      </c>
      <c r="D2961" t="s">
        <v>734</v>
      </c>
      <c r="E2961" t="s">
        <v>10</v>
      </c>
      <c r="F2961" s="9">
        <v>-15695</v>
      </c>
      <c r="G2961" s="6">
        <v>46441728.818999998</v>
      </c>
      <c r="H2961" s="8">
        <f t="shared" si="46"/>
        <v>46441.728818999996</v>
      </c>
      <c r="I2961" s="10">
        <v>4750</v>
      </c>
    </row>
    <row r="2962" spans="1:9" ht="15.75" thickBot="1" x14ac:dyDescent="0.3">
      <c r="A2962" s="1">
        <v>43800</v>
      </c>
      <c r="B2962" s="8" t="s">
        <v>6</v>
      </c>
      <c r="C2962" t="s">
        <v>7</v>
      </c>
      <c r="D2962" t="s">
        <v>734</v>
      </c>
      <c r="E2962" t="s">
        <v>11</v>
      </c>
      <c r="F2962" s="9">
        <v>41357.21</v>
      </c>
      <c r="G2962" s="7">
        <v>11410.724</v>
      </c>
      <c r="H2962" s="8">
        <f t="shared" si="46"/>
        <v>11410.724</v>
      </c>
      <c r="I2962" s="10">
        <v>15</v>
      </c>
    </row>
    <row r="2963" spans="1:9" ht="15.75" thickBot="1" x14ac:dyDescent="0.3">
      <c r="A2963" s="1">
        <v>43800</v>
      </c>
      <c r="B2963" s="8" t="s">
        <v>6</v>
      </c>
      <c r="C2963" t="s">
        <v>7</v>
      </c>
      <c r="D2963" t="s">
        <v>734</v>
      </c>
      <c r="E2963" t="s">
        <v>13</v>
      </c>
      <c r="F2963" s="9">
        <v>820.8</v>
      </c>
      <c r="G2963" s="6">
        <v>1039156.5429999999</v>
      </c>
      <c r="H2963" s="8">
        <f t="shared" si="46"/>
        <v>1039156.5429999999</v>
      </c>
      <c r="I2963" s="10">
        <v>101</v>
      </c>
    </row>
    <row r="2964" spans="1:9" ht="15.75" thickBot="1" x14ac:dyDescent="0.3">
      <c r="A2964" s="1">
        <v>43800</v>
      </c>
      <c r="B2964" s="8" t="s">
        <v>6</v>
      </c>
      <c r="C2964" t="s">
        <v>7</v>
      </c>
      <c r="D2964" t="s">
        <v>735</v>
      </c>
      <c r="E2964" t="s">
        <v>9</v>
      </c>
      <c r="F2964" s="9">
        <v>1138.1600000000001</v>
      </c>
      <c r="G2964" s="4">
        <v>38</v>
      </c>
      <c r="H2964" s="8">
        <f t="shared" si="46"/>
        <v>38</v>
      </c>
      <c r="I2964" s="10">
        <v>1</v>
      </c>
    </row>
    <row r="2965" spans="1:9" ht="15.75" thickBot="1" x14ac:dyDescent="0.3">
      <c r="A2965" s="1">
        <v>43800</v>
      </c>
      <c r="B2965" s="8" t="s">
        <v>6</v>
      </c>
      <c r="C2965" t="s">
        <v>7</v>
      </c>
      <c r="D2965" t="s">
        <v>735</v>
      </c>
      <c r="E2965" t="s">
        <v>15</v>
      </c>
      <c r="F2965" s="9">
        <v>625</v>
      </c>
      <c r="G2965" s="4">
        <v>0</v>
      </c>
      <c r="H2965" s="8">
        <f t="shared" si="46"/>
        <v>0</v>
      </c>
      <c r="I2965" s="10">
        <v>1</v>
      </c>
    </row>
    <row r="2966" spans="1:9" ht="15.75" thickBot="1" x14ac:dyDescent="0.3">
      <c r="A2966" s="1">
        <v>43466</v>
      </c>
      <c r="B2966" s="8" t="s">
        <v>6</v>
      </c>
      <c r="C2966" t="s">
        <v>7</v>
      </c>
      <c r="D2966" t="s">
        <v>735</v>
      </c>
      <c r="E2966" t="s">
        <v>10</v>
      </c>
      <c r="F2966" s="9">
        <v>157470.06</v>
      </c>
      <c r="G2966" s="6">
        <v>5445812.8159999996</v>
      </c>
      <c r="H2966" s="8">
        <f t="shared" si="46"/>
        <v>5445.8128159999997</v>
      </c>
      <c r="I2966" s="10">
        <v>382</v>
      </c>
    </row>
    <row r="2967" spans="1:9" ht="15.75" thickBot="1" x14ac:dyDescent="0.3">
      <c r="A2967" s="1">
        <v>43466</v>
      </c>
      <c r="B2967" s="8" t="s">
        <v>6</v>
      </c>
      <c r="C2967" t="s">
        <v>7</v>
      </c>
      <c r="D2967" t="s">
        <v>735</v>
      </c>
      <c r="E2967" t="s">
        <v>11</v>
      </c>
      <c r="F2967" s="9">
        <v>2833.71</v>
      </c>
      <c r="G2967" s="7">
        <v>7065</v>
      </c>
      <c r="H2967" s="8">
        <f t="shared" si="46"/>
        <v>7065</v>
      </c>
      <c r="I2967" s="10">
        <v>4</v>
      </c>
    </row>
    <row r="2968" spans="1:9" ht="15.75" thickBot="1" x14ac:dyDescent="0.3">
      <c r="A2968" s="1">
        <v>43466</v>
      </c>
      <c r="B2968" s="8" t="s">
        <v>6</v>
      </c>
      <c r="C2968" t="s">
        <v>7</v>
      </c>
      <c r="D2968" t="s">
        <v>735</v>
      </c>
      <c r="E2968" t="s">
        <v>13</v>
      </c>
      <c r="F2968" s="9">
        <v>806.64</v>
      </c>
      <c r="G2968" s="6">
        <v>28000</v>
      </c>
      <c r="H2968" s="8">
        <f t="shared" si="46"/>
        <v>28000</v>
      </c>
      <c r="I2968" s="10">
        <v>2</v>
      </c>
    </row>
    <row r="2969" spans="1:9" ht="15.75" thickBot="1" x14ac:dyDescent="0.3">
      <c r="A2969" s="1">
        <v>43800</v>
      </c>
      <c r="B2969" s="8" t="s">
        <v>6</v>
      </c>
      <c r="C2969" t="s">
        <v>7</v>
      </c>
      <c r="D2969" t="s">
        <v>736</v>
      </c>
      <c r="E2969" t="s">
        <v>10</v>
      </c>
      <c r="F2969" s="9">
        <v>163.13999999999999</v>
      </c>
      <c r="G2969" s="5">
        <v>0</v>
      </c>
      <c r="H2969" s="8">
        <f t="shared" si="46"/>
        <v>0</v>
      </c>
      <c r="I2969" s="10">
        <v>2</v>
      </c>
    </row>
    <row r="2970" spans="1:9" ht="15.75" thickBot="1" x14ac:dyDescent="0.3">
      <c r="A2970" s="1">
        <v>43800</v>
      </c>
      <c r="B2970" s="8" t="s">
        <v>6</v>
      </c>
      <c r="C2970" t="s">
        <v>7</v>
      </c>
      <c r="D2970" t="s">
        <v>736</v>
      </c>
      <c r="E2970" t="s">
        <v>11</v>
      </c>
      <c r="F2970" s="9">
        <v>81.569999999999993</v>
      </c>
      <c r="G2970" s="5">
        <v>0</v>
      </c>
      <c r="H2970" s="8">
        <f t="shared" si="46"/>
        <v>0</v>
      </c>
      <c r="I2970" s="10">
        <v>1</v>
      </c>
    </row>
    <row r="2971" spans="1:9" ht="15.75" thickBot="1" x14ac:dyDescent="0.3">
      <c r="A2971" s="1">
        <v>43800</v>
      </c>
      <c r="B2971" s="8" t="s">
        <v>6</v>
      </c>
      <c r="C2971" t="s">
        <v>7</v>
      </c>
      <c r="D2971" t="s">
        <v>737</v>
      </c>
      <c r="E2971" t="s">
        <v>9</v>
      </c>
      <c r="F2971" s="9">
        <v>5457.89</v>
      </c>
      <c r="G2971" s="4">
        <v>170</v>
      </c>
      <c r="H2971" s="8">
        <f t="shared" si="46"/>
        <v>170</v>
      </c>
      <c r="I2971" s="10">
        <v>5</v>
      </c>
    </row>
    <row r="2972" spans="1:9" ht="15.75" thickBot="1" x14ac:dyDescent="0.3">
      <c r="A2972" s="1">
        <v>43800</v>
      </c>
      <c r="B2972" s="8" t="s">
        <v>6</v>
      </c>
      <c r="C2972" t="s">
        <v>7</v>
      </c>
      <c r="D2972" t="s">
        <v>737</v>
      </c>
      <c r="E2972" t="s">
        <v>10</v>
      </c>
      <c r="F2972" s="9">
        <v>104506.63</v>
      </c>
      <c r="G2972" s="6">
        <v>3686189.2459999998</v>
      </c>
      <c r="H2972" s="8">
        <f t="shared" si="46"/>
        <v>3686.1892459999999</v>
      </c>
      <c r="I2972" s="10">
        <v>371</v>
      </c>
    </row>
    <row r="2973" spans="1:9" ht="15.75" thickBot="1" x14ac:dyDescent="0.3">
      <c r="A2973" s="1">
        <v>43466</v>
      </c>
      <c r="B2973" s="8" t="s">
        <v>6</v>
      </c>
      <c r="C2973" t="s">
        <v>7</v>
      </c>
      <c r="D2973" t="s">
        <v>737</v>
      </c>
      <c r="E2973" t="s">
        <v>11</v>
      </c>
      <c r="F2973" s="9">
        <v>11400.07</v>
      </c>
      <c r="G2973" s="7">
        <v>44256.696000000004</v>
      </c>
      <c r="H2973" s="8">
        <f t="shared" si="46"/>
        <v>44256.696000000004</v>
      </c>
      <c r="I2973" s="10">
        <v>20</v>
      </c>
    </row>
    <row r="2974" spans="1:9" ht="15.75" thickBot="1" x14ac:dyDescent="0.3">
      <c r="A2974" s="1">
        <v>43466</v>
      </c>
      <c r="B2974" s="8" t="s">
        <v>6</v>
      </c>
      <c r="C2974" t="s">
        <v>7</v>
      </c>
      <c r="D2974" t="s">
        <v>737</v>
      </c>
      <c r="E2974" t="s">
        <v>13</v>
      </c>
      <c r="F2974" s="9">
        <v>571.45000000000005</v>
      </c>
      <c r="G2974" s="6">
        <v>16965.400000000001</v>
      </c>
      <c r="H2974" s="8">
        <f t="shared" si="46"/>
        <v>16965.400000000001</v>
      </c>
      <c r="I2974" s="10">
        <v>3</v>
      </c>
    </row>
    <row r="2975" spans="1:9" ht="15.75" thickBot="1" x14ac:dyDescent="0.3">
      <c r="A2975" s="1">
        <v>43466</v>
      </c>
      <c r="B2975" s="8" t="s">
        <v>6</v>
      </c>
      <c r="C2975" t="s">
        <v>7</v>
      </c>
      <c r="D2975" t="s">
        <v>738</v>
      </c>
      <c r="E2975" t="s">
        <v>9</v>
      </c>
      <c r="F2975" s="9">
        <v>4415.75</v>
      </c>
      <c r="G2975" s="4">
        <v>55</v>
      </c>
      <c r="H2975" s="8">
        <f t="shared" si="46"/>
        <v>55</v>
      </c>
      <c r="I2975" s="10">
        <v>14</v>
      </c>
    </row>
    <row r="2976" spans="1:9" ht="15.75" thickBot="1" x14ac:dyDescent="0.3">
      <c r="A2976" s="1">
        <v>43800</v>
      </c>
      <c r="B2976" s="8" t="s">
        <v>6</v>
      </c>
      <c r="C2976" t="s">
        <v>7</v>
      </c>
      <c r="D2976" t="s">
        <v>738</v>
      </c>
      <c r="E2976" t="s">
        <v>15</v>
      </c>
      <c r="F2976" s="9">
        <v>347.24</v>
      </c>
      <c r="G2976" s="4">
        <v>7</v>
      </c>
      <c r="H2976" s="8">
        <f t="shared" si="46"/>
        <v>7</v>
      </c>
      <c r="I2976" s="10">
        <v>1</v>
      </c>
    </row>
    <row r="2977" spans="1:9" ht="15.75" thickBot="1" x14ac:dyDescent="0.3">
      <c r="A2977" s="1">
        <v>43800</v>
      </c>
      <c r="B2977" s="8" t="s">
        <v>6</v>
      </c>
      <c r="C2977" t="s">
        <v>7</v>
      </c>
      <c r="D2977" t="s">
        <v>738</v>
      </c>
      <c r="E2977" t="s">
        <v>10</v>
      </c>
      <c r="F2977" s="9">
        <v>246294.16</v>
      </c>
      <c r="G2977" s="6">
        <v>7108032.6260000002</v>
      </c>
      <c r="H2977" s="8">
        <f t="shared" si="46"/>
        <v>7108.0326260000002</v>
      </c>
      <c r="I2977" s="10">
        <v>506</v>
      </c>
    </row>
    <row r="2978" spans="1:9" ht="15.75" thickBot="1" x14ac:dyDescent="0.3">
      <c r="A2978" s="1">
        <v>43800</v>
      </c>
      <c r="B2978" s="8" t="s">
        <v>6</v>
      </c>
      <c r="C2978" t="s">
        <v>7</v>
      </c>
      <c r="D2978" t="s">
        <v>738</v>
      </c>
      <c r="E2978" t="s">
        <v>11</v>
      </c>
      <c r="F2978" s="9">
        <v>4299.1400000000003</v>
      </c>
      <c r="G2978" s="6">
        <v>110789</v>
      </c>
      <c r="H2978" s="8">
        <f t="shared" si="46"/>
        <v>110789</v>
      </c>
      <c r="I2978" s="10">
        <v>14</v>
      </c>
    </row>
    <row r="2979" spans="1:9" ht="15.75" thickBot="1" x14ac:dyDescent="0.3">
      <c r="A2979" s="1">
        <v>43800</v>
      </c>
      <c r="B2979" s="8" t="s">
        <v>6</v>
      </c>
      <c r="C2979" t="s">
        <v>7</v>
      </c>
      <c r="D2979" t="s">
        <v>738</v>
      </c>
      <c r="E2979" t="s">
        <v>13</v>
      </c>
      <c r="F2979" s="9">
        <v>655.4</v>
      </c>
      <c r="G2979" s="6">
        <v>21000</v>
      </c>
      <c r="H2979" s="8">
        <f t="shared" si="46"/>
        <v>21000</v>
      </c>
      <c r="I2979" s="10">
        <v>2</v>
      </c>
    </row>
    <row r="2980" spans="1:9" ht="15.75" thickBot="1" x14ac:dyDescent="0.3">
      <c r="A2980" s="1">
        <v>43466</v>
      </c>
      <c r="B2980" s="8" t="s">
        <v>6</v>
      </c>
      <c r="C2980" t="s">
        <v>7</v>
      </c>
      <c r="D2980" t="s">
        <v>739</v>
      </c>
      <c r="E2980" t="s">
        <v>9</v>
      </c>
      <c r="F2980" s="9">
        <v>18886.25</v>
      </c>
      <c r="G2980" s="4">
        <v>661</v>
      </c>
      <c r="H2980" s="8">
        <f t="shared" si="46"/>
        <v>661</v>
      </c>
      <c r="I2980" s="10">
        <v>7</v>
      </c>
    </row>
    <row r="2981" spans="1:9" ht="15.75" thickBot="1" x14ac:dyDescent="0.3">
      <c r="A2981" s="1">
        <v>43466</v>
      </c>
      <c r="B2981" s="8" t="s">
        <v>6</v>
      </c>
      <c r="C2981" t="s">
        <v>7</v>
      </c>
      <c r="D2981" t="s">
        <v>739</v>
      </c>
      <c r="E2981" t="s">
        <v>15</v>
      </c>
      <c r="F2981" s="9">
        <v>11453.77</v>
      </c>
      <c r="G2981" s="4">
        <v>71</v>
      </c>
      <c r="H2981" s="8">
        <f t="shared" si="46"/>
        <v>71</v>
      </c>
      <c r="I2981" s="10">
        <v>6</v>
      </c>
    </row>
    <row r="2982" spans="1:9" ht="15.75" thickBot="1" x14ac:dyDescent="0.3">
      <c r="A2982" s="1">
        <v>43466</v>
      </c>
      <c r="B2982" s="8" t="s">
        <v>6</v>
      </c>
      <c r="C2982" t="s">
        <v>7</v>
      </c>
      <c r="D2982" t="s">
        <v>739</v>
      </c>
      <c r="E2982" t="s">
        <v>10</v>
      </c>
      <c r="F2982" s="9">
        <v>496272.07</v>
      </c>
      <c r="G2982" s="6">
        <v>16630882.971999999</v>
      </c>
      <c r="H2982" s="8">
        <f t="shared" si="46"/>
        <v>16630.882971999999</v>
      </c>
      <c r="I2982" s="10">
        <v>1135</v>
      </c>
    </row>
    <row r="2983" spans="1:9" ht="15.75" thickBot="1" x14ac:dyDescent="0.3">
      <c r="A2983" s="1">
        <v>43800</v>
      </c>
      <c r="B2983" s="8" t="s">
        <v>6</v>
      </c>
      <c r="C2983" t="s">
        <v>7</v>
      </c>
      <c r="D2983" t="s">
        <v>739</v>
      </c>
      <c r="E2983" t="s">
        <v>11</v>
      </c>
      <c r="F2983" s="9">
        <v>83751.839999999997</v>
      </c>
      <c r="G2983" s="7">
        <v>5816.6580000000004</v>
      </c>
      <c r="H2983" s="8">
        <f t="shared" si="46"/>
        <v>5816.6580000000004</v>
      </c>
      <c r="I2983" s="10">
        <v>7</v>
      </c>
    </row>
    <row r="2984" spans="1:9" ht="15.75" thickBot="1" x14ac:dyDescent="0.3">
      <c r="A2984" s="1">
        <v>43800</v>
      </c>
      <c r="B2984" s="8" t="s">
        <v>6</v>
      </c>
      <c r="C2984" t="s">
        <v>7</v>
      </c>
      <c r="D2984" t="s">
        <v>739</v>
      </c>
      <c r="E2984" t="s">
        <v>13</v>
      </c>
      <c r="F2984" s="9">
        <v>3525.29</v>
      </c>
      <c r="G2984" s="6">
        <v>82000</v>
      </c>
      <c r="H2984" s="8">
        <f t="shared" si="46"/>
        <v>82000</v>
      </c>
      <c r="I2984" s="10">
        <v>4</v>
      </c>
    </row>
    <row r="2985" spans="1:9" ht="15.75" thickBot="1" x14ac:dyDescent="0.3">
      <c r="A2985" s="1">
        <v>43800</v>
      </c>
      <c r="B2985" s="8" t="s">
        <v>6</v>
      </c>
      <c r="C2985" t="s">
        <v>7</v>
      </c>
      <c r="D2985" t="s">
        <v>740</v>
      </c>
      <c r="E2985" t="s">
        <v>9</v>
      </c>
      <c r="F2985" s="9">
        <v>24996.97</v>
      </c>
      <c r="G2985" s="4">
        <v>818</v>
      </c>
      <c r="H2985" s="8">
        <f t="shared" si="46"/>
        <v>818</v>
      </c>
      <c r="I2985" s="10">
        <v>8</v>
      </c>
    </row>
    <row r="2986" spans="1:9" ht="15.75" thickBot="1" x14ac:dyDescent="0.3">
      <c r="A2986" s="1">
        <v>43800</v>
      </c>
      <c r="B2986" s="8" t="s">
        <v>6</v>
      </c>
      <c r="C2986" t="s">
        <v>7</v>
      </c>
      <c r="D2986" t="s">
        <v>740</v>
      </c>
      <c r="E2986" t="s">
        <v>15</v>
      </c>
      <c r="F2986" s="9">
        <v>3570.7</v>
      </c>
      <c r="G2986" s="4">
        <v>36</v>
      </c>
      <c r="H2986" s="8">
        <f t="shared" si="46"/>
        <v>36</v>
      </c>
      <c r="I2986" s="10">
        <v>7</v>
      </c>
    </row>
    <row r="2987" spans="1:9" ht="15.75" thickBot="1" x14ac:dyDescent="0.3">
      <c r="A2987" s="1">
        <v>43466</v>
      </c>
      <c r="B2987" s="8" t="s">
        <v>6</v>
      </c>
      <c r="C2987" t="s">
        <v>7</v>
      </c>
      <c r="D2987" t="s">
        <v>740</v>
      </c>
      <c r="E2987" t="s">
        <v>10</v>
      </c>
      <c r="F2987" s="9">
        <v>437554.33</v>
      </c>
      <c r="G2987" s="6">
        <v>12931779.176000001</v>
      </c>
      <c r="H2987" s="8">
        <f t="shared" si="46"/>
        <v>12931.779176</v>
      </c>
      <c r="I2987" s="10">
        <v>903</v>
      </c>
    </row>
    <row r="2988" spans="1:9" ht="15.75" thickBot="1" x14ac:dyDescent="0.3">
      <c r="A2988" s="1">
        <v>43466</v>
      </c>
      <c r="B2988" s="8" t="s">
        <v>6</v>
      </c>
      <c r="C2988" t="s">
        <v>7</v>
      </c>
      <c r="D2988" t="s">
        <v>740</v>
      </c>
      <c r="E2988" t="s">
        <v>11</v>
      </c>
      <c r="F2988" s="9">
        <v>16351.26</v>
      </c>
      <c r="G2988" s="7">
        <v>19467.8</v>
      </c>
      <c r="H2988" s="8">
        <f t="shared" si="46"/>
        <v>19467.8</v>
      </c>
      <c r="I2988" s="10">
        <v>15</v>
      </c>
    </row>
    <row r="2989" spans="1:9" ht="15.75" thickBot="1" x14ac:dyDescent="0.3">
      <c r="A2989" s="1">
        <v>43466</v>
      </c>
      <c r="B2989" s="8" t="s">
        <v>6</v>
      </c>
      <c r="C2989" t="s">
        <v>7</v>
      </c>
      <c r="D2989" t="s">
        <v>740</v>
      </c>
      <c r="E2989" t="s">
        <v>13</v>
      </c>
      <c r="F2989" s="9">
        <v>4242.9799999999996</v>
      </c>
      <c r="G2989" s="7">
        <v>117010.97900000001</v>
      </c>
      <c r="H2989" s="8">
        <f t="shared" si="46"/>
        <v>117010.97900000001</v>
      </c>
      <c r="I2989" s="10">
        <v>5</v>
      </c>
    </row>
    <row r="2990" spans="1:9" ht="15.75" thickBot="1" x14ac:dyDescent="0.3">
      <c r="A2990" s="1">
        <v>43800</v>
      </c>
      <c r="B2990" s="8" t="s">
        <v>6</v>
      </c>
      <c r="C2990" t="s">
        <v>7</v>
      </c>
      <c r="D2990" t="s">
        <v>741</v>
      </c>
      <c r="E2990" t="s">
        <v>9</v>
      </c>
      <c r="F2990" s="9">
        <v>1738.68</v>
      </c>
      <c r="G2990" s="4">
        <v>49</v>
      </c>
      <c r="H2990" s="8">
        <f t="shared" si="46"/>
        <v>49</v>
      </c>
      <c r="I2990" s="10">
        <v>4</v>
      </c>
    </row>
    <row r="2991" spans="1:9" ht="15.75" thickBot="1" x14ac:dyDescent="0.3">
      <c r="A2991" s="1">
        <v>43800</v>
      </c>
      <c r="B2991" s="8" t="s">
        <v>6</v>
      </c>
      <c r="C2991" t="s">
        <v>7</v>
      </c>
      <c r="D2991" t="s">
        <v>741</v>
      </c>
      <c r="E2991" t="s">
        <v>10</v>
      </c>
      <c r="F2991" s="9">
        <v>58000.79</v>
      </c>
      <c r="G2991" s="6">
        <v>1950617.361</v>
      </c>
      <c r="H2991" s="8">
        <f t="shared" si="46"/>
        <v>1950.6173610000001</v>
      </c>
      <c r="I2991" s="10">
        <v>160</v>
      </c>
    </row>
    <row r="2992" spans="1:9" ht="15.75" thickBot="1" x14ac:dyDescent="0.3">
      <c r="A2992" s="1">
        <v>43800</v>
      </c>
      <c r="B2992" s="8" t="s">
        <v>6</v>
      </c>
      <c r="C2992" t="s">
        <v>7</v>
      </c>
      <c r="D2992" t="s">
        <v>741</v>
      </c>
      <c r="E2992" t="s">
        <v>11</v>
      </c>
      <c r="F2992" s="9">
        <v>5010.29</v>
      </c>
      <c r="G2992" s="7">
        <v>106017</v>
      </c>
      <c r="H2992" s="8">
        <f t="shared" si="46"/>
        <v>106017</v>
      </c>
      <c r="I2992" s="10">
        <v>10</v>
      </c>
    </row>
    <row r="2993" spans="1:9" ht="15.75" thickBot="1" x14ac:dyDescent="0.3">
      <c r="A2993" s="1">
        <v>43800</v>
      </c>
      <c r="B2993" s="8" t="s">
        <v>6</v>
      </c>
      <c r="C2993" t="s">
        <v>7</v>
      </c>
      <c r="D2993" t="s">
        <v>741</v>
      </c>
      <c r="E2993" t="s">
        <v>13</v>
      </c>
      <c r="F2993" s="9">
        <v>272.44</v>
      </c>
      <c r="G2993" s="6">
        <v>10000</v>
      </c>
      <c r="H2993" s="8">
        <f t="shared" si="46"/>
        <v>10000</v>
      </c>
      <c r="I2993" s="10">
        <v>1</v>
      </c>
    </row>
    <row r="2994" spans="1:9" ht="15.75" thickBot="1" x14ac:dyDescent="0.3">
      <c r="A2994" s="1">
        <v>43466</v>
      </c>
      <c r="B2994" s="8" t="s">
        <v>6</v>
      </c>
      <c r="C2994" t="s">
        <v>7</v>
      </c>
      <c r="D2994" t="s">
        <v>742</v>
      </c>
      <c r="E2994" t="s">
        <v>10</v>
      </c>
      <c r="F2994" s="9">
        <v>20011.849999999999</v>
      </c>
      <c r="G2994" s="6">
        <v>727720.78099999996</v>
      </c>
      <c r="H2994" s="8">
        <f t="shared" si="46"/>
        <v>727.72078099999999</v>
      </c>
      <c r="I2994" s="10">
        <v>55</v>
      </c>
    </row>
    <row r="2995" spans="1:9" ht="15.75" thickBot="1" x14ac:dyDescent="0.3">
      <c r="A2995" s="1">
        <v>43466</v>
      </c>
      <c r="B2995" s="8" t="s">
        <v>6</v>
      </c>
      <c r="C2995" t="s">
        <v>7</v>
      </c>
      <c r="D2995" t="s">
        <v>743</v>
      </c>
      <c r="E2995" t="s">
        <v>9</v>
      </c>
      <c r="F2995" s="9">
        <v>3326.48</v>
      </c>
      <c r="G2995" s="4">
        <v>114</v>
      </c>
      <c r="H2995" s="8">
        <f t="shared" si="46"/>
        <v>114</v>
      </c>
      <c r="I2995" s="10">
        <v>3</v>
      </c>
    </row>
    <row r="2996" spans="1:9" ht="15.75" thickBot="1" x14ac:dyDescent="0.3">
      <c r="A2996" s="1">
        <v>43466</v>
      </c>
      <c r="B2996" s="8" t="s">
        <v>6</v>
      </c>
      <c r="C2996" t="s">
        <v>7</v>
      </c>
      <c r="D2996" t="s">
        <v>743</v>
      </c>
      <c r="E2996" t="s">
        <v>10</v>
      </c>
      <c r="F2996" s="9">
        <v>111328.46</v>
      </c>
      <c r="G2996" s="6">
        <v>3886987.7510000002</v>
      </c>
      <c r="H2996" s="8">
        <f t="shared" si="46"/>
        <v>3886.9877510000001</v>
      </c>
      <c r="I2996" s="10">
        <v>258</v>
      </c>
    </row>
    <row r="2997" spans="1:9" ht="15.75" thickBot="1" x14ac:dyDescent="0.3">
      <c r="A2997" s="1">
        <v>43800</v>
      </c>
      <c r="B2997" s="8" t="s">
        <v>6</v>
      </c>
      <c r="C2997" t="s">
        <v>7</v>
      </c>
      <c r="D2997" t="s">
        <v>743</v>
      </c>
      <c r="E2997" t="s">
        <v>11</v>
      </c>
      <c r="F2997" s="9">
        <v>539.45000000000005</v>
      </c>
      <c r="G2997" s="4">
        <v>9</v>
      </c>
      <c r="H2997" s="8">
        <f t="shared" si="46"/>
        <v>9</v>
      </c>
      <c r="I2997" s="10">
        <v>3</v>
      </c>
    </row>
    <row r="2998" spans="1:9" ht="15.75" thickBot="1" x14ac:dyDescent="0.3">
      <c r="A2998" s="1">
        <v>43800</v>
      </c>
      <c r="B2998" s="8" t="s">
        <v>6</v>
      </c>
      <c r="C2998" t="s">
        <v>7</v>
      </c>
      <c r="D2998" t="s">
        <v>743</v>
      </c>
      <c r="E2998" t="s">
        <v>13</v>
      </c>
      <c r="F2998" s="9">
        <v>400</v>
      </c>
      <c r="G2998" s="6">
        <v>0</v>
      </c>
      <c r="H2998" s="8">
        <f t="shared" si="46"/>
        <v>0</v>
      </c>
      <c r="I2998" s="10">
        <v>1</v>
      </c>
    </row>
    <row r="2999" spans="1:9" ht="15.75" thickBot="1" x14ac:dyDescent="0.3">
      <c r="A2999" s="1">
        <v>43800</v>
      </c>
      <c r="B2999" s="8" t="s">
        <v>6</v>
      </c>
      <c r="C2999" t="s">
        <v>7</v>
      </c>
      <c r="D2999" t="s">
        <v>744</v>
      </c>
      <c r="E2999" t="s">
        <v>9</v>
      </c>
      <c r="F2999" s="9">
        <v>11271.08</v>
      </c>
      <c r="G2999" s="4">
        <v>319</v>
      </c>
      <c r="H2999" s="8">
        <f t="shared" si="46"/>
        <v>319</v>
      </c>
      <c r="I2999" s="10">
        <v>2</v>
      </c>
    </row>
    <row r="3000" spans="1:9" ht="15.75" thickBot="1" x14ac:dyDescent="0.3">
      <c r="A3000" s="1">
        <v>43800</v>
      </c>
      <c r="B3000" s="8" t="s">
        <v>6</v>
      </c>
      <c r="C3000" t="s">
        <v>7</v>
      </c>
      <c r="D3000" t="s">
        <v>744</v>
      </c>
      <c r="E3000" t="s">
        <v>15</v>
      </c>
      <c r="F3000" s="9">
        <v>16149.5</v>
      </c>
      <c r="G3000" s="7">
        <v>103611.07</v>
      </c>
      <c r="H3000" s="8">
        <f t="shared" si="46"/>
        <v>103611.07</v>
      </c>
      <c r="I3000" s="10">
        <v>2</v>
      </c>
    </row>
    <row r="3001" spans="1:9" ht="15.75" thickBot="1" x14ac:dyDescent="0.3">
      <c r="A3001" s="1">
        <v>43466</v>
      </c>
      <c r="B3001" s="8" t="s">
        <v>6</v>
      </c>
      <c r="C3001" t="s">
        <v>7</v>
      </c>
      <c r="D3001" t="s">
        <v>745</v>
      </c>
      <c r="E3001" t="s">
        <v>15</v>
      </c>
      <c r="F3001" s="9">
        <v>3133.88</v>
      </c>
      <c r="G3001" s="4">
        <v>109</v>
      </c>
      <c r="H3001" s="8">
        <f t="shared" si="46"/>
        <v>109</v>
      </c>
      <c r="I3001" s="10">
        <v>2</v>
      </c>
    </row>
    <row r="3002" spans="1:9" ht="15.75" thickBot="1" x14ac:dyDescent="0.3">
      <c r="A3002" s="1">
        <v>43466</v>
      </c>
      <c r="B3002" s="8" t="s">
        <v>6</v>
      </c>
      <c r="C3002" t="s">
        <v>7</v>
      </c>
      <c r="D3002" t="s">
        <v>745</v>
      </c>
      <c r="E3002" t="s">
        <v>10</v>
      </c>
      <c r="F3002" s="9">
        <v>43207.97</v>
      </c>
      <c r="G3002" s="6">
        <v>1806319.048</v>
      </c>
      <c r="H3002" s="8">
        <f t="shared" si="46"/>
        <v>1806.3190479999998</v>
      </c>
      <c r="I3002" s="10">
        <v>47</v>
      </c>
    </row>
    <row r="3003" spans="1:9" ht="15.75" thickBot="1" x14ac:dyDescent="0.3">
      <c r="A3003" s="1">
        <v>43466</v>
      </c>
      <c r="B3003" s="8" t="s">
        <v>6</v>
      </c>
      <c r="C3003" t="s">
        <v>7</v>
      </c>
      <c r="D3003" t="s">
        <v>745</v>
      </c>
      <c r="E3003" t="s">
        <v>17</v>
      </c>
      <c r="F3003" s="9">
        <v>538.48</v>
      </c>
      <c r="G3003" s="4">
        <v>14</v>
      </c>
      <c r="H3003" s="8">
        <f t="shared" si="46"/>
        <v>14</v>
      </c>
      <c r="I3003" s="10">
        <v>1</v>
      </c>
    </row>
    <row r="3004" spans="1:9" ht="15.75" thickBot="1" x14ac:dyDescent="0.3">
      <c r="A3004" s="1">
        <v>43800</v>
      </c>
      <c r="B3004" s="8" t="s">
        <v>6</v>
      </c>
      <c r="C3004" t="s">
        <v>7</v>
      </c>
      <c r="D3004" t="s">
        <v>745</v>
      </c>
      <c r="E3004" t="s">
        <v>11</v>
      </c>
      <c r="F3004" s="9">
        <v>32716.21</v>
      </c>
      <c r="G3004" s="4">
        <v>1024</v>
      </c>
      <c r="H3004" s="8">
        <f t="shared" si="46"/>
        <v>1024</v>
      </c>
      <c r="I3004" s="10">
        <v>47</v>
      </c>
    </row>
    <row r="3005" spans="1:9" ht="15.75" thickBot="1" x14ac:dyDescent="0.3">
      <c r="A3005" s="1">
        <v>43800</v>
      </c>
      <c r="B3005" s="8" t="s">
        <v>6</v>
      </c>
      <c r="C3005" t="s">
        <v>7</v>
      </c>
      <c r="D3005" t="s">
        <v>745</v>
      </c>
      <c r="E3005" t="s">
        <v>13</v>
      </c>
      <c r="F3005" s="9">
        <v>993.68</v>
      </c>
      <c r="G3005" s="6">
        <v>24000</v>
      </c>
      <c r="H3005" s="8">
        <f t="shared" si="46"/>
        <v>24000</v>
      </c>
      <c r="I3005" s="10">
        <v>1</v>
      </c>
    </row>
    <row r="3006" spans="1:9" ht="15.75" thickBot="1" x14ac:dyDescent="0.3">
      <c r="A3006" s="1">
        <v>43800</v>
      </c>
      <c r="B3006" s="8" t="s">
        <v>6</v>
      </c>
      <c r="C3006" t="s">
        <v>7</v>
      </c>
      <c r="D3006" t="s">
        <v>746</v>
      </c>
      <c r="E3006" t="s">
        <v>9</v>
      </c>
      <c r="F3006" s="9">
        <v>1220.1199999999999</v>
      </c>
      <c r="G3006" s="4">
        <v>41</v>
      </c>
      <c r="H3006" s="8">
        <f t="shared" si="46"/>
        <v>41</v>
      </c>
      <c r="I3006" s="10">
        <v>1</v>
      </c>
    </row>
    <row r="3007" spans="1:9" ht="15.75" thickBot="1" x14ac:dyDescent="0.3">
      <c r="A3007" s="1">
        <v>43800</v>
      </c>
      <c r="B3007" s="8" t="s">
        <v>6</v>
      </c>
      <c r="C3007" t="s">
        <v>7</v>
      </c>
      <c r="D3007" t="s">
        <v>746</v>
      </c>
      <c r="E3007" t="s">
        <v>15</v>
      </c>
      <c r="F3007" s="9">
        <v>412</v>
      </c>
      <c r="G3007" s="4">
        <v>0</v>
      </c>
      <c r="H3007" s="8">
        <f t="shared" si="46"/>
        <v>0</v>
      </c>
      <c r="I3007" s="10">
        <v>4</v>
      </c>
    </row>
    <row r="3008" spans="1:9" ht="15.75" thickBot="1" x14ac:dyDescent="0.3">
      <c r="A3008" s="1">
        <v>43466</v>
      </c>
      <c r="B3008" s="8" t="s">
        <v>6</v>
      </c>
      <c r="C3008" t="s">
        <v>7</v>
      </c>
      <c r="D3008" t="s">
        <v>746</v>
      </c>
      <c r="E3008" t="s">
        <v>10</v>
      </c>
      <c r="F3008" s="9">
        <v>28435.02</v>
      </c>
      <c r="G3008" s="6">
        <v>1029483.767</v>
      </c>
      <c r="H3008" s="8">
        <f t="shared" si="46"/>
        <v>1029.4837669999999</v>
      </c>
      <c r="I3008" s="10">
        <v>84</v>
      </c>
    </row>
    <row r="3009" spans="1:9" ht="15.75" thickBot="1" x14ac:dyDescent="0.3">
      <c r="A3009" s="1">
        <v>43466</v>
      </c>
      <c r="B3009" s="8" t="s">
        <v>6</v>
      </c>
      <c r="C3009" t="s">
        <v>7</v>
      </c>
      <c r="D3009" t="s">
        <v>746</v>
      </c>
      <c r="E3009" t="s">
        <v>13</v>
      </c>
      <c r="F3009" s="9">
        <v>227.2</v>
      </c>
      <c r="G3009" s="6">
        <v>10000</v>
      </c>
      <c r="H3009" s="8">
        <f t="shared" si="46"/>
        <v>10000</v>
      </c>
      <c r="I3009" s="10">
        <v>1</v>
      </c>
    </row>
    <row r="3010" spans="1:9" ht="15.75" thickBot="1" x14ac:dyDescent="0.3">
      <c r="A3010" s="1">
        <v>43466</v>
      </c>
      <c r="B3010" s="8" t="s">
        <v>6</v>
      </c>
      <c r="C3010" t="s">
        <v>7</v>
      </c>
      <c r="D3010" t="s">
        <v>747</v>
      </c>
      <c r="E3010" t="s">
        <v>15</v>
      </c>
      <c r="F3010" s="9">
        <v>12152.88</v>
      </c>
      <c r="G3010" s="4">
        <v>316</v>
      </c>
      <c r="H3010" s="8">
        <f t="shared" ref="H3010:H3073" si="47">IF(ISNUMBER(SEARCH("Domestic customer", E3010)),G3010/1000,G3010)</f>
        <v>316</v>
      </c>
      <c r="I3010" s="10">
        <v>19</v>
      </c>
    </row>
    <row r="3011" spans="1:9" ht="15.75" thickBot="1" x14ac:dyDescent="0.3">
      <c r="A3011" s="1">
        <v>43800</v>
      </c>
      <c r="B3011" s="8" t="s">
        <v>6</v>
      </c>
      <c r="C3011" t="s">
        <v>7</v>
      </c>
      <c r="D3011" t="s">
        <v>747</v>
      </c>
      <c r="E3011" t="s">
        <v>10</v>
      </c>
      <c r="F3011" s="9">
        <v>146387.65</v>
      </c>
      <c r="G3011" s="7">
        <v>48607232.840999998</v>
      </c>
      <c r="H3011" s="8">
        <f t="shared" si="47"/>
        <v>48607.232840999997</v>
      </c>
      <c r="I3011" s="10">
        <v>5098</v>
      </c>
    </row>
    <row r="3012" spans="1:9" ht="15.75" thickBot="1" x14ac:dyDescent="0.3">
      <c r="A3012" s="1">
        <v>43800</v>
      </c>
      <c r="B3012" s="8" t="s">
        <v>6</v>
      </c>
      <c r="C3012" t="s">
        <v>7</v>
      </c>
      <c r="D3012" t="s">
        <v>747</v>
      </c>
      <c r="E3012" t="s">
        <v>11</v>
      </c>
      <c r="F3012" s="9">
        <v>23773.25</v>
      </c>
      <c r="G3012" s="7">
        <v>7665.6760000000004</v>
      </c>
      <c r="H3012" s="8">
        <f t="shared" si="47"/>
        <v>7665.6760000000004</v>
      </c>
      <c r="I3012" s="10">
        <v>23</v>
      </c>
    </row>
    <row r="3013" spans="1:9" ht="15.75" thickBot="1" x14ac:dyDescent="0.3">
      <c r="A3013" s="1">
        <v>43800</v>
      </c>
      <c r="B3013" s="8" t="s">
        <v>6</v>
      </c>
      <c r="C3013" t="s">
        <v>7</v>
      </c>
      <c r="D3013" t="s">
        <v>747</v>
      </c>
      <c r="E3013" t="s">
        <v>13</v>
      </c>
      <c r="F3013" s="9">
        <v>400</v>
      </c>
      <c r="G3013" s="6">
        <v>90991.637000000002</v>
      </c>
      <c r="H3013" s="8">
        <f t="shared" si="47"/>
        <v>90991.637000000002</v>
      </c>
      <c r="I3013" s="10">
        <v>10</v>
      </c>
    </row>
    <row r="3014" spans="1:9" ht="15.75" thickBot="1" x14ac:dyDescent="0.3">
      <c r="A3014" s="1">
        <v>43800</v>
      </c>
      <c r="B3014" s="8" t="s">
        <v>6</v>
      </c>
      <c r="C3014" t="s">
        <v>7</v>
      </c>
      <c r="D3014" t="s">
        <v>748</v>
      </c>
      <c r="E3014" t="s">
        <v>15</v>
      </c>
      <c r="F3014" s="9">
        <v>0</v>
      </c>
      <c r="G3014" s="4">
        <v>113</v>
      </c>
      <c r="H3014" s="8">
        <f t="shared" si="47"/>
        <v>113</v>
      </c>
      <c r="I3014" s="10">
        <v>1</v>
      </c>
    </row>
    <row r="3015" spans="1:9" ht="15.75" thickBot="1" x14ac:dyDescent="0.3">
      <c r="A3015" s="1">
        <v>43466</v>
      </c>
      <c r="B3015" s="8" t="s">
        <v>6</v>
      </c>
      <c r="C3015" t="s">
        <v>7</v>
      </c>
      <c r="D3015" t="s">
        <v>749</v>
      </c>
      <c r="E3015" t="s">
        <v>9</v>
      </c>
      <c r="F3015" s="9">
        <v>11958.92</v>
      </c>
      <c r="G3015" s="4">
        <v>381</v>
      </c>
      <c r="H3015" s="8">
        <f t="shared" si="47"/>
        <v>381</v>
      </c>
      <c r="I3015" s="10">
        <v>5</v>
      </c>
    </row>
    <row r="3016" spans="1:9" ht="15.75" thickBot="1" x14ac:dyDescent="0.3">
      <c r="A3016" s="1">
        <v>43466</v>
      </c>
      <c r="B3016" s="8" t="s">
        <v>6</v>
      </c>
      <c r="C3016" t="s">
        <v>7</v>
      </c>
      <c r="D3016" t="s">
        <v>749</v>
      </c>
      <c r="E3016" t="s">
        <v>15</v>
      </c>
      <c r="F3016" s="9">
        <v>1705.16</v>
      </c>
      <c r="G3016" s="4">
        <v>13</v>
      </c>
      <c r="H3016" s="8">
        <f t="shared" si="47"/>
        <v>13</v>
      </c>
      <c r="I3016" s="10">
        <v>3</v>
      </c>
    </row>
    <row r="3017" spans="1:9" ht="15.75" thickBot="1" x14ac:dyDescent="0.3">
      <c r="A3017" s="1">
        <v>43466</v>
      </c>
      <c r="B3017" s="8" t="s">
        <v>6</v>
      </c>
      <c r="C3017" t="s">
        <v>7</v>
      </c>
      <c r="D3017" t="s">
        <v>749</v>
      </c>
      <c r="E3017" t="s">
        <v>10</v>
      </c>
      <c r="F3017" s="9">
        <v>403776.73</v>
      </c>
      <c r="G3017" s="7">
        <v>14134481.567</v>
      </c>
      <c r="H3017" s="8">
        <f t="shared" si="47"/>
        <v>14134.481566999999</v>
      </c>
      <c r="I3017" s="10">
        <v>846</v>
      </c>
    </row>
    <row r="3018" spans="1:9" ht="15.75" thickBot="1" x14ac:dyDescent="0.3">
      <c r="A3018" s="1">
        <v>43800</v>
      </c>
      <c r="B3018" s="8" t="s">
        <v>6</v>
      </c>
      <c r="C3018" t="s">
        <v>7</v>
      </c>
      <c r="D3018" t="s">
        <v>749</v>
      </c>
      <c r="E3018" t="s">
        <v>11</v>
      </c>
      <c r="F3018" s="9">
        <v>1941.92</v>
      </c>
      <c r="G3018" s="4">
        <v>56</v>
      </c>
      <c r="H3018" s="8">
        <f t="shared" si="47"/>
        <v>56</v>
      </c>
      <c r="I3018" s="10">
        <v>3</v>
      </c>
    </row>
    <row r="3019" spans="1:9" ht="15.75" thickBot="1" x14ac:dyDescent="0.3">
      <c r="A3019" s="1">
        <v>43800</v>
      </c>
      <c r="B3019" s="8" t="s">
        <v>6</v>
      </c>
      <c r="C3019" t="s">
        <v>7</v>
      </c>
      <c r="D3019" t="s">
        <v>749</v>
      </c>
      <c r="E3019" t="s">
        <v>13</v>
      </c>
      <c r="F3019" s="9">
        <v>1666.07</v>
      </c>
      <c r="G3019" s="6">
        <v>56000</v>
      </c>
      <c r="H3019" s="8">
        <f t="shared" si="47"/>
        <v>56000</v>
      </c>
      <c r="I3019" s="10">
        <v>5</v>
      </c>
    </row>
    <row r="3020" spans="1:9" ht="15.75" thickBot="1" x14ac:dyDescent="0.3">
      <c r="A3020" s="1">
        <v>43800</v>
      </c>
      <c r="B3020" s="8" t="s">
        <v>6</v>
      </c>
      <c r="C3020" t="s">
        <v>7</v>
      </c>
      <c r="D3020" t="s">
        <v>750</v>
      </c>
      <c r="E3020" t="s">
        <v>15</v>
      </c>
      <c r="F3020" s="9">
        <v>625</v>
      </c>
      <c r="G3020" s="4">
        <v>0</v>
      </c>
      <c r="H3020" s="8">
        <f t="shared" si="47"/>
        <v>0</v>
      </c>
      <c r="I3020" s="10">
        <v>1</v>
      </c>
    </row>
    <row r="3021" spans="1:9" ht="15.75" thickBot="1" x14ac:dyDescent="0.3">
      <c r="A3021" s="1">
        <v>43800</v>
      </c>
      <c r="B3021" s="8" t="s">
        <v>6</v>
      </c>
      <c r="C3021" t="s">
        <v>7</v>
      </c>
      <c r="D3021" t="s">
        <v>750</v>
      </c>
      <c r="E3021" t="s">
        <v>10</v>
      </c>
      <c r="F3021" s="9">
        <v>126351.1</v>
      </c>
      <c r="G3021" s="6">
        <v>5179507.3310000002</v>
      </c>
      <c r="H3021" s="8">
        <f t="shared" si="47"/>
        <v>5179.5073309999998</v>
      </c>
      <c r="I3021" s="10">
        <v>247</v>
      </c>
    </row>
    <row r="3022" spans="1:9" ht="15.75" thickBot="1" x14ac:dyDescent="0.3">
      <c r="A3022" s="1">
        <v>43466</v>
      </c>
      <c r="B3022" s="8" t="s">
        <v>6</v>
      </c>
      <c r="C3022" t="s">
        <v>7</v>
      </c>
      <c r="D3022" t="s">
        <v>750</v>
      </c>
      <c r="E3022" t="s">
        <v>11</v>
      </c>
      <c r="F3022" s="9">
        <v>8274.08</v>
      </c>
      <c r="G3022" s="4">
        <v>269</v>
      </c>
      <c r="H3022" s="8">
        <f t="shared" si="47"/>
        <v>269</v>
      </c>
      <c r="I3022" s="10">
        <v>3</v>
      </c>
    </row>
    <row r="3023" spans="1:9" ht="15.75" thickBot="1" x14ac:dyDescent="0.3">
      <c r="A3023" s="1">
        <v>43466</v>
      </c>
      <c r="B3023" s="8" t="s">
        <v>6</v>
      </c>
      <c r="C3023" t="s">
        <v>7</v>
      </c>
      <c r="D3023" t="s">
        <v>751</v>
      </c>
      <c r="E3023" t="s">
        <v>9</v>
      </c>
      <c r="F3023" s="9">
        <v>482.48</v>
      </c>
      <c r="G3023" s="4">
        <v>14</v>
      </c>
      <c r="H3023" s="8">
        <f t="shared" si="47"/>
        <v>14</v>
      </c>
      <c r="I3023" s="10">
        <v>1</v>
      </c>
    </row>
    <row r="3024" spans="1:9" ht="15.75" thickBot="1" x14ac:dyDescent="0.3">
      <c r="A3024" s="1">
        <v>43466</v>
      </c>
      <c r="B3024" s="8" t="s">
        <v>6</v>
      </c>
      <c r="C3024" t="s">
        <v>7</v>
      </c>
      <c r="D3024" t="s">
        <v>751</v>
      </c>
      <c r="E3024" t="s">
        <v>10</v>
      </c>
      <c r="F3024" s="9">
        <v>3505.8</v>
      </c>
      <c r="G3024" s="6">
        <v>78733.184999999998</v>
      </c>
      <c r="H3024" s="8">
        <f t="shared" si="47"/>
        <v>78.733184999999992</v>
      </c>
      <c r="I3024" s="10">
        <v>8</v>
      </c>
    </row>
    <row r="3025" spans="1:9" ht="15.75" thickBot="1" x14ac:dyDescent="0.3">
      <c r="A3025" s="1">
        <v>43800</v>
      </c>
      <c r="B3025" s="8" t="s">
        <v>6</v>
      </c>
      <c r="C3025" t="s">
        <v>7</v>
      </c>
      <c r="D3025" t="s">
        <v>751</v>
      </c>
      <c r="E3025" t="s">
        <v>11</v>
      </c>
      <c r="F3025" s="9">
        <v>1122.43</v>
      </c>
      <c r="G3025" s="4">
        <v>27</v>
      </c>
      <c r="H3025" s="8">
        <f t="shared" si="47"/>
        <v>27</v>
      </c>
      <c r="I3025" s="10">
        <v>4</v>
      </c>
    </row>
    <row r="3026" spans="1:9" ht="15.75" thickBot="1" x14ac:dyDescent="0.3">
      <c r="A3026" s="1">
        <v>43800</v>
      </c>
      <c r="B3026" s="8" t="s">
        <v>6</v>
      </c>
      <c r="C3026" t="s">
        <v>7</v>
      </c>
      <c r="D3026" t="s">
        <v>752</v>
      </c>
      <c r="E3026" t="s">
        <v>9</v>
      </c>
      <c r="F3026" s="9">
        <v>96394.68</v>
      </c>
      <c r="G3026" s="4">
        <v>3135</v>
      </c>
      <c r="H3026" s="8">
        <f t="shared" si="47"/>
        <v>3135</v>
      </c>
      <c r="I3026" s="10">
        <v>2</v>
      </c>
    </row>
    <row r="3027" spans="1:9" ht="15.75" thickBot="1" x14ac:dyDescent="0.3">
      <c r="A3027" s="1">
        <v>43800</v>
      </c>
      <c r="B3027" s="8" t="s">
        <v>6</v>
      </c>
      <c r="C3027" t="s">
        <v>7</v>
      </c>
      <c r="D3027" t="s">
        <v>752</v>
      </c>
      <c r="E3027" t="s">
        <v>15</v>
      </c>
      <c r="F3027" s="9">
        <v>56075.15</v>
      </c>
      <c r="G3027" s="7">
        <v>30121.441999999999</v>
      </c>
      <c r="H3027" s="8">
        <f t="shared" si="47"/>
        <v>30121.441999999999</v>
      </c>
      <c r="I3027" s="10">
        <v>8</v>
      </c>
    </row>
    <row r="3028" spans="1:9" ht="15.75" thickBot="1" x14ac:dyDescent="0.3">
      <c r="A3028" s="1">
        <v>43800</v>
      </c>
      <c r="B3028" s="8" t="s">
        <v>6</v>
      </c>
      <c r="C3028" t="s">
        <v>7</v>
      </c>
      <c r="D3028" t="s">
        <v>752</v>
      </c>
      <c r="E3028" t="s">
        <v>10</v>
      </c>
      <c r="F3028" s="9">
        <v>225201.68</v>
      </c>
      <c r="G3028" s="6">
        <v>8085063.3470000001</v>
      </c>
      <c r="H3028" s="8">
        <f t="shared" si="47"/>
        <v>8085.0633470000002</v>
      </c>
      <c r="I3028" s="10">
        <v>665</v>
      </c>
    </row>
    <row r="3029" spans="1:9" ht="15.75" thickBot="1" x14ac:dyDescent="0.3">
      <c r="A3029" s="1">
        <v>43466</v>
      </c>
      <c r="B3029" s="8" t="s">
        <v>6</v>
      </c>
      <c r="C3029" t="s">
        <v>7</v>
      </c>
      <c r="D3029" t="s">
        <v>752</v>
      </c>
      <c r="E3029" t="s">
        <v>11</v>
      </c>
      <c r="F3029" s="9">
        <v>5192.6899999999996</v>
      </c>
      <c r="G3029" s="7">
        <v>41095.406000000003</v>
      </c>
      <c r="H3029" s="8">
        <f t="shared" si="47"/>
        <v>41095.406000000003</v>
      </c>
      <c r="I3029" s="10">
        <v>7</v>
      </c>
    </row>
    <row r="3030" spans="1:9" ht="15.75" thickBot="1" x14ac:dyDescent="0.3">
      <c r="A3030" s="1">
        <v>43466</v>
      </c>
      <c r="B3030" s="8" t="s">
        <v>6</v>
      </c>
      <c r="C3030" t="s">
        <v>7</v>
      </c>
      <c r="D3030" t="s">
        <v>752</v>
      </c>
      <c r="E3030" t="s">
        <v>13</v>
      </c>
      <c r="F3030" s="9">
        <v>81.569999999999993</v>
      </c>
      <c r="G3030" s="5">
        <v>0</v>
      </c>
      <c r="H3030" s="8">
        <f t="shared" si="47"/>
        <v>0</v>
      </c>
      <c r="I3030" s="10">
        <v>1</v>
      </c>
    </row>
    <row r="3031" spans="1:9" ht="15.75" thickBot="1" x14ac:dyDescent="0.3">
      <c r="A3031" s="1">
        <v>43466</v>
      </c>
      <c r="B3031" s="8" t="s">
        <v>6</v>
      </c>
      <c r="C3031" t="s">
        <v>7</v>
      </c>
      <c r="D3031" t="s">
        <v>753</v>
      </c>
      <c r="E3031" t="s">
        <v>9</v>
      </c>
      <c r="F3031" s="9">
        <v>80829.83</v>
      </c>
      <c r="G3031" s="4">
        <v>2085</v>
      </c>
      <c r="H3031" s="8">
        <f t="shared" si="47"/>
        <v>2085</v>
      </c>
      <c r="I3031" s="10">
        <v>44</v>
      </c>
    </row>
    <row r="3032" spans="1:9" ht="15.75" thickBot="1" x14ac:dyDescent="0.3">
      <c r="A3032" s="1">
        <v>43800</v>
      </c>
      <c r="B3032" s="8" t="s">
        <v>6</v>
      </c>
      <c r="C3032" t="s">
        <v>7</v>
      </c>
      <c r="D3032" t="s">
        <v>753</v>
      </c>
      <c r="E3032" t="s">
        <v>15</v>
      </c>
      <c r="F3032" s="9">
        <v>3210.47</v>
      </c>
      <c r="G3032" s="4">
        <v>4</v>
      </c>
      <c r="H3032" s="8">
        <f t="shared" si="47"/>
        <v>4</v>
      </c>
      <c r="I3032" s="10">
        <v>6</v>
      </c>
    </row>
    <row r="3033" spans="1:9" ht="15.75" thickBot="1" x14ac:dyDescent="0.3">
      <c r="A3033" s="1">
        <v>43800</v>
      </c>
      <c r="B3033" s="8" t="s">
        <v>6</v>
      </c>
      <c r="C3033" t="s">
        <v>7</v>
      </c>
      <c r="D3033" t="s">
        <v>753</v>
      </c>
      <c r="E3033" t="s">
        <v>10</v>
      </c>
      <c r="F3033" s="9">
        <v>257250.57</v>
      </c>
      <c r="G3033" s="7">
        <v>14011980.994000001</v>
      </c>
      <c r="H3033" s="8">
        <f t="shared" si="47"/>
        <v>14011.980994000001</v>
      </c>
      <c r="I3033" s="10">
        <v>868</v>
      </c>
    </row>
    <row r="3034" spans="1:9" ht="15.75" thickBot="1" x14ac:dyDescent="0.3">
      <c r="A3034" s="1">
        <v>43800</v>
      </c>
      <c r="B3034" s="8" t="s">
        <v>6</v>
      </c>
      <c r="C3034" t="s">
        <v>7</v>
      </c>
      <c r="D3034" t="s">
        <v>753</v>
      </c>
      <c r="E3034" t="s">
        <v>17</v>
      </c>
      <c r="F3034" s="9">
        <v>30874.83</v>
      </c>
      <c r="G3034" s="4">
        <v>801</v>
      </c>
      <c r="H3034" s="8">
        <f t="shared" si="47"/>
        <v>801</v>
      </c>
      <c r="I3034" s="10">
        <v>27</v>
      </c>
    </row>
    <row r="3035" spans="1:9" ht="15.75" thickBot="1" x14ac:dyDescent="0.3">
      <c r="A3035" s="1">
        <v>43800</v>
      </c>
      <c r="B3035" s="8" t="s">
        <v>6</v>
      </c>
      <c r="C3035" t="s">
        <v>7</v>
      </c>
      <c r="D3035" t="s">
        <v>753</v>
      </c>
      <c r="E3035" t="s">
        <v>11</v>
      </c>
      <c r="F3035" s="9">
        <v>165551.38</v>
      </c>
      <c r="G3035" s="4">
        <v>5338</v>
      </c>
      <c r="H3035" s="8">
        <f t="shared" si="47"/>
        <v>5338</v>
      </c>
      <c r="I3035" s="10">
        <v>42</v>
      </c>
    </row>
    <row r="3036" spans="1:9" ht="15.75" thickBot="1" x14ac:dyDescent="0.3">
      <c r="A3036" s="1">
        <v>43466</v>
      </c>
      <c r="B3036" s="8" t="s">
        <v>6</v>
      </c>
      <c r="C3036" t="s">
        <v>7</v>
      </c>
      <c r="D3036" t="s">
        <v>753</v>
      </c>
      <c r="E3036" t="s">
        <v>13</v>
      </c>
      <c r="F3036" s="9">
        <v>232.6</v>
      </c>
      <c r="G3036" s="6">
        <v>11000</v>
      </c>
      <c r="H3036" s="8">
        <f t="shared" si="47"/>
        <v>11000</v>
      </c>
      <c r="I3036" s="10">
        <v>4</v>
      </c>
    </row>
    <row r="3037" spans="1:9" ht="15.75" thickBot="1" x14ac:dyDescent="0.3">
      <c r="A3037" s="1">
        <v>43466</v>
      </c>
      <c r="B3037" s="8" t="s">
        <v>6</v>
      </c>
      <c r="C3037" t="s">
        <v>7</v>
      </c>
      <c r="D3037" t="s">
        <v>754</v>
      </c>
      <c r="E3037" t="s">
        <v>9</v>
      </c>
      <c r="F3037" s="9">
        <v>31118.68</v>
      </c>
      <c r="G3037" s="4">
        <v>1021</v>
      </c>
      <c r="H3037" s="8">
        <f t="shared" si="47"/>
        <v>1021</v>
      </c>
      <c r="I3037" s="10">
        <v>13</v>
      </c>
    </row>
    <row r="3038" spans="1:9" ht="15.75" thickBot="1" x14ac:dyDescent="0.3">
      <c r="A3038" s="1">
        <v>43466</v>
      </c>
      <c r="B3038" s="8" t="s">
        <v>6</v>
      </c>
      <c r="C3038" t="s">
        <v>7</v>
      </c>
      <c r="D3038" t="s">
        <v>754</v>
      </c>
      <c r="E3038" t="s">
        <v>15</v>
      </c>
      <c r="F3038" s="9">
        <v>83495.63</v>
      </c>
      <c r="G3038" s="4">
        <v>3569</v>
      </c>
      <c r="H3038" s="8">
        <f t="shared" si="47"/>
        <v>3569</v>
      </c>
      <c r="I3038" s="10">
        <v>28</v>
      </c>
    </row>
    <row r="3039" spans="1:9" ht="15.75" thickBot="1" x14ac:dyDescent="0.3">
      <c r="A3039" s="1">
        <v>43800</v>
      </c>
      <c r="B3039" s="8" t="s">
        <v>6</v>
      </c>
      <c r="C3039" t="s">
        <v>7</v>
      </c>
      <c r="D3039" t="s">
        <v>754</v>
      </c>
      <c r="E3039" t="s">
        <v>10</v>
      </c>
      <c r="F3039" s="9">
        <v>882116.06</v>
      </c>
      <c r="G3039" s="7">
        <v>34343209.686999999</v>
      </c>
      <c r="H3039" s="8">
        <f t="shared" si="47"/>
        <v>34343.209687000002</v>
      </c>
      <c r="I3039" s="10">
        <v>4242</v>
      </c>
    </row>
    <row r="3040" spans="1:9" ht="15.75" thickBot="1" x14ac:dyDescent="0.3">
      <c r="A3040" s="1">
        <v>43800</v>
      </c>
      <c r="B3040" s="8" t="s">
        <v>6</v>
      </c>
      <c r="C3040" t="s">
        <v>7</v>
      </c>
      <c r="D3040" t="s">
        <v>754</v>
      </c>
      <c r="E3040" t="s">
        <v>11</v>
      </c>
      <c r="F3040" s="9">
        <v>75488.710000000006</v>
      </c>
      <c r="G3040" s="7">
        <v>417540.10399999999</v>
      </c>
      <c r="H3040" s="8">
        <f t="shared" si="47"/>
        <v>417540.10399999999</v>
      </c>
      <c r="I3040" s="10">
        <v>30</v>
      </c>
    </row>
    <row r="3041" spans="1:9" ht="15.75" thickBot="1" x14ac:dyDescent="0.3">
      <c r="A3041" s="1">
        <v>43800</v>
      </c>
      <c r="B3041" s="8" t="s">
        <v>6</v>
      </c>
      <c r="C3041" t="s">
        <v>7</v>
      </c>
      <c r="D3041" t="s">
        <v>754</v>
      </c>
      <c r="E3041" t="s">
        <v>13</v>
      </c>
      <c r="F3041" s="9">
        <v>12515.02</v>
      </c>
      <c r="G3041" s="7">
        <v>193485.82399999999</v>
      </c>
      <c r="H3041" s="8">
        <f t="shared" si="47"/>
        <v>193485.82399999999</v>
      </c>
      <c r="I3041" s="10">
        <v>26</v>
      </c>
    </row>
    <row r="3042" spans="1:9" ht="15.75" thickBot="1" x14ac:dyDescent="0.3">
      <c r="A3042" s="1">
        <v>43800</v>
      </c>
      <c r="B3042" s="8" t="s">
        <v>6</v>
      </c>
      <c r="C3042" t="s">
        <v>7</v>
      </c>
      <c r="D3042" t="s">
        <v>755</v>
      </c>
      <c r="E3042" t="s">
        <v>9</v>
      </c>
      <c r="F3042" s="9">
        <v>28108.98</v>
      </c>
      <c r="G3042" s="4">
        <v>762</v>
      </c>
      <c r="H3042" s="8">
        <f t="shared" si="47"/>
        <v>762</v>
      </c>
      <c r="I3042" s="10">
        <v>30</v>
      </c>
    </row>
    <row r="3043" spans="1:9" ht="15.75" thickBot="1" x14ac:dyDescent="0.3">
      <c r="A3043" s="1">
        <v>43466</v>
      </c>
      <c r="B3043" s="8" t="s">
        <v>6</v>
      </c>
      <c r="C3043" t="s">
        <v>7</v>
      </c>
      <c r="D3043" t="s">
        <v>755</v>
      </c>
      <c r="E3043" t="s">
        <v>15</v>
      </c>
      <c r="F3043" s="9">
        <v>8023.94</v>
      </c>
      <c r="G3043" s="4">
        <v>115</v>
      </c>
      <c r="H3043" s="8">
        <f t="shared" si="47"/>
        <v>115</v>
      </c>
      <c r="I3043" s="10">
        <v>13</v>
      </c>
    </row>
    <row r="3044" spans="1:9" ht="15.75" thickBot="1" x14ac:dyDescent="0.3">
      <c r="A3044" s="1">
        <v>43466</v>
      </c>
      <c r="B3044" s="8" t="s">
        <v>6</v>
      </c>
      <c r="C3044" t="s">
        <v>7</v>
      </c>
      <c r="D3044" t="s">
        <v>755</v>
      </c>
      <c r="E3044" t="s">
        <v>10</v>
      </c>
      <c r="F3044" s="9">
        <v>334345.76</v>
      </c>
      <c r="G3044" s="6">
        <v>11646602.059</v>
      </c>
      <c r="H3044" s="8">
        <f t="shared" si="47"/>
        <v>11646.602059000001</v>
      </c>
      <c r="I3044" s="10">
        <v>1035</v>
      </c>
    </row>
    <row r="3045" spans="1:9" ht="15.75" thickBot="1" x14ac:dyDescent="0.3">
      <c r="A3045" s="1">
        <v>43466</v>
      </c>
      <c r="B3045" s="8" t="s">
        <v>6</v>
      </c>
      <c r="C3045" t="s">
        <v>7</v>
      </c>
      <c r="D3045" t="s">
        <v>755</v>
      </c>
      <c r="E3045" t="s">
        <v>17</v>
      </c>
      <c r="F3045" s="9">
        <v>89036.68</v>
      </c>
      <c r="G3045" s="7">
        <v>7909.8509999999997</v>
      </c>
      <c r="H3045" s="8">
        <f t="shared" si="47"/>
        <v>7909.8509999999997</v>
      </c>
      <c r="I3045" s="10">
        <v>37</v>
      </c>
    </row>
    <row r="3046" spans="1:9" ht="15.75" thickBot="1" x14ac:dyDescent="0.3">
      <c r="A3046" s="1">
        <v>43800</v>
      </c>
      <c r="B3046" s="8" t="s">
        <v>6</v>
      </c>
      <c r="C3046" t="s">
        <v>7</v>
      </c>
      <c r="D3046" t="s">
        <v>755</v>
      </c>
      <c r="E3046" t="s">
        <v>11</v>
      </c>
      <c r="F3046" s="9">
        <v>3506.94</v>
      </c>
      <c r="G3046" s="4">
        <v>82</v>
      </c>
      <c r="H3046" s="8">
        <f t="shared" si="47"/>
        <v>82</v>
      </c>
      <c r="I3046" s="10">
        <v>7</v>
      </c>
    </row>
    <row r="3047" spans="1:9" ht="15.75" thickBot="1" x14ac:dyDescent="0.3">
      <c r="A3047" s="1">
        <v>43800</v>
      </c>
      <c r="B3047" s="8" t="s">
        <v>6</v>
      </c>
      <c r="C3047" t="s">
        <v>7</v>
      </c>
      <c r="D3047" t="s">
        <v>755</v>
      </c>
      <c r="E3047" t="s">
        <v>13</v>
      </c>
      <c r="F3047" s="9">
        <v>15608.62</v>
      </c>
      <c r="G3047" s="7">
        <v>158615.76199999999</v>
      </c>
      <c r="H3047" s="8">
        <f t="shared" si="47"/>
        <v>158615.76199999999</v>
      </c>
      <c r="I3047" s="10">
        <v>14</v>
      </c>
    </row>
    <row r="3048" spans="1:9" ht="15.75" thickBot="1" x14ac:dyDescent="0.3">
      <c r="A3048" s="1">
        <v>43800</v>
      </c>
      <c r="B3048" s="8" t="s">
        <v>6</v>
      </c>
      <c r="C3048" t="s">
        <v>7</v>
      </c>
      <c r="D3048" t="s">
        <v>756</v>
      </c>
      <c r="E3048" t="s">
        <v>9</v>
      </c>
      <c r="F3048" s="9">
        <v>1193.8699999999999</v>
      </c>
      <c r="G3048" s="4">
        <v>0</v>
      </c>
      <c r="H3048" s="8">
        <f t="shared" si="47"/>
        <v>0</v>
      </c>
      <c r="I3048" s="10">
        <v>2</v>
      </c>
    </row>
    <row r="3049" spans="1:9" ht="15.75" thickBot="1" x14ac:dyDescent="0.3">
      <c r="A3049" s="1">
        <v>43800</v>
      </c>
      <c r="B3049" s="8" t="s">
        <v>6</v>
      </c>
      <c r="C3049" t="s">
        <v>7</v>
      </c>
      <c r="D3049" t="s">
        <v>756</v>
      </c>
      <c r="E3049" t="s">
        <v>15</v>
      </c>
      <c r="F3049" s="9">
        <v>400</v>
      </c>
      <c r="G3049" s="4">
        <v>0</v>
      </c>
      <c r="H3049" s="8">
        <f t="shared" si="47"/>
        <v>0</v>
      </c>
      <c r="I3049" s="10">
        <v>1</v>
      </c>
    </row>
    <row r="3050" spans="1:9" ht="15.75" thickBot="1" x14ac:dyDescent="0.3">
      <c r="A3050" s="1">
        <v>43466</v>
      </c>
      <c r="B3050" s="8" t="s">
        <v>6</v>
      </c>
      <c r="C3050" t="s">
        <v>7</v>
      </c>
      <c r="D3050" t="s">
        <v>756</v>
      </c>
      <c r="E3050" t="s">
        <v>10</v>
      </c>
      <c r="F3050" s="9">
        <v>30390.01</v>
      </c>
      <c r="G3050" s="6">
        <v>990061.42500000005</v>
      </c>
      <c r="H3050" s="8">
        <f t="shared" si="47"/>
        <v>990.0614250000001</v>
      </c>
      <c r="I3050" s="10">
        <v>123</v>
      </c>
    </row>
    <row r="3051" spans="1:9" ht="15.75" thickBot="1" x14ac:dyDescent="0.3">
      <c r="A3051" s="1">
        <v>43466</v>
      </c>
      <c r="B3051" s="8" t="s">
        <v>6</v>
      </c>
      <c r="C3051" t="s">
        <v>7</v>
      </c>
      <c r="D3051" t="s">
        <v>757</v>
      </c>
      <c r="E3051" t="s">
        <v>9</v>
      </c>
      <c r="F3051" s="9">
        <v>645.88</v>
      </c>
      <c r="G3051" s="4">
        <v>9</v>
      </c>
      <c r="H3051" s="8">
        <f t="shared" si="47"/>
        <v>9</v>
      </c>
      <c r="I3051" s="10">
        <v>1</v>
      </c>
    </row>
    <row r="3052" spans="1:9" ht="15.75" thickBot="1" x14ac:dyDescent="0.3">
      <c r="A3052" s="1">
        <v>43466</v>
      </c>
      <c r="B3052" s="8" t="s">
        <v>6</v>
      </c>
      <c r="C3052" t="s">
        <v>7</v>
      </c>
      <c r="D3052" t="s">
        <v>757</v>
      </c>
      <c r="E3052" t="s">
        <v>15</v>
      </c>
      <c r="F3052" s="9">
        <v>70788.89</v>
      </c>
      <c r="G3052" s="7">
        <v>140570.321</v>
      </c>
      <c r="H3052" s="8">
        <f t="shared" si="47"/>
        <v>140570.321</v>
      </c>
      <c r="I3052" s="10">
        <v>140</v>
      </c>
    </row>
    <row r="3053" spans="1:9" ht="15.75" thickBot="1" x14ac:dyDescent="0.3">
      <c r="A3053" s="1">
        <v>43800</v>
      </c>
      <c r="B3053" s="8" t="s">
        <v>6</v>
      </c>
      <c r="C3053" t="s">
        <v>7</v>
      </c>
      <c r="D3053" t="s">
        <v>757</v>
      </c>
      <c r="E3053" t="s">
        <v>10</v>
      </c>
      <c r="F3053" s="9">
        <v>123096.18</v>
      </c>
      <c r="G3053" s="7">
        <v>11736171.446</v>
      </c>
      <c r="H3053" s="8">
        <f t="shared" si="47"/>
        <v>11736.171446</v>
      </c>
      <c r="I3053" s="10">
        <v>990</v>
      </c>
    </row>
    <row r="3054" spans="1:9" ht="15.75" thickBot="1" x14ac:dyDescent="0.3">
      <c r="A3054" s="1">
        <v>43800</v>
      </c>
      <c r="B3054" s="8" t="s">
        <v>6</v>
      </c>
      <c r="C3054" t="s">
        <v>7</v>
      </c>
      <c r="D3054" t="s">
        <v>757</v>
      </c>
      <c r="E3054" t="s">
        <v>17</v>
      </c>
      <c r="F3054" s="9">
        <v>15583.63</v>
      </c>
      <c r="G3054" s="4">
        <v>182</v>
      </c>
      <c r="H3054" s="8">
        <f t="shared" si="47"/>
        <v>182</v>
      </c>
      <c r="I3054" s="10">
        <v>6</v>
      </c>
    </row>
    <row r="3055" spans="1:9" ht="15.75" thickBot="1" x14ac:dyDescent="0.3">
      <c r="A3055" s="1">
        <v>43800</v>
      </c>
      <c r="B3055" s="8" t="s">
        <v>6</v>
      </c>
      <c r="C3055" t="s">
        <v>7</v>
      </c>
      <c r="D3055" t="s">
        <v>757</v>
      </c>
      <c r="E3055" t="s">
        <v>11</v>
      </c>
      <c r="F3055" s="9">
        <v>35157.279999999999</v>
      </c>
      <c r="G3055" s="7">
        <v>221633.11799999999</v>
      </c>
      <c r="H3055" s="8">
        <f t="shared" si="47"/>
        <v>221633.11799999999</v>
      </c>
      <c r="I3055" s="10">
        <v>99</v>
      </c>
    </row>
    <row r="3056" spans="1:9" ht="15.75" thickBot="1" x14ac:dyDescent="0.3">
      <c r="A3056" s="1">
        <v>43800</v>
      </c>
      <c r="B3056" s="8" t="s">
        <v>6</v>
      </c>
      <c r="C3056" t="s">
        <v>7</v>
      </c>
      <c r="D3056" t="s">
        <v>757</v>
      </c>
      <c r="E3056" t="s">
        <v>13</v>
      </c>
      <c r="F3056" s="9">
        <v>9137.33</v>
      </c>
      <c r="G3056" s="7">
        <v>283386.141</v>
      </c>
      <c r="H3056" s="8">
        <f t="shared" si="47"/>
        <v>283386.141</v>
      </c>
      <c r="I3056" s="10">
        <v>28</v>
      </c>
    </row>
    <row r="3057" spans="1:9" ht="15.75" thickBot="1" x14ac:dyDescent="0.3">
      <c r="A3057" s="1">
        <v>43466</v>
      </c>
      <c r="B3057" s="8" t="s">
        <v>6</v>
      </c>
      <c r="C3057" t="s">
        <v>7</v>
      </c>
      <c r="D3057" t="s">
        <v>758</v>
      </c>
      <c r="E3057" t="s">
        <v>9</v>
      </c>
      <c r="F3057" s="9">
        <v>5704.25</v>
      </c>
      <c r="G3057" s="4">
        <v>190</v>
      </c>
      <c r="H3057" s="8">
        <f t="shared" si="47"/>
        <v>190</v>
      </c>
      <c r="I3057" s="10">
        <v>8</v>
      </c>
    </row>
    <row r="3058" spans="1:9" ht="15.75" thickBot="1" x14ac:dyDescent="0.3">
      <c r="A3058" s="1">
        <v>43466</v>
      </c>
      <c r="B3058" s="8" t="s">
        <v>6</v>
      </c>
      <c r="C3058" t="s">
        <v>7</v>
      </c>
      <c r="D3058" t="s">
        <v>758</v>
      </c>
      <c r="E3058" t="s">
        <v>15</v>
      </c>
      <c r="F3058" s="9">
        <v>21635.25</v>
      </c>
      <c r="G3058" s="7">
        <v>102150455.08400001</v>
      </c>
      <c r="H3058" s="8">
        <f t="shared" si="47"/>
        <v>102150455.08400001</v>
      </c>
      <c r="I3058" s="10">
        <v>63</v>
      </c>
    </row>
    <row r="3059" spans="1:9" ht="15.75" thickBot="1" x14ac:dyDescent="0.3">
      <c r="A3059" s="1">
        <v>43466</v>
      </c>
      <c r="B3059" s="8" t="s">
        <v>6</v>
      </c>
      <c r="C3059" t="s">
        <v>7</v>
      </c>
      <c r="D3059" t="s">
        <v>758</v>
      </c>
      <c r="E3059" t="s">
        <v>10</v>
      </c>
      <c r="F3059" s="9">
        <v>465544.94</v>
      </c>
      <c r="G3059" s="7">
        <v>19390703.522</v>
      </c>
      <c r="H3059" s="8">
        <f t="shared" si="47"/>
        <v>19390.703522</v>
      </c>
      <c r="I3059" s="10">
        <v>1728</v>
      </c>
    </row>
    <row r="3060" spans="1:9" ht="15.75" thickBot="1" x14ac:dyDescent="0.3">
      <c r="A3060" s="1">
        <v>43800</v>
      </c>
      <c r="B3060" s="8" t="s">
        <v>6</v>
      </c>
      <c r="C3060" t="s">
        <v>7</v>
      </c>
      <c r="D3060" t="s">
        <v>758</v>
      </c>
      <c r="E3060" t="s">
        <v>11</v>
      </c>
      <c r="F3060" s="9">
        <v>35939.410000000003</v>
      </c>
      <c r="G3060" s="4">
        <v>1067</v>
      </c>
      <c r="H3060" s="8">
        <f t="shared" si="47"/>
        <v>1067</v>
      </c>
      <c r="I3060" s="10">
        <v>38</v>
      </c>
    </row>
    <row r="3061" spans="1:9" ht="15.75" thickBot="1" x14ac:dyDescent="0.3">
      <c r="A3061" s="1">
        <v>43800</v>
      </c>
      <c r="B3061" s="8" t="s">
        <v>6</v>
      </c>
      <c r="C3061" t="s">
        <v>7</v>
      </c>
      <c r="D3061" t="s">
        <v>758</v>
      </c>
      <c r="E3061" t="s">
        <v>13</v>
      </c>
      <c r="F3061" s="9">
        <v>899.13</v>
      </c>
      <c r="G3061" s="6">
        <v>35233.587</v>
      </c>
      <c r="H3061" s="8">
        <f t="shared" si="47"/>
        <v>35233.587</v>
      </c>
      <c r="I3061" s="10">
        <v>3</v>
      </c>
    </row>
    <row r="3062" spans="1:9" ht="15.75" thickBot="1" x14ac:dyDescent="0.3">
      <c r="A3062" s="1">
        <v>43800</v>
      </c>
      <c r="B3062" s="8" t="s">
        <v>6</v>
      </c>
      <c r="C3062" t="s">
        <v>7</v>
      </c>
      <c r="D3062" t="s">
        <v>759</v>
      </c>
      <c r="E3062" t="s">
        <v>9</v>
      </c>
      <c r="F3062" s="9">
        <v>15644.9</v>
      </c>
      <c r="G3062" s="4">
        <v>481</v>
      </c>
      <c r="H3062" s="8">
        <f t="shared" si="47"/>
        <v>481</v>
      </c>
      <c r="I3062" s="10">
        <v>17</v>
      </c>
    </row>
    <row r="3063" spans="1:9" ht="15.75" thickBot="1" x14ac:dyDescent="0.3">
      <c r="A3063" s="1">
        <v>43800</v>
      </c>
      <c r="B3063" s="8" t="s">
        <v>6</v>
      </c>
      <c r="C3063" t="s">
        <v>7</v>
      </c>
      <c r="D3063" t="s">
        <v>759</v>
      </c>
      <c r="E3063" t="s">
        <v>15</v>
      </c>
      <c r="F3063" s="9">
        <v>45620.82</v>
      </c>
      <c r="G3063" s="4">
        <v>1559</v>
      </c>
      <c r="H3063" s="8">
        <f t="shared" si="47"/>
        <v>1559</v>
      </c>
      <c r="I3063" s="10">
        <v>12</v>
      </c>
    </row>
    <row r="3064" spans="1:9" ht="15.75" thickBot="1" x14ac:dyDescent="0.3">
      <c r="A3064" s="1">
        <v>43466</v>
      </c>
      <c r="B3064" s="8" t="s">
        <v>6</v>
      </c>
      <c r="C3064" t="s">
        <v>7</v>
      </c>
      <c r="D3064" t="s">
        <v>759</v>
      </c>
      <c r="E3064" t="s">
        <v>10</v>
      </c>
      <c r="F3064" s="9">
        <v>325550.78000000003</v>
      </c>
      <c r="G3064" s="6">
        <v>11974993.255999999</v>
      </c>
      <c r="H3064" s="8">
        <f t="shared" si="47"/>
        <v>11974.993256</v>
      </c>
      <c r="I3064" s="10">
        <v>1176</v>
      </c>
    </row>
    <row r="3065" spans="1:9" ht="15.75" thickBot="1" x14ac:dyDescent="0.3">
      <c r="A3065" s="1">
        <v>43466</v>
      </c>
      <c r="B3065" s="8" t="s">
        <v>6</v>
      </c>
      <c r="C3065" t="s">
        <v>7</v>
      </c>
      <c r="D3065" t="s">
        <v>759</v>
      </c>
      <c r="E3065" t="s">
        <v>11</v>
      </c>
      <c r="F3065" s="9">
        <v>49238.82</v>
      </c>
      <c r="G3065" s="4">
        <v>1045</v>
      </c>
      <c r="H3065" s="8">
        <f t="shared" si="47"/>
        <v>1045</v>
      </c>
      <c r="I3065" s="10">
        <v>40</v>
      </c>
    </row>
    <row r="3066" spans="1:9" ht="15.75" thickBot="1" x14ac:dyDescent="0.3">
      <c r="A3066" s="1">
        <v>43466</v>
      </c>
      <c r="B3066" s="8" t="s">
        <v>6</v>
      </c>
      <c r="C3066" t="s">
        <v>7</v>
      </c>
      <c r="D3066" t="s">
        <v>759</v>
      </c>
      <c r="E3066" t="s">
        <v>13</v>
      </c>
      <c r="F3066" s="9">
        <v>23104.16</v>
      </c>
      <c r="G3066" s="7">
        <v>28765</v>
      </c>
      <c r="H3066" s="8">
        <f t="shared" si="47"/>
        <v>28765</v>
      </c>
      <c r="I3066" s="10">
        <v>5</v>
      </c>
    </row>
    <row r="3067" spans="1:9" ht="15.75" thickBot="1" x14ac:dyDescent="0.3">
      <c r="A3067" s="1">
        <v>43800</v>
      </c>
      <c r="B3067" s="8" t="s">
        <v>6</v>
      </c>
      <c r="C3067" t="s">
        <v>7</v>
      </c>
      <c r="D3067" t="s">
        <v>760</v>
      </c>
      <c r="E3067" t="s">
        <v>9</v>
      </c>
      <c r="F3067" s="9">
        <v>10511.46</v>
      </c>
      <c r="G3067" s="4">
        <v>352</v>
      </c>
      <c r="H3067" s="8">
        <f t="shared" si="47"/>
        <v>352</v>
      </c>
      <c r="I3067" s="10">
        <v>12</v>
      </c>
    </row>
    <row r="3068" spans="1:9" ht="15.75" thickBot="1" x14ac:dyDescent="0.3">
      <c r="A3068" s="1">
        <v>43800</v>
      </c>
      <c r="B3068" s="8" t="s">
        <v>6</v>
      </c>
      <c r="C3068" t="s">
        <v>7</v>
      </c>
      <c r="D3068" t="s">
        <v>760</v>
      </c>
      <c r="E3068" t="s">
        <v>15</v>
      </c>
      <c r="F3068" s="9">
        <v>4880.08</v>
      </c>
      <c r="G3068" s="4">
        <v>19</v>
      </c>
      <c r="H3068" s="8">
        <f t="shared" si="47"/>
        <v>19</v>
      </c>
      <c r="I3068" s="10">
        <v>19</v>
      </c>
    </row>
    <row r="3069" spans="1:9" ht="15.75" thickBot="1" x14ac:dyDescent="0.3">
      <c r="A3069" s="1">
        <v>43800</v>
      </c>
      <c r="B3069" s="8" t="s">
        <v>6</v>
      </c>
      <c r="C3069" t="s">
        <v>7</v>
      </c>
      <c r="D3069" t="s">
        <v>760</v>
      </c>
      <c r="E3069" t="s">
        <v>10</v>
      </c>
      <c r="F3069" s="9">
        <v>403244.48</v>
      </c>
      <c r="G3069" s="6">
        <v>14703802.867000001</v>
      </c>
      <c r="H3069" s="8">
        <f t="shared" si="47"/>
        <v>14703.802867</v>
      </c>
      <c r="I3069" s="10">
        <v>1647</v>
      </c>
    </row>
    <row r="3070" spans="1:9" ht="15.75" thickBot="1" x14ac:dyDescent="0.3">
      <c r="A3070" s="1">
        <v>43800</v>
      </c>
      <c r="B3070" s="8" t="s">
        <v>6</v>
      </c>
      <c r="C3070" t="s">
        <v>7</v>
      </c>
      <c r="D3070" t="s">
        <v>760</v>
      </c>
      <c r="E3070" t="s">
        <v>11</v>
      </c>
      <c r="F3070" s="9">
        <v>-50968.9</v>
      </c>
      <c r="G3070" s="7">
        <v>123227.254</v>
      </c>
      <c r="H3070" s="8">
        <f t="shared" si="47"/>
        <v>123227.254</v>
      </c>
      <c r="I3070" s="10">
        <v>28</v>
      </c>
    </row>
    <row r="3071" spans="1:9" ht="15.75" thickBot="1" x14ac:dyDescent="0.3">
      <c r="A3071" s="1">
        <v>43466</v>
      </c>
      <c r="B3071" s="8" t="s">
        <v>6</v>
      </c>
      <c r="C3071" t="s">
        <v>7</v>
      </c>
      <c r="D3071" t="s">
        <v>760</v>
      </c>
      <c r="E3071" t="s">
        <v>13</v>
      </c>
      <c r="F3071" s="9">
        <v>3637</v>
      </c>
      <c r="G3071" s="6">
        <v>125000</v>
      </c>
      <c r="H3071" s="8">
        <f t="shared" si="47"/>
        <v>125000</v>
      </c>
      <c r="I3071" s="10">
        <v>12</v>
      </c>
    </row>
    <row r="3072" spans="1:9" ht="15.75" thickBot="1" x14ac:dyDescent="0.3">
      <c r="A3072" s="1">
        <v>43466</v>
      </c>
      <c r="B3072" s="8" t="s">
        <v>6</v>
      </c>
      <c r="C3072" t="s">
        <v>7</v>
      </c>
      <c r="D3072" t="s">
        <v>761</v>
      </c>
      <c r="E3072" t="s">
        <v>9</v>
      </c>
      <c r="F3072" s="9">
        <v>4430.16</v>
      </c>
      <c r="G3072" s="4">
        <v>42</v>
      </c>
      <c r="H3072" s="8">
        <f t="shared" si="47"/>
        <v>42</v>
      </c>
      <c r="I3072" s="10">
        <v>2</v>
      </c>
    </row>
    <row r="3073" spans="1:9" ht="15.75" thickBot="1" x14ac:dyDescent="0.3">
      <c r="A3073" s="1">
        <v>43466</v>
      </c>
      <c r="B3073" s="8" t="s">
        <v>6</v>
      </c>
      <c r="C3073" t="s">
        <v>7</v>
      </c>
      <c r="D3073" t="s">
        <v>761</v>
      </c>
      <c r="E3073" t="s">
        <v>15</v>
      </c>
      <c r="F3073" s="9">
        <v>0</v>
      </c>
      <c r="G3073" s="4">
        <v>5</v>
      </c>
      <c r="H3073" s="8">
        <f t="shared" si="47"/>
        <v>5</v>
      </c>
      <c r="I3073" s="10">
        <v>1</v>
      </c>
    </row>
    <row r="3074" spans="1:9" ht="15.75" thickBot="1" x14ac:dyDescent="0.3">
      <c r="A3074" s="1">
        <v>43800</v>
      </c>
      <c r="B3074" s="8" t="s">
        <v>6</v>
      </c>
      <c r="C3074" t="s">
        <v>7</v>
      </c>
      <c r="D3074" t="s">
        <v>761</v>
      </c>
      <c r="E3074" t="s">
        <v>10</v>
      </c>
      <c r="F3074" s="9">
        <v>244.71</v>
      </c>
      <c r="G3074" s="5">
        <v>0</v>
      </c>
      <c r="H3074" s="8">
        <f t="shared" ref="H3074:H3137" si="48">IF(ISNUMBER(SEARCH("Domestic customer", E3074)),G3074/1000,G3074)</f>
        <v>0</v>
      </c>
      <c r="I3074" s="10">
        <v>3</v>
      </c>
    </row>
    <row r="3075" spans="1:9" ht="15.75" thickBot="1" x14ac:dyDescent="0.3">
      <c r="A3075" s="1">
        <v>43800</v>
      </c>
      <c r="B3075" s="8" t="s">
        <v>6</v>
      </c>
      <c r="C3075" t="s">
        <v>7</v>
      </c>
      <c r="D3075" t="s">
        <v>761</v>
      </c>
      <c r="E3075" t="s">
        <v>11</v>
      </c>
      <c r="F3075" s="9">
        <v>64428.21</v>
      </c>
      <c r="G3075" s="4">
        <v>1426</v>
      </c>
      <c r="H3075" s="8">
        <f t="shared" si="48"/>
        <v>1426</v>
      </c>
      <c r="I3075" s="10">
        <v>5</v>
      </c>
    </row>
    <row r="3076" spans="1:9" ht="15.75" thickBot="1" x14ac:dyDescent="0.3">
      <c r="A3076" s="1">
        <v>43800</v>
      </c>
      <c r="B3076" s="8" t="s">
        <v>6</v>
      </c>
      <c r="C3076" t="s">
        <v>7</v>
      </c>
      <c r="D3076" t="s">
        <v>762</v>
      </c>
      <c r="E3076" t="s">
        <v>9</v>
      </c>
      <c r="F3076" s="9">
        <v>17864.48</v>
      </c>
      <c r="G3076" s="4">
        <v>564</v>
      </c>
      <c r="H3076" s="8">
        <f t="shared" si="48"/>
        <v>564</v>
      </c>
      <c r="I3076" s="10">
        <v>7</v>
      </c>
    </row>
    <row r="3077" spans="1:9" ht="15.75" thickBot="1" x14ac:dyDescent="0.3">
      <c r="A3077" s="1">
        <v>43800</v>
      </c>
      <c r="B3077" s="8" t="s">
        <v>6</v>
      </c>
      <c r="C3077" t="s">
        <v>7</v>
      </c>
      <c r="D3077" t="s">
        <v>762</v>
      </c>
      <c r="E3077" t="s">
        <v>15</v>
      </c>
      <c r="F3077" s="9">
        <v>217.43</v>
      </c>
      <c r="G3077" s="4">
        <v>1</v>
      </c>
      <c r="H3077" s="8">
        <f t="shared" si="48"/>
        <v>1</v>
      </c>
      <c r="I3077" s="10">
        <v>1</v>
      </c>
    </row>
    <row r="3078" spans="1:9" ht="15.75" thickBot="1" x14ac:dyDescent="0.3">
      <c r="A3078" s="1">
        <v>43466</v>
      </c>
      <c r="B3078" s="8" t="s">
        <v>6</v>
      </c>
      <c r="C3078" t="s">
        <v>7</v>
      </c>
      <c r="D3078" t="s">
        <v>762</v>
      </c>
      <c r="E3078" t="s">
        <v>10</v>
      </c>
      <c r="F3078" s="9">
        <v>43888.9</v>
      </c>
      <c r="G3078" s="7">
        <v>1530798.5619999999</v>
      </c>
      <c r="H3078" s="8">
        <f t="shared" si="48"/>
        <v>1530.7985619999999</v>
      </c>
      <c r="I3078" s="10">
        <v>140</v>
      </c>
    </row>
    <row r="3079" spans="1:9" ht="15.75" thickBot="1" x14ac:dyDescent="0.3">
      <c r="A3079" s="1">
        <v>43466</v>
      </c>
      <c r="B3079" s="8" t="s">
        <v>6</v>
      </c>
      <c r="C3079" t="s">
        <v>7</v>
      </c>
      <c r="D3079" t="s">
        <v>763</v>
      </c>
      <c r="E3079" t="s">
        <v>15</v>
      </c>
      <c r="F3079" s="9">
        <v>111176.95</v>
      </c>
      <c r="G3079" s="4">
        <v>3519</v>
      </c>
      <c r="H3079" s="8">
        <f t="shared" si="48"/>
        <v>3519</v>
      </c>
      <c r="I3079" s="10">
        <v>265</v>
      </c>
    </row>
    <row r="3080" spans="1:9" ht="15.75" thickBot="1" x14ac:dyDescent="0.3">
      <c r="A3080" s="1">
        <v>43466</v>
      </c>
      <c r="B3080" s="8" t="s">
        <v>6</v>
      </c>
      <c r="C3080" t="s">
        <v>7</v>
      </c>
      <c r="D3080" t="s">
        <v>763</v>
      </c>
      <c r="E3080" t="s">
        <v>10</v>
      </c>
      <c r="F3080" s="9">
        <v>56618.33</v>
      </c>
      <c r="G3080" s="6">
        <v>5563042.341</v>
      </c>
      <c r="H3080" s="8">
        <f t="shared" si="48"/>
        <v>5563.0423410000003</v>
      </c>
      <c r="I3080" s="10">
        <v>536</v>
      </c>
    </row>
    <row r="3081" spans="1:9" ht="15.75" thickBot="1" x14ac:dyDescent="0.3">
      <c r="A3081" s="1">
        <v>43800</v>
      </c>
      <c r="B3081" s="8" t="s">
        <v>6</v>
      </c>
      <c r="C3081" t="s">
        <v>7</v>
      </c>
      <c r="D3081" t="s">
        <v>763</v>
      </c>
      <c r="E3081" t="s">
        <v>11</v>
      </c>
      <c r="F3081" s="9">
        <v>1220.1199999999999</v>
      </c>
      <c r="G3081" s="4">
        <v>41</v>
      </c>
      <c r="H3081" s="8">
        <f t="shared" si="48"/>
        <v>41</v>
      </c>
      <c r="I3081" s="10">
        <v>1</v>
      </c>
    </row>
    <row r="3082" spans="1:9" ht="15.75" thickBot="1" x14ac:dyDescent="0.3">
      <c r="A3082" s="1">
        <v>43800</v>
      </c>
      <c r="B3082" s="8" t="s">
        <v>6</v>
      </c>
      <c r="C3082" t="s">
        <v>7</v>
      </c>
      <c r="D3082" t="s">
        <v>763</v>
      </c>
      <c r="E3082" t="s">
        <v>13</v>
      </c>
      <c r="F3082" s="9">
        <v>139.49</v>
      </c>
      <c r="G3082" s="6">
        <v>11060.877</v>
      </c>
      <c r="H3082" s="8">
        <f t="shared" si="48"/>
        <v>11060.877</v>
      </c>
      <c r="I3082" s="10">
        <v>3</v>
      </c>
    </row>
    <row r="3083" spans="1:9" ht="15.75" thickBot="1" x14ac:dyDescent="0.3">
      <c r="A3083" s="1">
        <v>43800</v>
      </c>
      <c r="B3083" s="8" t="s">
        <v>6</v>
      </c>
      <c r="C3083" t="s">
        <v>7</v>
      </c>
      <c r="D3083" t="s">
        <v>764</v>
      </c>
      <c r="E3083" t="s">
        <v>9</v>
      </c>
      <c r="F3083" s="9">
        <v>11369.79</v>
      </c>
      <c r="G3083" s="4">
        <v>372</v>
      </c>
      <c r="H3083" s="8">
        <f t="shared" si="48"/>
        <v>372</v>
      </c>
      <c r="I3083" s="10">
        <v>9</v>
      </c>
    </row>
    <row r="3084" spans="1:9" ht="15.75" thickBot="1" x14ac:dyDescent="0.3">
      <c r="A3084" s="1">
        <v>43800</v>
      </c>
      <c r="B3084" s="8" t="s">
        <v>6</v>
      </c>
      <c r="C3084" t="s">
        <v>7</v>
      </c>
      <c r="D3084" t="s">
        <v>764</v>
      </c>
      <c r="E3084" t="s">
        <v>15</v>
      </c>
      <c r="F3084" s="9">
        <v>30719.95</v>
      </c>
      <c r="G3084" s="7">
        <v>43978.517</v>
      </c>
      <c r="H3084" s="8">
        <f t="shared" si="48"/>
        <v>43978.517</v>
      </c>
      <c r="I3084" s="10">
        <v>15</v>
      </c>
    </row>
    <row r="3085" spans="1:9" ht="15.75" thickBot="1" x14ac:dyDescent="0.3">
      <c r="A3085" s="1">
        <v>43466</v>
      </c>
      <c r="B3085" s="8" t="s">
        <v>6</v>
      </c>
      <c r="C3085" t="s">
        <v>7</v>
      </c>
      <c r="D3085" t="s">
        <v>764</v>
      </c>
      <c r="E3085" t="s">
        <v>10</v>
      </c>
      <c r="F3085" s="9">
        <v>425118.24</v>
      </c>
      <c r="G3085" s="6">
        <v>20521744.304000001</v>
      </c>
      <c r="H3085" s="8">
        <f t="shared" si="48"/>
        <v>20521.744304</v>
      </c>
      <c r="I3085" s="10">
        <v>2211</v>
      </c>
    </row>
    <row r="3086" spans="1:9" ht="15.75" thickBot="1" x14ac:dyDescent="0.3">
      <c r="A3086" s="1">
        <v>43466</v>
      </c>
      <c r="B3086" s="8" t="s">
        <v>6</v>
      </c>
      <c r="C3086" t="s">
        <v>7</v>
      </c>
      <c r="D3086" t="s">
        <v>764</v>
      </c>
      <c r="E3086" t="s">
        <v>11</v>
      </c>
      <c r="F3086" s="9">
        <v>-500990.29</v>
      </c>
      <c r="G3086" s="4">
        <v>-16957</v>
      </c>
      <c r="H3086" s="8">
        <f t="shared" si="48"/>
        <v>-16957</v>
      </c>
      <c r="I3086" s="10">
        <v>16</v>
      </c>
    </row>
    <row r="3087" spans="1:9" ht="15.75" thickBot="1" x14ac:dyDescent="0.3">
      <c r="A3087" s="1">
        <v>43466</v>
      </c>
      <c r="B3087" s="8" t="s">
        <v>6</v>
      </c>
      <c r="C3087" t="s">
        <v>7</v>
      </c>
      <c r="D3087" t="s">
        <v>764</v>
      </c>
      <c r="E3087" t="s">
        <v>13</v>
      </c>
      <c r="F3087" s="9">
        <v>1292.6099999999999</v>
      </c>
      <c r="G3087" s="6">
        <v>38349.199999999997</v>
      </c>
      <c r="H3087" s="8">
        <f t="shared" si="48"/>
        <v>38349.199999999997</v>
      </c>
      <c r="I3087" s="10">
        <v>7</v>
      </c>
    </row>
    <row r="3088" spans="1:9" ht="15.75" thickBot="1" x14ac:dyDescent="0.3">
      <c r="A3088" s="1">
        <v>43800</v>
      </c>
      <c r="B3088" s="8" t="s">
        <v>6</v>
      </c>
      <c r="C3088" t="s">
        <v>7</v>
      </c>
      <c r="D3088" t="s">
        <v>765</v>
      </c>
      <c r="E3088" t="s">
        <v>9</v>
      </c>
      <c r="F3088" s="9">
        <v>332481.43</v>
      </c>
      <c r="G3088" s="7">
        <v>29534.917000000001</v>
      </c>
      <c r="H3088" s="8">
        <f t="shared" si="48"/>
        <v>29534.917000000001</v>
      </c>
      <c r="I3088" s="10">
        <v>191</v>
      </c>
    </row>
    <row r="3089" spans="1:9" ht="15.75" thickBot="1" x14ac:dyDescent="0.3">
      <c r="A3089" s="1">
        <v>43800</v>
      </c>
      <c r="B3089" s="8" t="s">
        <v>6</v>
      </c>
      <c r="C3089" t="s">
        <v>7</v>
      </c>
      <c r="D3089" t="s">
        <v>765</v>
      </c>
      <c r="E3089" t="s">
        <v>15</v>
      </c>
      <c r="F3089" s="9">
        <v>22439.7</v>
      </c>
      <c r="G3089" s="7">
        <v>13826.137000000001</v>
      </c>
      <c r="H3089" s="8">
        <f t="shared" si="48"/>
        <v>13826.137000000001</v>
      </c>
      <c r="I3089" s="10">
        <v>18</v>
      </c>
    </row>
    <row r="3090" spans="1:9" ht="15.75" thickBot="1" x14ac:dyDescent="0.3">
      <c r="A3090" s="1">
        <v>43800</v>
      </c>
      <c r="B3090" s="8" t="s">
        <v>6</v>
      </c>
      <c r="C3090" t="s">
        <v>7</v>
      </c>
      <c r="D3090" t="s">
        <v>765</v>
      </c>
      <c r="E3090" t="s">
        <v>10</v>
      </c>
      <c r="F3090" s="9">
        <v>1177970.8600000001</v>
      </c>
      <c r="G3090" s="7">
        <v>37062752.441</v>
      </c>
      <c r="H3090" s="8">
        <f t="shared" si="48"/>
        <v>37062.752440999997</v>
      </c>
      <c r="I3090" s="10">
        <v>2990</v>
      </c>
    </row>
    <row r="3091" spans="1:9" ht="15.75" thickBot="1" x14ac:dyDescent="0.3">
      <c r="A3091" s="1">
        <v>43800</v>
      </c>
      <c r="B3091" s="8" t="s">
        <v>6</v>
      </c>
      <c r="C3091" t="s">
        <v>7</v>
      </c>
      <c r="D3091" t="s">
        <v>765</v>
      </c>
      <c r="E3091" t="s">
        <v>17</v>
      </c>
      <c r="F3091" s="9">
        <v>236859.03</v>
      </c>
      <c r="G3091" s="4">
        <v>7392</v>
      </c>
      <c r="H3091" s="8">
        <f t="shared" si="48"/>
        <v>7392</v>
      </c>
      <c r="I3091" s="10">
        <v>85</v>
      </c>
    </row>
    <row r="3092" spans="1:9" ht="15.75" thickBot="1" x14ac:dyDescent="0.3">
      <c r="A3092" s="1">
        <v>43466</v>
      </c>
      <c r="B3092" s="8" t="s">
        <v>6</v>
      </c>
      <c r="C3092" t="s">
        <v>7</v>
      </c>
      <c r="D3092" t="s">
        <v>765</v>
      </c>
      <c r="E3092" t="s">
        <v>11</v>
      </c>
      <c r="F3092" s="9">
        <v>218313.76</v>
      </c>
      <c r="G3092" s="7">
        <v>270251.54499999998</v>
      </c>
      <c r="H3092" s="8">
        <f t="shared" si="48"/>
        <v>270251.54499999998</v>
      </c>
      <c r="I3092" s="10">
        <v>248</v>
      </c>
    </row>
    <row r="3093" spans="1:9" ht="15.75" thickBot="1" x14ac:dyDescent="0.3">
      <c r="A3093" s="1">
        <v>43466</v>
      </c>
      <c r="B3093" s="8" t="s">
        <v>6</v>
      </c>
      <c r="C3093" t="s">
        <v>7</v>
      </c>
      <c r="D3093" t="s">
        <v>765</v>
      </c>
      <c r="E3093" t="s">
        <v>13</v>
      </c>
      <c r="F3093" s="9">
        <v>10763.26</v>
      </c>
      <c r="G3093" s="7">
        <v>265580.201</v>
      </c>
      <c r="H3093" s="8">
        <f t="shared" si="48"/>
        <v>265580.201</v>
      </c>
      <c r="I3093" s="10">
        <v>27</v>
      </c>
    </row>
    <row r="3094" spans="1:9" ht="15.75" thickBot="1" x14ac:dyDescent="0.3">
      <c r="A3094" s="1">
        <v>43466</v>
      </c>
      <c r="B3094" s="8" t="s">
        <v>6</v>
      </c>
      <c r="C3094" t="s">
        <v>7</v>
      </c>
      <c r="D3094" t="s">
        <v>766</v>
      </c>
      <c r="E3094" t="s">
        <v>10</v>
      </c>
      <c r="F3094" s="9">
        <v>27137.18</v>
      </c>
      <c r="G3094" s="6">
        <v>1044000</v>
      </c>
      <c r="H3094" s="8">
        <f t="shared" si="48"/>
        <v>1044</v>
      </c>
      <c r="I3094" s="10">
        <v>51</v>
      </c>
    </row>
    <row r="3095" spans="1:9" ht="15.75" thickBot="1" x14ac:dyDescent="0.3">
      <c r="A3095" s="1">
        <v>43800</v>
      </c>
      <c r="B3095" s="8" t="s">
        <v>6</v>
      </c>
      <c r="C3095" t="s">
        <v>7</v>
      </c>
      <c r="D3095" t="s">
        <v>766</v>
      </c>
      <c r="E3095" t="s">
        <v>11</v>
      </c>
      <c r="F3095" s="9">
        <v>244.71</v>
      </c>
      <c r="G3095" s="5">
        <v>0</v>
      </c>
      <c r="H3095" s="8">
        <f t="shared" si="48"/>
        <v>0</v>
      </c>
      <c r="I3095" s="10">
        <v>3</v>
      </c>
    </row>
    <row r="3096" spans="1:9" ht="15.75" thickBot="1" x14ac:dyDescent="0.3">
      <c r="A3096" s="1">
        <v>43800</v>
      </c>
      <c r="B3096" s="8" t="s">
        <v>6</v>
      </c>
      <c r="C3096" t="s">
        <v>7</v>
      </c>
      <c r="D3096" t="s">
        <v>767</v>
      </c>
      <c r="E3096" t="s">
        <v>9</v>
      </c>
      <c r="F3096" s="9">
        <v>95264.99</v>
      </c>
      <c r="G3096" s="4">
        <v>1887</v>
      </c>
      <c r="H3096" s="8">
        <f t="shared" si="48"/>
        <v>1887</v>
      </c>
      <c r="I3096" s="10">
        <v>38</v>
      </c>
    </row>
    <row r="3097" spans="1:9" ht="15.75" thickBot="1" x14ac:dyDescent="0.3">
      <c r="A3097" s="1">
        <v>43800</v>
      </c>
      <c r="B3097" s="8" t="s">
        <v>6</v>
      </c>
      <c r="C3097" t="s">
        <v>7</v>
      </c>
      <c r="D3097" t="s">
        <v>767</v>
      </c>
      <c r="E3097" t="s">
        <v>15</v>
      </c>
      <c r="F3097" s="9">
        <v>154.63999999999999</v>
      </c>
      <c r="G3097" s="4">
        <v>2</v>
      </c>
      <c r="H3097" s="8">
        <f t="shared" si="48"/>
        <v>2</v>
      </c>
      <c r="I3097" s="10">
        <v>1</v>
      </c>
    </row>
    <row r="3098" spans="1:9" ht="15.75" thickBot="1" x14ac:dyDescent="0.3">
      <c r="A3098" s="1">
        <v>43800</v>
      </c>
      <c r="B3098" s="8" t="s">
        <v>6</v>
      </c>
      <c r="C3098" t="s">
        <v>7</v>
      </c>
      <c r="D3098" t="s">
        <v>767</v>
      </c>
      <c r="E3098" t="s">
        <v>10</v>
      </c>
      <c r="F3098" s="9">
        <v>2727.02</v>
      </c>
      <c r="G3098" s="7">
        <v>8019</v>
      </c>
      <c r="H3098" s="8">
        <f t="shared" si="48"/>
        <v>8.0190000000000001</v>
      </c>
      <c r="I3098" s="10">
        <v>3</v>
      </c>
    </row>
    <row r="3099" spans="1:9" ht="15.75" thickBot="1" x14ac:dyDescent="0.3">
      <c r="A3099" s="1">
        <v>43466</v>
      </c>
      <c r="B3099" s="8" t="s">
        <v>6</v>
      </c>
      <c r="C3099" t="s">
        <v>7</v>
      </c>
      <c r="D3099" t="s">
        <v>767</v>
      </c>
      <c r="E3099" t="s">
        <v>17</v>
      </c>
      <c r="F3099" s="9">
        <v>9543.52</v>
      </c>
      <c r="G3099" s="4">
        <v>186</v>
      </c>
      <c r="H3099" s="8">
        <f t="shared" si="48"/>
        <v>186</v>
      </c>
      <c r="I3099" s="10">
        <v>5</v>
      </c>
    </row>
    <row r="3100" spans="1:9" ht="15.75" thickBot="1" x14ac:dyDescent="0.3">
      <c r="A3100" s="1">
        <v>43466</v>
      </c>
      <c r="B3100" s="8" t="s">
        <v>6</v>
      </c>
      <c r="C3100" t="s">
        <v>7</v>
      </c>
      <c r="D3100" t="s">
        <v>767</v>
      </c>
      <c r="E3100" t="s">
        <v>11</v>
      </c>
      <c r="F3100" s="9">
        <v>4308.25</v>
      </c>
      <c r="G3100" s="4">
        <v>149</v>
      </c>
      <c r="H3100" s="8">
        <f t="shared" si="48"/>
        <v>149</v>
      </c>
      <c r="I3100" s="10">
        <v>2</v>
      </c>
    </row>
    <row r="3101" spans="1:9" ht="15.75" thickBot="1" x14ac:dyDescent="0.3">
      <c r="A3101" s="1">
        <v>43466</v>
      </c>
      <c r="B3101" s="8" t="s">
        <v>6</v>
      </c>
      <c r="C3101" t="s">
        <v>7</v>
      </c>
      <c r="D3101" t="s">
        <v>768</v>
      </c>
      <c r="E3101" t="s">
        <v>9</v>
      </c>
      <c r="F3101" s="9">
        <v>162367.78</v>
      </c>
      <c r="G3101" s="4">
        <v>5824</v>
      </c>
      <c r="H3101" s="8">
        <f t="shared" si="48"/>
        <v>5824</v>
      </c>
      <c r="I3101" s="10">
        <v>2</v>
      </c>
    </row>
    <row r="3102" spans="1:9" ht="15.75" thickBot="1" x14ac:dyDescent="0.3">
      <c r="A3102" s="1">
        <v>43800</v>
      </c>
      <c r="B3102" s="8" t="s">
        <v>6</v>
      </c>
      <c r="C3102" t="s">
        <v>7</v>
      </c>
      <c r="D3102" t="s">
        <v>769</v>
      </c>
      <c r="E3102" t="s">
        <v>9</v>
      </c>
      <c r="F3102" s="9">
        <v>304360.96000000002</v>
      </c>
      <c r="G3102" s="7">
        <v>755823.92700000003</v>
      </c>
      <c r="H3102" s="8">
        <f t="shared" si="48"/>
        <v>755823.92700000003</v>
      </c>
      <c r="I3102" s="10">
        <v>149</v>
      </c>
    </row>
    <row r="3103" spans="1:9" ht="15.75" thickBot="1" x14ac:dyDescent="0.3">
      <c r="A3103" s="1">
        <v>43800</v>
      </c>
      <c r="B3103" s="8" t="s">
        <v>6</v>
      </c>
      <c r="C3103" t="s">
        <v>7</v>
      </c>
      <c r="D3103" t="s">
        <v>769</v>
      </c>
      <c r="E3103" t="s">
        <v>15</v>
      </c>
      <c r="F3103" s="9">
        <v>168757.84</v>
      </c>
      <c r="G3103" s="7">
        <v>323607.56099999999</v>
      </c>
      <c r="H3103" s="8">
        <f t="shared" si="48"/>
        <v>323607.56099999999</v>
      </c>
      <c r="I3103" s="10">
        <v>41</v>
      </c>
    </row>
    <row r="3104" spans="1:9" ht="15.75" thickBot="1" x14ac:dyDescent="0.3">
      <c r="A3104" s="1">
        <v>43800</v>
      </c>
      <c r="B3104" s="8" t="s">
        <v>6</v>
      </c>
      <c r="C3104" t="s">
        <v>7</v>
      </c>
      <c r="D3104" t="s">
        <v>769</v>
      </c>
      <c r="E3104" t="s">
        <v>10</v>
      </c>
      <c r="F3104" s="9">
        <v>1198968.71</v>
      </c>
      <c r="G3104" s="7">
        <v>40505581.072999999</v>
      </c>
      <c r="H3104" s="8">
        <f t="shared" si="48"/>
        <v>40505.581073000001</v>
      </c>
      <c r="I3104" s="10">
        <v>2555</v>
      </c>
    </row>
    <row r="3105" spans="1:9" ht="15.75" thickBot="1" x14ac:dyDescent="0.3">
      <c r="A3105" s="1">
        <v>43800</v>
      </c>
      <c r="B3105" s="8" t="s">
        <v>6</v>
      </c>
      <c r="C3105" t="s">
        <v>7</v>
      </c>
      <c r="D3105" t="s">
        <v>769</v>
      </c>
      <c r="E3105" t="s">
        <v>17</v>
      </c>
      <c r="F3105" s="9">
        <v>20067.62</v>
      </c>
      <c r="G3105" s="4">
        <v>630</v>
      </c>
      <c r="H3105" s="8">
        <f t="shared" si="48"/>
        <v>630</v>
      </c>
      <c r="I3105" s="10">
        <v>13</v>
      </c>
    </row>
    <row r="3106" spans="1:9" ht="15.75" thickBot="1" x14ac:dyDescent="0.3">
      <c r="A3106" s="1">
        <v>43466</v>
      </c>
      <c r="B3106" s="8" t="s">
        <v>6</v>
      </c>
      <c r="C3106" t="s">
        <v>7</v>
      </c>
      <c r="D3106" t="s">
        <v>769</v>
      </c>
      <c r="E3106" t="s">
        <v>11</v>
      </c>
      <c r="F3106" s="9">
        <v>683015.03</v>
      </c>
      <c r="G3106" s="7">
        <v>1188217.4669999999</v>
      </c>
      <c r="H3106" s="8">
        <f t="shared" si="48"/>
        <v>1188217.4669999999</v>
      </c>
      <c r="I3106" s="10">
        <v>207</v>
      </c>
    </row>
    <row r="3107" spans="1:9" ht="15.75" thickBot="1" x14ac:dyDescent="0.3">
      <c r="A3107" s="1">
        <v>43466</v>
      </c>
      <c r="B3107" s="8" t="s">
        <v>6</v>
      </c>
      <c r="C3107" t="s">
        <v>7</v>
      </c>
      <c r="D3107" t="s">
        <v>769</v>
      </c>
      <c r="E3107" t="s">
        <v>13</v>
      </c>
      <c r="F3107" s="9">
        <v>21338.35</v>
      </c>
      <c r="G3107" s="7">
        <v>248041.7</v>
      </c>
      <c r="H3107" s="8">
        <f t="shared" si="48"/>
        <v>248041.7</v>
      </c>
      <c r="I3107" s="10">
        <v>25</v>
      </c>
    </row>
    <row r="3108" spans="1:9" ht="15.75" thickBot="1" x14ac:dyDescent="0.3">
      <c r="A3108" s="1">
        <v>43466</v>
      </c>
      <c r="B3108" s="8" t="s">
        <v>6</v>
      </c>
      <c r="C3108" t="s">
        <v>7</v>
      </c>
      <c r="D3108" t="s">
        <v>770</v>
      </c>
      <c r="E3108" t="s">
        <v>10</v>
      </c>
      <c r="F3108" s="9">
        <v>81.569999999999993</v>
      </c>
      <c r="G3108" s="5">
        <v>0</v>
      </c>
      <c r="H3108" s="8">
        <f t="shared" si="48"/>
        <v>0</v>
      </c>
      <c r="I3108" s="10">
        <v>1</v>
      </c>
    </row>
    <row r="3109" spans="1:9" ht="15.75" thickBot="1" x14ac:dyDescent="0.3">
      <c r="A3109" s="1">
        <v>43800</v>
      </c>
      <c r="B3109" s="8" t="s">
        <v>6</v>
      </c>
      <c r="C3109" t="s">
        <v>7</v>
      </c>
      <c r="D3109" t="s">
        <v>771</v>
      </c>
      <c r="E3109" t="s">
        <v>15</v>
      </c>
      <c r="F3109" s="9">
        <v>100</v>
      </c>
      <c r="G3109" s="4">
        <v>0</v>
      </c>
      <c r="H3109" s="8">
        <f t="shared" si="48"/>
        <v>0</v>
      </c>
      <c r="I3109" s="10">
        <v>1</v>
      </c>
    </row>
    <row r="3110" spans="1:9" ht="15.75" thickBot="1" x14ac:dyDescent="0.3">
      <c r="A3110" s="1">
        <v>43800</v>
      </c>
      <c r="B3110" s="8" t="s">
        <v>6</v>
      </c>
      <c r="C3110" t="s">
        <v>7</v>
      </c>
      <c r="D3110" t="s">
        <v>771</v>
      </c>
      <c r="E3110" t="s">
        <v>17</v>
      </c>
      <c r="F3110" s="9">
        <v>8467.64</v>
      </c>
      <c r="G3110" s="4">
        <v>102</v>
      </c>
      <c r="H3110" s="8">
        <f t="shared" si="48"/>
        <v>102</v>
      </c>
      <c r="I3110" s="10">
        <v>2</v>
      </c>
    </row>
    <row r="3111" spans="1:9" ht="15.75" thickBot="1" x14ac:dyDescent="0.3">
      <c r="A3111" s="1">
        <v>43800</v>
      </c>
      <c r="B3111" s="8" t="s">
        <v>6</v>
      </c>
      <c r="C3111" t="s">
        <v>7</v>
      </c>
      <c r="D3111" t="s">
        <v>771</v>
      </c>
      <c r="E3111" t="s">
        <v>11</v>
      </c>
      <c r="F3111" s="9">
        <v>163.13999999999999</v>
      </c>
      <c r="G3111" s="5">
        <v>0</v>
      </c>
      <c r="H3111" s="8">
        <f t="shared" si="48"/>
        <v>0</v>
      </c>
      <c r="I3111" s="10">
        <v>2</v>
      </c>
    </row>
    <row r="3112" spans="1:9" ht="15.75" thickBot="1" x14ac:dyDescent="0.3">
      <c r="A3112" s="1">
        <v>43800</v>
      </c>
      <c r="B3112" s="8" t="s">
        <v>6</v>
      </c>
      <c r="C3112" t="s">
        <v>7</v>
      </c>
      <c r="D3112" t="s">
        <v>772</v>
      </c>
      <c r="E3112" t="s">
        <v>11</v>
      </c>
      <c r="F3112" s="9">
        <v>154406.79999999999</v>
      </c>
      <c r="G3112" s="4">
        <v>5240</v>
      </c>
      <c r="H3112" s="8">
        <f t="shared" si="48"/>
        <v>5240</v>
      </c>
      <c r="I3112" s="10">
        <v>2</v>
      </c>
    </row>
    <row r="3113" spans="1:9" ht="15.75" thickBot="1" x14ac:dyDescent="0.3">
      <c r="A3113" s="1">
        <v>43466</v>
      </c>
      <c r="B3113" s="8" t="s">
        <v>6</v>
      </c>
      <c r="C3113" t="s">
        <v>7</v>
      </c>
      <c r="D3113" t="s">
        <v>773</v>
      </c>
      <c r="E3113" t="s">
        <v>15</v>
      </c>
      <c r="F3113" s="9">
        <v>3098.97</v>
      </c>
      <c r="G3113" s="4">
        <v>70</v>
      </c>
      <c r="H3113" s="8">
        <f t="shared" si="48"/>
        <v>70</v>
      </c>
      <c r="I3113" s="10">
        <v>6</v>
      </c>
    </row>
    <row r="3114" spans="1:9" ht="15.75" thickBot="1" x14ac:dyDescent="0.3">
      <c r="A3114" s="1">
        <v>43466</v>
      </c>
      <c r="B3114" s="8" t="s">
        <v>6</v>
      </c>
      <c r="C3114" t="s">
        <v>7</v>
      </c>
      <c r="D3114" t="s">
        <v>773</v>
      </c>
      <c r="E3114" t="s">
        <v>10</v>
      </c>
      <c r="F3114" s="9">
        <v>301458.37</v>
      </c>
      <c r="G3114" s="6">
        <v>9573036.4900000002</v>
      </c>
      <c r="H3114" s="8">
        <f t="shared" si="48"/>
        <v>9573.0364900000004</v>
      </c>
      <c r="I3114" s="10">
        <v>850</v>
      </c>
    </row>
    <row r="3115" spans="1:9" ht="15.75" thickBot="1" x14ac:dyDescent="0.3">
      <c r="A3115" s="1">
        <v>43466</v>
      </c>
      <c r="B3115" s="8" t="s">
        <v>6</v>
      </c>
      <c r="C3115" t="s">
        <v>7</v>
      </c>
      <c r="D3115" t="s">
        <v>773</v>
      </c>
      <c r="E3115" t="s">
        <v>11</v>
      </c>
      <c r="F3115" s="9">
        <v>1667.53</v>
      </c>
      <c r="G3115" s="7">
        <v>37001.718000000001</v>
      </c>
      <c r="H3115" s="8">
        <f t="shared" si="48"/>
        <v>37001.718000000001</v>
      </c>
      <c r="I3115" s="10">
        <v>11</v>
      </c>
    </row>
    <row r="3116" spans="1:9" ht="15.75" thickBot="1" x14ac:dyDescent="0.3">
      <c r="A3116" s="1">
        <v>43800</v>
      </c>
      <c r="B3116" s="8" t="s">
        <v>6</v>
      </c>
      <c r="C3116" t="s">
        <v>7</v>
      </c>
      <c r="D3116" t="s">
        <v>773</v>
      </c>
      <c r="E3116" t="s">
        <v>13</v>
      </c>
      <c r="F3116" s="9">
        <v>1246.8800000000001</v>
      </c>
      <c r="G3116" s="6">
        <v>37000</v>
      </c>
      <c r="H3116" s="8">
        <f t="shared" si="48"/>
        <v>37000</v>
      </c>
      <c r="I3116" s="10">
        <v>5</v>
      </c>
    </row>
    <row r="3117" spans="1:9" ht="15.75" thickBot="1" x14ac:dyDescent="0.3">
      <c r="A3117" s="1">
        <v>43800</v>
      </c>
      <c r="B3117" s="8" t="s">
        <v>6</v>
      </c>
      <c r="C3117" t="s">
        <v>7</v>
      </c>
      <c r="D3117" t="s">
        <v>774</v>
      </c>
      <c r="E3117" t="s">
        <v>10</v>
      </c>
      <c r="F3117" s="9">
        <v>69030.2</v>
      </c>
      <c r="G3117" s="6">
        <v>2343349.7080000001</v>
      </c>
      <c r="H3117" s="8">
        <f t="shared" si="48"/>
        <v>2343.3497080000002</v>
      </c>
      <c r="I3117" s="10">
        <v>195</v>
      </c>
    </row>
    <row r="3118" spans="1:9" ht="15.75" thickBot="1" x14ac:dyDescent="0.3">
      <c r="A3118" s="1">
        <v>43800</v>
      </c>
      <c r="B3118" s="8" t="s">
        <v>6</v>
      </c>
      <c r="C3118" t="s">
        <v>7</v>
      </c>
      <c r="D3118" t="s">
        <v>774</v>
      </c>
      <c r="E3118" t="s">
        <v>11</v>
      </c>
      <c r="F3118" s="9">
        <v>3484.68</v>
      </c>
      <c r="G3118" s="7">
        <v>66008</v>
      </c>
      <c r="H3118" s="8">
        <f t="shared" si="48"/>
        <v>66008</v>
      </c>
      <c r="I3118" s="10">
        <v>16</v>
      </c>
    </row>
    <row r="3119" spans="1:9" ht="15.75" thickBot="1" x14ac:dyDescent="0.3">
      <c r="A3119" s="1">
        <v>43800</v>
      </c>
      <c r="B3119" s="8" t="s">
        <v>6</v>
      </c>
      <c r="C3119" t="s">
        <v>7</v>
      </c>
      <c r="D3119" t="s">
        <v>775</v>
      </c>
      <c r="E3119" t="s">
        <v>10</v>
      </c>
      <c r="F3119" s="9">
        <v>51298.97</v>
      </c>
      <c r="G3119" s="6">
        <v>1443000</v>
      </c>
      <c r="H3119" s="8">
        <f t="shared" si="48"/>
        <v>1443</v>
      </c>
      <c r="I3119" s="10">
        <v>94</v>
      </c>
    </row>
    <row r="3120" spans="1:9" ht="15.75" thickBot="1" x14ac:dyDescent="0.3">
      <c r="A3120" s="1">
        <v>43466</v>
      </c>
      <c r="B3120" s="8" t="s">
        <v>6</v>
      </c>
      <c r="C3120" t="s">
        <v>7</v>
      </c>
      <c r="D3120" t="s">
        <v>775</v>
      </c>
      <c r="E3120" t="s">
        <v>11</v>
      </c>
      <c r="F3120" s="9">
        <v>7287.87</v>
      </c>
      <c r="G3120" s="4">
        <v>0</v>
      </c>
      <c r="H3120" s="8">
        <f t="shared" si="48"/>
        <v>0</v>
      </c>
      <c r="I3120" s="10">
        <v>6</v>
      </c>
    </row>
    <row r="3121" spans="1:9" ht="15.75" thickBot="1" x14ac:dyDescent="0.3">
      <c r="A3121" s="1">
        <v>43466</v>
      </c>
      <c r="B3121" s="8" t="s">
        <v>6</v>
      </c>
      <c r="C3121" t="s">
        <v>7</v>
      </c>
      <c r="D3121" t="s">
        <v>775</v>
      </c>
      <c r="E3121" t="s">
        <v>13</v>
      </c>
      <c r="F3121" s="9">
        <v>2210.4499999999998</v>
      </c>
      <c r="G3121" s="6">
        <v>33000</v>
      </c>
      <c r="H3121" s="8">
        <f t="shared" si="48"/>
        <v>33000</v>
      </c>
      <c r="I3121" s="10">
        <v>2</v>
      </c>
    </row>
    <row r="3122" spans="1:9" ht="15.75" thickBot="1" x14ac:dyDescent="0.3">
      <c r="A3122" s="1">
        <v>43466</v>
      </c>
      <c r="B3122" s="8" t="s">
        <v>6</v>
      </c>
      <c r="C3122" t="s">
        <v>7</v>
      </c>
      <c r="D3122" t="s">
        <v>776</v>
      </c>
      <c r="E3122" t="s">
        <v>10</v>
      </c>
      <c r="F3122" s="9">
        <v>6227.5</v>
      </c>
      <c r="G3122" s="6">
        <v>250000</v>
      </c>
      <c r="H3122" s="8">
        <f t="shared" si="48"/>
        <v>250</v>
      </c>
      <c r="I3122" s="10">
        <v>1</v>
      </c>
    </row>
    <row r="3123" spans="1:9" ht="15.75" thickBot="1" x14ac:dyDescent="0.3">
      <c r="A3123" s="1">
        <v>43800</v>
      </c>
      <c r="B3123" s="8" t="s">
        <v>6</v>
      </c>
      <c r="C3123" t="s">
        <v>7</v>
      </c>
      <c r="D3123" t="s">
        <v>776</v>
      </c>
      <c r="E3123" t="s">
        <v>13</v>
      </c>
      <c r="F3123" s="9">
        <v>16186.34</v>
      </c>
      <c r="G3123" s="7">
        <v>670039</v>
      </c>
      <c r="H3123" s="8">
        <f t="shared" si="48"/>
        <v>670039</v>
      </c>
      <c r="I3123" s="10">
        <v>1</v>
      </c>
    </row>
    <row r="3124" spans="1:9" ht="15.75" thickBot="1" x14ac:dyDescent="0.3">
      <c r="A3124" s="1">
        <v>43800</v>
      </c>
      <c r="B3124" s="8" t="s">
        <v>6</v>
      </c>
      <c r="C3124" t="s">
        <v>7</v>
      </c>
      <c r="D3124" t="s">
        <v>777</v>
      </c>
      <c r="E3124" t="s">
        <v>9</v>
      </c>
      <c r="F3124" s="9">
        <v>85183.76</v>
      </c>
      <c r="G3124" s="4">
        <v>2943</v>
      </c>
      <c r="H3124" s="8">
        <f t="shared" si="48"/>
        <v>2943</v>
      </c>
      <c r="I3124" s="10">
        <v>3</v>
      </c>
    </row>
    <row r="3125" spans="1:9" ht="15.75" thickBot="1" x14ac:dyDescent="0.3">
      <c r="A3125" s="1">
        <v>43800</v>
      </c>
      <c r="B3125" s="8" t="s">
        <v>6</v>
      </c>
      <c r="C3125" t="s">
        <v>7</v>
      </c>
      <c r="D3125" t="s">
        <v>777</v>
      </c>
      <c r="E3125" t="s">
        <v>11</v>
      </c>
      <c r="F3125" s="9">
        <v>7337.2</v>
      </c>
      <c r="G3125" s="4">
        <v>210</v>
      </c>
      <c r="H3125" s="8">
        <f t="shared" si="48"/>
        <v>210</v>
      </c>
      <c r="I3125" s="10">
        <v>1</v>
      </c>
    </row>
    <row r="3126" spans="1:9" ht="15.75" thickBot="1" x14ac:dyDescent="0.3">
      <c r="A3126" s="1">
        <v>43800</v>
      </c>
      <c r="B3126" s="8" t="s">
        <v>6</v>
      </c>
      <c r="C3126" t="s">
        <v>7</v>
      </c>
      <c r="D3126" t="s">
        <v>778</v>
      </c>
      <c r="E3126" t="s">
        <v>9</v>
      </c>
      <c r="F3126" s="9">
        <v>1176.96</v>
      </c>
      <c r="G3126" s="4">
        <v>28</v>
      </c>
      <c r="H3126" s="8">
        <f t="shared" si="48"/>
        <v>28</v>
      </c>
      <c r="I3126" s="10">
        <v>3</v>
      </c>
    </row>
    <row r="3127" spans="1:9" ht="15.75" thickBot="1" x14ac:dyDescent="0.3">
      <c r="A3127" s="1">
        <v>43466</v>
      </c>
      <c r="B3127" s="8" t="s">
        <v>6</v>
      </c>
      <c r="C3127" t="s">
        <v>7</v>
      </c>
      <c r="D3127" t="s">
        <v>778</v>
      </c>
      <c r="E3127" t="s">
        <v>10</v>
      </c>
      <c r="F3127" s="9">
        <v>3615.46</v>
      </c>
      <c r="G3127" s="6">
        <v>74389.451000000001</v>
      </c>
      <c r="H3127" s="8">
        <f t="shared" si="48"/>
        <v>74.389450999999994</v>
      </c>
      <c r="I3127" s="10">
        <v>22</v>
      </c>
    </row>
    <row r="3128" spans="1:9" ht="15.75" thickBot="1" x14ac:dyDescent="0.3">
      <c r="A3128" s="1">
        <v>43466</v>
      </c>
      <c r="B3128" s="8" t="s">
        <v>6</v>
      </c>
      <c r="C3128" t="s">
        <v>7</v>
      </c>
      <c r="D3128" t="s">
        <v>779</v>
      </c>
      <c r="E3128" t="s">
        <v>15</v>
      </c>
      <c r="F3128" s="9">
        <v>21930.18</v>
      </c>
      <c r="G3128" s="4">
        <v>2490</v>
      </c>
      <c r="H3128" s="8">
        <f t="shared" si="48"/>
        <v>2490</v>
      </c>
      <c r="I3128" s="10">
        <v>1</v>
      </c>
    </row>
    <row r="3129" spans="1:9" ht="15.75" thickBot="1" x14ac:dyDescent="0.3">
      <c r="A3129" s="1">
        <v>43466</v>
      </c>
      <c r="B3129" s="8" t="s">
        <v>6</v>
      </c>
      <c r="C3129" t="s">
        <v>7</v>
      </c>
      <c r="D3129" t="s">
        <v>779</v>
      </c>
      <c r="E3129" t="s">
        <v>10</v>
      </c>
      <c r="F3129" s="9">
        <v>44304.27</v>
      </c>
      <c r="G3129" s="6">
        <v>1463984.25</v>
      </c>
      <c r="H3129" s="8">
        <f t="shared" si="48"/>
        <v>1463.98425</v>
      </c>
      <c r="I3129" s="10">
        <v>159</v>
      </c>
    </row>
    <row r="3130" spans="1:9" ht="15.75" thickBot="1" x14ac:dyDescent="0.3">
      <c r="A3130" s="1">
        <v>43800</v>
      </c>
      <c r="B3130" s="8" t="s">
        <v>6</v>
      </c>
      <c r="C3130" t="s">
        <v>7</v>
      </c>
      <c r="D3130" t="s">
        <v>779</v>
      </c>
      <c r="E3130" t="s">
        <v>17</v>
      </c>
      <c r="F3130" s="9">
        <v>15323.57</v>
      </c>
      <c r="G3130" s="4">
        <v>499</v>
      </c>
      <c r="H3130" s="8">
        <f t="shared" si="48"/>
        <v>499</v>
      </c>
      <c r="I3130" s="10">
        <v>1</v>
      </c>
    </row>
    <row r="3131" spans="1:9" ht="15.75" thickBot="1" x14ac:dyDescent="0.3">
      <c r="A3131" s="1">
        <v>43800</v>
      </c>
      <c r="B3131" s="8" t="s">
        <v>6</v>
      </c>
      <c r="C3131" t="s">
        <v>7</v>
      </c>
      <c r="D3131" t="s">
        <v>779</v>
      </c>
      <c r="E3131" t="s">
        <v>11</v>
      </c>
      <c r="F3131" s="9">
        <v>1231.7</v>
      </c>
      <c r="G3131" s="7">
        <v>2009</v>
      </c>
      <c r="H3131" s="8">
        <f t="shared" si="48"/>
        <v>2009</v>
      </c>
      <c r="I3131" s="10">
        <v>3</v>
      </c>
    </row>
    <row r="3132" spans="1:9" ht="15.75" thickBot="1" x14ac:dyDescent="0.3">
      <c r="A3132" s="1">
        <v>43800</v>
      </c>
      <c r="B3132" s="8" t="s">
        <v>6</v>
      </c>
      <c r="C3132" t="s">
        <v>7</v>
      </c>
      <c r="D3132" t="s">
        <v>779</v>
      </c>
      <c r="E3132" t="s">
        <v>13</v>
      </c>
      <c r="F3132" s="9">
        <v>413.35</v>
      </c>
      <c r="G3132" s="6">
        <v>13000</v>
      </c>
      <c r="H3132" s="8">
        <f t="shared" si="48"/>
        <v>13000</v>
      </c>
      <c r="I3132" s="10">
        <v>2</v>
      </c>
    </row>
    <row r="3133" spans="1:9" ht="15.75" thickBot="1" x14ac:dyDescent="0.3">
      <c r="A3133" s="1">
        <v>43800</v>
      </c>
      <c r="B3133" s="8" t="s">
        <v>6</v>
      </c>
      <c r="C3133" t="s">
        <v>7</v>
      </c>
      <c r="D3133" t="s">
        <v>780</v>
      </c>
      <c r="E3133" t="s">
        <v>9</v>
      </c>
      <c r="F3133" s="9">
        <v>563784.56000000006</v>
      </c>
      <c r="G3133" s="7">
        <v>3739043.4840000002</v>
      </c>
      <c r="H3133" s="8">
        <f t="shared" si="48"/>
        <v>3739043.4840000002</v>
      </c>
      <c r="I3133" s="10">
        <v>88</v>
      </c>
    </row>
    <row r="3134" spans="1:9" ht="15.75" thickBot="1" x14ac:dyDescent="0.3">
      <c r="A3134" s="1">
        <v>43466</v>
      </c>
      <c r="B3134" s="8" t="s">
        <v>6</v>
      </c>
      <c r="C3134" t="s">
        <v>7</v>
      </c>
      <c r="D3134" t="s">
        <v>780</v>
      </c>
      <c r="E3134" t="s">
        <v>15</v>
      </c>
      <c r="F3134" s="9">
        <v>99259.35</v>
      </c>
      <c r="G3134" s="7">
        <v>11407.218999999999</v>
      </c>
      <c r="H3134" s="8">
        <f t="shared" si="48"/>
        <v>11407.218999999999</v>
      </c>
      <c r="I3134" s="10">
        <v>21</v>
      </c>
    </row>
    <row r="3135" spans="1:9" ht="15.75" thickBot="1" x14ac:dyDescent="0.3">
      <c r="A3135" s="1">
        <v>43466</v>
      </c>
      <c r="B3135" s="8" t="s">
        <v>6</v>
      </c>
      <c r="C3135" t="s">
        <v>7</v>
      </c>
      <c r="D3135" t="s">
        <v>780</v>
      </c>
      <c r="E3135" t="s">
        <v>10</v>
      </c>
      <c r="F3135" s="9">
        <v>279379</v>
      </c>
      <c r="G3135" s="7">
        <v>10651441.228</v>
      </c>
      <c r="H3135" s="8">
        <f t="shared" si="48"/>
        <v>10651.441228</v>
      </c>
      <c r="I3135" s="10">
        <v>387</v>
      </c>
    </row>
    <row r="3136" spans="1:9" ht="15.75" thickBot="1" x14ac:dyDescent="0.3">
      <c r="A3136" s="1">
        <v>43466</v>
      </c>
      <c r="B3136" s="8" t="s">
        <v>6</v>
      </c>
      <c r="C3136" t="s">
        <v>7</v>
      </c>
      <c r="D3136" t="s">
        <v>780</v>
      </c>
      <c r="E3136" t="s">
        <v>17</v>
      </c>
      <c r="F3136" s="9">
        <v>54111</v>
      </c>
      <c r="G3136" s="4">
        <v>1565</v>
      </c>
      <c r="H3136" s="8">
        <f t="shared" si="48"/>
        <v>1565</v>
      </c>
      <c r="I3136" s="10">
        <v>19</v>
      </c>
    </row>
    <row r="3137" spans="1:9" ht="15.75" thickBot="1" x14ac:dyDescent="0.3">
      <c r="A3137" s="1">
        <v>43800</v>
      </c>
      <c r="B3137" s="8" t="s">
        <v>6</v>
      </c>
      <c r="C3137" t="s">
        <v>7</v>
      </c>
      <c r="D3137" t="s">
        <v>780</v>
      </c>
      <c r="E3137" t="s">
        <v>11</v>
      </c>
      <c r="F3137" s="9">
        <v>162619.73000000001</v>
      </c>
      <c r="G3137" s="7">
        <v>1296295.0330000001</v>
      </c>
      <c r="H3137" s="8">
        <f t="shared" si="48"/>
        <v>1296295.0330000001</v>
      </c>
      <c r="I3137" s="10">
        <v>103</v>
      </c>
    </row>
    <row r="3138" spans="1:9" ht="15.75" thickBot="1" x14ac:dyDescent="0.3">
      <c r="A3138" s="1">
        <v>43800</v>
      </c>
      <c r="B3138" s="8" t="s">
        <v>6</v>
      </c>
      <c r="C3138" t="s">
        <v>7</v>
      </c>
      <c r="D3138" t="s">
        <v>780</v>
      </c>
      <c r="E3138" t="s">
        <v>13</v>
      </c>
      <c r="F3138" s="9">
        <v>8273.6200000000008</v>
      </c>
      <c r="G3138" s="7">
        <v>13278</v>
      </c>
      <c r="H3138" s="8">
        <f t="shared" ref="H3138:H3201" si="49">IF(ISNUMBER(SEARCH("Domestic customer", E3138)),G3138/1000,G3138)</f>
        <v>13278</v>
      </c>
      <c r="I3138" s="10">
        <v>3</v>
      </c>
    </row>
    <row r="3139" spans="1:9" ht="15.75" thickBot="1" x14ac:dyDescent="0.3">
      <c r="A3139" s="1">
        <v>43800</v>
      </c>
      <c r="B3139" s="8" t="s">
        <v>6</v>
      </c>
      <c r="C3139" t="s">
        <v>7</v>
      </c>
      <c r="D3139" t="s">
        <v>781</v>
      </c>
      <c r="E3139" t="s">
        <v>9</v>
      </c>
      <c r="F3139" s="9">
        <v>3142.19</v>
      </c>
      <c r="G3139" s="4">
        <v>109</v>
      </c>
      <c r="H3139" s="8">
        <f t="shared" si="49"/>
        <v>109</v>
      </c>
      <c r="I3139" s="10">
        <v>3</v>
      </c>
    </row>
    <row r="3140" spans="1:9" ht="15.75" thickBot="1" x14ac:dyDescent="0.3">
      <c r="A3140" s="1">
        <v>43800</v>
      </c>
      <c r="B3140" s="8" t="s">
        <v>6</v>
      </c>
      <c r="C3140" t="s">
        <v>7</v>
      </c>
      <c r="D3140" t="s">
        <v>781</v>
      </c>
      <c r="E3140" t="s">
        <v>15</v>
      </c>
      <c r="F3140" s="9">
        <v>820.96</v>
      </c>
      <c r="G3140" s="4">
        <v>28</v>
      </c>
      <c r="H3140" s="8">
        <f t="shared" si="49"/>
        <v>28</v>
      </c>
      <c r="I3140" s="10">
        <v>1</v>
      </c>
    </row>
    <row r="3141" spans="1:9" ht="15.75" thickBot="1" x14ac:dyDescent="0.3">
      <c r="A3141" s="1">
        <v>43466</v>
      </c>
      <c r="B3141" s="8" t="s">
        <v>6</v>
      </c>
      <c r="C3141" t="s">
        <v>7</v>
      </c>
      <c r="D3141" t="s">
        <v>781</v>
      </c>
      <c r="E3141" t="s">
        <v>10</v>
      </c>
      <c r="F3141" s="9">
        <v>103686.76</v>
      </c>
      <c r="G3141" s="6">
        <v>3530969.1009999998</v>
      </c>
      <c r="H3141" s="8">
        <f t="shared" si="49"/>
        <v>3530.9691009999997</v>
      </c>
      <c r="I3141" s="10">
        <v>375</v>
      </c>
    </row>
    <row r="3142" spans="1:9" ht="15.75" thickBot="1" x14ac:dyDescent="0.3">
      <c r="A3142" s="1">
        <v>43466</v>
      </c>
      <c r="B3142" s="8" t="s">
        <v>6</v>
      </c>
      <c r="C3142" t="s">
        <v>7</v>
      </c>
      <c r="D3142" t="s">
        <v>781</v>
      </c>
      <c r="E3142" t="s">
        <v>11</v>
      </c>
      <c r="F3142" s="9">
        <v>81.569999999999993</v>
      </c>
      <c r="G3142" s="5">
        <v>0</v>
      </c>
      <c r="H3142" s="8">
        <f t="shared" si="49"/>
        <v>0</v>
      </c>
      <c r="I3142" s="10">
        <v>1</v>
      </c>
    </row>
    <row r="3143" spans="1:9" ht="15.75" thickBot="1" x14ac:dyDescent="0.3">
      <c r="A3143" s="1">
        <v>43466</v>
      </c>
      <c r="B3143" s="8" t="s">
        <v>6</v>
      </c>
      <c r="C3143" t="s">
        <v>7</v>
      </c>
      <c r="D3143" t="s">
        <v>781</v>
      </c>
      <c r="E3143" t="s">
        <v>13</v>
      </c>
      <c r="F3143" s="9">
        <v>615.28</v>
      </c>
      <c r="G3143" s="6">
        <v>22000</v>
      </c>
      <c r="H3143" s="8">
        <f t="shared" si="49"/>
        <v>22000</v>
      </c>
      <c r="I3143" s="10">
        <v>1</v>
      </c>
    </row>
    <row r="3144" spans="1:9" ht="15.75" thickBot="1" x14ac:dyDescent="0.3">
      <c r="A3144" s="1">
        <v>43800</v>
      </c>
      <c r="B3144" s="8" t="s">
        <v>6</v>
      </c>
      <c r="C3144" t="s">
        <v>7</v>
      </c>
      <c r="D3144" t="s">
        <v>782</v>
      </c>
      <c r="E3144" t="s">
        <v>9</v>
      </c>
      <c r="F3144" s="9">
        <v>6817225.9299999997</v>
      </c>
      <c r="G3144" s="7">
        <v>339673.5</v>
      </c>
      <c r="H3144" s="8">
        <f t="shared" si="49"/>
        <v>339673.5</v>
      </c>
      <c r="I3144" s="10">
        <v>353</v>
      </c>
    </row>
    <row r="3145" spans="1:9" ht="15.75" thickBot="1" x14ac:dyDescent="0.3">
      <c r="A3145" s="1">
        <v>43800</v>
      </c>
      <c r="B3145" s="8" t="s">
        <v>6</v>
      </c>
      <c r="C3145" t="s">
        <v>7</v>
      </c>
      <c r="D3145" t="s">
        <v>782</v>
      </c>
      <c r="E3145" t="s">
        <v>15</v>
      </c>
      <c r="F3145" s="9">
        <v>163185333.12</v>
      </c>
      <c r="G3145" s="7">
        <v>48551395.338</v>
      </c>
      <c r="H3145" s="8">
        <f t="shared" si="49"/>
        <v>48551395.338</v>
      </c>
      <c r="I3145" s="10">
        <v>4392</v>
      </c>
    </row>
    <row r="3146" spans="1:9" ht="15.75" thickBot="1" x14ac:dyDescent="0.3">
      <c r="A3146" s="1">
        <v>43800</v>
      </c>
      <c r="B3146" s="8" t="s">
        <v>6</v>
      </c>
      <c r="C3146" t="s">
        <v>7</v>
      </c>
      <c r="D3146" t="s">
        <v>782</v>
      </c>
      <c r="E3146" t="s">
        <v>10</v>
      </c>
      <c r="F3146" s="9">
        <v>3807603.13</v>
      </c>
      <c r="G3146" s="7">
        <v>119118455.432</v>
      </c>
      <c r="H3146" s="8">
        <f t="shared" si="49"/>
        <v>119118.455432</v>
      </c>
      <c r="I3146" s="10">
        <v>11000</v>
      </c>
    </row>
    <row r="3147" spans="1:9" ht="15.75" thickBot="1" x14ac:dyDescent="0.3">
      <c r="A3147" s="1">
        <v>43800</v>
      </c>
      <c r="B3147" s="8" t="s">
        <v>6</v>
      </c>
      <c r="C3147" t="s">
        <v>7</v>
      </c>
      <c r="D3147" t="s">
        <v>782</v>
      </c>
      <c r="E3147" t="s">
        <v>17</v>
      </c>
      <c r="F3147" s="9">
        <v>838605.86</v>
      </c>
      <c r="G3147" s="4">
        <v>28047</v>
      </c>
      <c r="H3147" s="8">
        <f t="shared" si="49"/>
        <v>28047</v>
      </c>
      <c r="I3147" s="10">
        <v>70</v>
      </c>
    </row>
    <row r="3148" spans="1:9" ht="15.75" thickBot="1" x14ac:dyDescent="0.3">
      <c r="A3148" s="1">
        <v>43466</v>
      </c>
      <c r="B3148" s="8" t="s">
        <v>6</v>
      </c>
      <c r="C3148" t="s">
        <v>7</v>
      </c>
      <c r="D3148" t="s">
        <v>782</v>
      </c>
      <c r="E3148" t="s">
        <v>11</v>
      </c>
      <c r="F3148" s="9">
        <v>10539163.470000001</v>
      </c>
      <c r="G3148" s="7">
        <v>6823363.8059999999</v>
      </c>
      <c r="H3148" s="8">
        <f t="shared" si="49"/>
        <v>6823363.8059999999</v>
      </c>
      <c r="I3148" s="10">
        <v>2194</v>
      </c>
    </row>
    <row r="3149" spans="1:9" ht="15.75" thickBot="1" x14ac:dyDescent="0.3">
      <c r="A3149" s="1">
        <v>43466</v>
      </c>
      <c r="B3149" s="8" t="s">
        <v>6</v>
      </c>
      <c r="C3149" t="s">
        <v>7</v>
      </c>
      <c r="D3149" t="s">
        <v>782</v>
      </c>
      <c r="E3149" t="s">
        <v>13</v>
      </c>
      <c r="F3149" s="9">
        <v>113994.38</v>
      </c>
      <c r="G3149" s="7">
        <v>936775.77500000002</v>
      </c>
      <c r="H3149" s="8">
        <f t="shared" si="49"/>
        <v>936775.77500000002</v>
      </c>
      <c r="I3149" s="10">
        <v>100</v>
      </c>
    </row>
    <row r="3150" spans="1:9" ht="15.75" thickBot="1" x14ac:dyDescent="0.3">
      <c r="A3150" s="1">
        <v>43466</v>
      </c>
      <c r="B3150" s="8" t="s">
        <v>6</v>
      </c>
      <c r="C3150" t="s">
        <v>7</v>
      </c>
      <c r="D3150" t="s">
        <v>783</v>
      </c>
      <c r="F3150" s="9">
        <v>441766155.56999999</v>
      </c>
      <c r="G3150" s="7">
        <v>8734773235.7639999</v>
      </c>
      <c r="H3150" s="8">
        <f t="shared" si="49"/>
        <v>8734773235.7639999</v>
      </c>
      <c r="I3150" s="10">
        <v>672582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2019 December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NAOMI KOYANA</dc:creator>
  <cp:lastModifiedBy>Naomi Koyana</cp:lastModifiedBy>
  <dcterms:created xsi:type="dcterms:W3CDTF">2024-05-16T16:53:33Z</dcterms:created>
  <dcterms:modified xsi:type="dcterms:W3CDTF">2024-05-17T11:01:44Z</dcterms:modified>
</cp:coreProperties>
</file>